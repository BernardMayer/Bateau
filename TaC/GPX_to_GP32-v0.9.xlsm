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420" windowWidth="22755" windowHeight="9240"/>
  </bookViews>
  <sheets>
    <sheet name="Symboles" sheetId="4" r:id="rId1"/>
    <sheet name="gpxfile" sheetId="5" r:id="rId2"/>
    <sheet name="Import OpenCPN" sheetId="1" state="hidden" r:id="rId3"/>
    <sheet name="Calculs" sheetId="3" state="hidden" r:id="rId4"/>
    <sheet name="Export" sheetId="2" state="hidden" r:id="rId5"/>
  </sheets>
  <calcPr calcId="145621"/>
</workbook>
</file>

<file path=xl/calcChain.xml><?xml version="1.0" encoding="utf-8"?>
<calcChain xmlns="http://schemas.openxmlformats.org/spreadsheetml/2006/main">
  <c r="A351" i="2" l="1"/>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O2" i="3"/>
  <c r="P2"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O84" i="3"/>
  <c r="P84" i="3"/>
  <c r="O85" i="3"/>
  <c r="P85" i="3"/>
  <c r="O86" i="3"/>
  <c r="P86" i="3"/>
  <c r="O87" i="3"/>
  <c r="P87" i="3"/>
  <c r="O88" i="3"/>
  <c r="P88" i="3"/>
  <c r="O89" i="3"/>
  <c r="P89" i="3"/>
  <c r="O90" i="3"/>
  <c r="P90" i="3"/>
  <c r="O91" i="3"/>
  <c r="P91" i="3"/>
  <c r="O92" i="3"/>
  <c r="P92" i="3"/>
  <c r="O93" i="3"/>
  <c r="P93" i="3"/>
  <c r="O94" i="3"/>
  <c r="P94" i="3"/>
  <c r="O95" i="3"/>
  <c r="P95" i="3"/>
  <c r="O96" i="3"/>
  <c r="P96" i="3"/>
  <c r="O97" i="3"/>
  <c r="P97" i="3"/>
  <c r="O98" i="3"/>
  <c r="P98" i="3"/>
  <c r="O99" i="3"/>
  <c r="P99" i="3"/>
  <c r="O100" i="3"/>
  <c r="P100" i="3"/>
  <c r="O101" i="3"/>
  <c r="P101" i="3"/>
  <c r="O102" i="3"/>
  <c r="P102" i="3"/>
  <c r="O103" i="3"/>
  <c r="P103" i="3"/>
  <c r="O104" i="3"/>
  <c r="P104" i="3"/>
  <c r="O105" i="3"/>
  <c r="P105" i="3"/>
  <c r="O106" i="3"/>
  <c r="P106" i="3"/>
  <c r="O107" i="3"/>
  <c r="P107" i="3"/>
  <c r="O108" i="3"/>
  <c r="P108" i="3"/>
  <c r="O109" i="3"/>
  <c r="P109" i="3"/>
  <c r="O110" i="3"/>
  <c r="P110" i="3"/>
  <c r="O111" i="3"/>
  <c r="P111" i="3"/>
  <c r="O112" i="3"/>
  <c r="P112" i="3"/>
  <c r="O113" i="3"/>
  <c r="P113" i="3"/>
  <c r="O114" i="3"/>
  <c r="P114" i="3"/>
  <c r="O115" i="3"/>
  <c r="P115" i="3"/>
  <c r="O116" i="3"/>
  <c r="P116" i="3"/>
  <c r="O117" i="3"/>
  <c r="P117" i="3"/>
  <c r="O118" i="3"/>
  <c r="P118" i="3"/>
  <c r="O119" i="3"/>
  <c r="P119" i="3"/>
  <c r="O120" i="3"/>
  <c r="P120" i="3"/>
  <c r="O121" i="3"/>
  <c r="P121" i="3"/>
  <c r="O122" i="3"/>
  <c r="P122" i="3"/>
  <c r="O123" i="3"/>
  <c r="P123" i="3"/>
  <c r="O124" i="3"/>
  <c r="P124" i="3"/>
  <c r="O125" i="3"/>
  <c r="P125" i="3"/>
  <c r="O126" i="3"/>
  <c r="P126" i="3"/>
  <c r="O127" i="3"/>
  <c r="P127" i="3"/>
  <c r="O128" i="3"/>
  <c r="P128" i="3"/>
  <c r="O129" i="3"/>
  <c r="P129" i="3"/>
  <c r="O130" i="3"/>
  <c r="P130" i="3"/>
  <c r="O131" i="3"/>
  <c r="P131" i="3"/>
  <c r="O132" i="3"/>
  <c r="P132" i="3"/>
  <c r="O133" i="3"/>
  <c r="P133" i="3"/>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O147" i="3"/>
  <c r="P147" i="3"/>
  <c r="O148" i="3"/>
  <c r="P148" i="3"/>
  <c r="O149" i="3"/>
  <c r="P149" i="3"/>
  <c r="O150" i="3"/>
  <c r="P150" i="3"/>
  <c r="O151" i="3"/>
  <c r="P151" i="3"/>
  <c r="O152" i="3"/>
  <c r="P152" i="3"/>
  <c r="O153" i="3"/>
  <c r="P153" i="3"/>
  <c r="O154" i="3"/>
  <c r="P154" i="3"/>
  <c r="O155" i="3"/>
  <c r="P155" i="3"/>
  <c r="O156" i="3"/>
  <c r="P156" i="3"/>
  <c r="O157" i="3"/>
  <c r="P157" i="3"/>
  <c r="O158" i="3"/>
  <c r="P158" i="3"/>
  <c r="O159" i="3"/>
  <c r="P159" i="3"/>
  <c r="O160" i="3"/>
  <c r="P160" i="3"/>
  <c r="O161" i="3"/>
  <c r="P161" i="3"/>
  <c r="O162" i="3"/>
  <c r="P162" i="3"/>
  <c r="O163" i="3"/>
  <c r="P163" i="3"/>
  <c r="O164" i="3"/>
  <c r="P164" i="3"/>
  <c r="O165" i="3"/>
  <c r="P165" i="3"/>
  <c r="O166" i="3"/>
  <c r="P166" i="3"/>
  <c r="O167" i="3"/>
  <c r="P167" i="3"/>
  <c r="O168" i="3"/>
  <c r="P168" i="3"/>
  <c r="O169" i="3"/>
  <c r="P169" i="3"/>
  <c r="O170" i="3"/>
  <c r="P170" i="3"/>
  <c r="O171" i="3"/>
  <c r="P171" i="3"/>
  <c r="O172" i="3"/>
  <c r="P172" i="3"/>
  <c r="O173" i="3"/>
  <c r="P173" i="3"/>
  <c r="O174" i="3"/>
  <c r="P174" i="3"/>
  <c r="O175" i="3"/>
  <c r="P175" i="3"/>
  <c r="O176" i="3"/>
  <c r="P176" i="3"/>
  <c r="O177" i="3"/>
  <c r="P177" i="3"/>
  <c r="O178" i="3"/>
  <c r="P178" i="3"/>
  <c r="O179" i="3"/>
  <c r="P179" i="3"/>
  <c r="O180" i="3"/>
  <c r="P180" i="3"/>
  <c r="O181" i="3"/>
  <c r="P181" i="3"/>
  <c r="O182" i="3"/>
  <c r="P182" i="3"/>
  <c r="O183" i="3"/>
  <c r="P183" i="3"/>
  <c r="O184" i="3"/>
  <c r="P184" i="3"/>
  <c r="O185" i="3"/>
  <c r="P185" i="3"/>
  <c r="O186" i="3"/>
  <c r="P186" i="3"/>
  <c r="O187" i="3"/>
  <c r="P187" i="3"/>
  <c r="O188" i="3"/>
  <c r="P188" i="3"/>
  <c r="O189" i="3"/>
  <c r="P189" i="3"/>
  <c r="O190" i="3"/>
  <c r="P190" i="3"/>
  <c r="O191" i="3"/>
  <c r="P191" i="3"/>
  <c r="O192" i="3"/>
  <c r="P192" i="3"/>
  <c r="O193" i="3"/>
  <c r="P193" i="3"/>
  <c r="O194" i="3"/>
  <c r="P194" i="3"/>
  <c r="O195" i="3"/>
  <c r="P195" i="3"/>
  <c r="O196" i="3"/>
  <c r="P196" i="3"/>
  <c r="O197" i="3"/>
  <c r="P197" i="3"/>
  <c r="O198" i="3"/>
  <c r="P198" i="3"/>
  <c r="O199" i="3"/>
  <c r="P199" i="3"/>
  <c r="O200" i="3"/>
  <c r="P200" i="3"/>
  <c r="O201" i="3"/>
  <c r="P201" i="3"/>
  <c r="O202" i="3"/>
  <c r="P202" i="3"/>
  <c r="O203" i="3"/>
  <c r="P203" i="3"/>
  <c r="O204" i="3"/>
  <c r="P204" i="3"/>
  <c r="O205" i="3"/>
  <c r="P205" i="3"/>
  <c r="O206" i="3"/>
  <c r="P206" i="3"/>
  <c r="O207" i="3"/>
  <c r="P207" i="3"/>
  <c r="O208" i="3"/>
  <c r="P208" i="3"/>
  <c r="O209" i="3"/>
  <c r="P209" i="3"/>
  <c r="O210" i="3"/>
  <c r="P210" i="3"/>
  <c r="O211" i="3"/>
  <c r="P211" i="3"/>
  <c r="O212" i="3"/>
  <c r="P212" i="3"/>
  <c r="O213" i="3"/>
  <c r="P213" i="3"/>
  <c r="O214" i="3"/>
  <c r="P214" i="3"/>
  <c r="O215" i="3"/>
  <c r="P215" i="3"/>
  <c r="O216" i="3"/>
  <c r="P216" i="3"/>
  <c r="O217" i="3"/>
  <c r="P217" i="3"/>
  <c r="O218" i="3"/>
  <c r="P218" i="3"/>
  <c r="O219" i="3"/>
  <c r="P219" i="3"/>
  <c r="O220" i="3"/>
  <c r="P220" i="3"/>
  <c r="O221" i="3"/>
  <c r="P221" i="3"/>
  <c r="O222" i="3"/>
  <c r="P222" i="3"/>
  <c r="O223" i="3"/>
  <c r="P223" i="3"/>
  <c r="O224" i="3"/>
  <c r="P224" i="3"/>
  <c r="O225" i="3"/>
  <c r="P225" i="3"/>
  <c r="O226" i="3"/>
  <c r="P226" i="3"/>
  <c r="O227" i="3"/>
  <c r="P227" i="3"/>
  <c r="O228" i="3"/>
  <c r="P228" i="3"/>
  <c r="O229" i="3"/>
  <c r="P229" i="3"/>
  <c r="O230" i="3"/>
  <c r="P230" i="3"/>
  <c r="O231" i="3"/>
  <c r="P231" i="3"/>
  <c r="O232" i="3"/>
  <c r="P232" i="3"/>
  <c r="O233" i="3"/>
  <c r="P233" i="3"/>
  <c r="O234" i="3"/>
  <c r="P234" i="3"/>
  <c r="O235" i="3"/>
  <c r="P235" i="3"/>
  <c r="O236" i="3"/>
  <c r="P236" i="3"/>
  <c r="O237" i="3"/>
  <c r="P237" i="3"/>
  <c r="O238" i="3"/>
  <c r="P238" i="3"/>
  <c r="O239" i="3"/>
  <c r="P239" i="3"/>
  <c r="O240" i="3"/>
  <c r="P240" i="3"/>
  <c r="O241" i="3"/>
  <c r="P241" i="3"/>
  <c r="O242" i="3"/>
  <c r="P242" i="3"/>
  <c r="O243" i="3"/>
  <c r="P243" i="3"/>
  <c r="O244" i="3"/>
  <c r="P244" i="3"/>
  <c r="O245" i="3"/>
  <c r="P245" i="3"/>
  <c r="O246" i="3"/>
  <c r="P246" i="3"/>
  <c r="O247" i="3"/>
  <c r="P247" i="3"/>
  <c r="O248" i="3"/>
  <c r="P248" i="3"/>
  <c r="O249" i="3"/>
  <c r="P249" i="3"/>
  <c r="O250" i="3"/>
  <c r="P250" i="3"/>
  <c r="O251" i="3"/>
  <c r="P251" i="3"/>
  <c r="O252" i="3"/>
  <c r="P252" i="3"/>
  <c r="O253" i="3"/>
  <c r="P253" i="3"/>
  <c r="O254" i="3"/>
  <c r="P254" i="3"/>
  <c r="O255" i="3"/>
  <c r="P255" i="3"/>
  <c r="O256" i="3"/>
  <c r="P256" i="3"/>
  <c r="O257" i="3"/>
  <c r="P257" i="3"/>
  <c r="O258" i="3"/>
  <c r="P258" i="3"/>
  <c r="O259" i="3"/>
  <c r="P259" i="3"/>
  <c r="O260" i="3"/>
  <c r="P260" i="3"/>
  <c r="O261" i="3"/>
  <c r="P261" i="3"/>
  <c r="O262" i="3"/>
  <c r="P262" i="3"/>
  <c r="O263" i="3"/>
  <c r="P263" i="3"/>
  <c r="O264" i="3"/>
  <c r="P264" i="3"/>
  <c r="O265" i="3"/>
  <c r="P265" i="3"/>
  <c r="O266" i="3"/>
  <c r="P266" i="3"/>
  <c r="O267" i="3"/>
  <c r="P267" i="3"/>
  <c r="O268" i="3"/>
  <c r="P268" i="3"/>
  <c r="O269" i="3"/>
  <c r="P269" i="3"/>
  <c r="O270" i="3"/>
  <c r="P270" i="3"/>
  <c r="O271" i="3"/>
  <c r="P271" i="3"/>
  <c r="O272" i="3"/>
  <c r="P272" i="3"/>
  <c r="O273" i="3"/>
  <c r="P273" i="3"/>
  <c r="O274" i="3"/>
  <c r="P274" i="3"/>
  <c r="O275" i="3"/>
  <c r="P275" i="3"/>
  <c r="O276" i="3"/>
  <c r="P276" i="3"/>
  <c r="O277" i="3"/>
  <c r="P277" i="3"/>
  <c r="O278" i="3"/>
  <c r="P278" i="3"/>
  <c r="O279" i="3"/>
  <c r="P279" i="3"/>
  <c r="O280" i="3"/>
  <c r="P280" i="3"/>
  <c r="O281" i="3"/>
  <c r="P281" i="3"/>
  <c r="O282" i="3"/>
  <c r="P282" i="3"/>
  <c r="O283" i="3"/>
  <c r="P283" i="3"/>
  <c r="O284" i="3"/>
  <c r="P284" i="3"/>
  <c r="O285" i="3"/>
  <c r="P285" i="3"/>
  <c r="O286" i="3"/>
  <c r="P286" i="3"/>
  <c r="O287" i="3"/>
  <c r="P287" i="3"/>
  <c r="O288" i="3"/>
  <c r="P288" i="3"/>
  <c r="O289" i="3"/>
  <c r="P289" i="3"/>
  <c r="O290" i="3"/>
  <c r="P290" i="3"/>
  <c r="O291" i="3"/>
  <c r="P291" i="3"/>
  <c r="O292" i="3"/>
  <c r="P292" i="3"/>
  <c r="O293" i="3"/>
  <c r="P293" i="3"/>
  <c r="O294" i="3"/>
  <c r="P294" i="3"/>
  <c r="O295" i="3"/>
  <c r="P295" i="3"/>
  <c r="O296" i="3"/>
  <c r="P296" i="3"/>
  <c r="O297" i="3"/>
  <c r="P297" i="3"/>
  <c r="O298" i="3"/>
  <c r="P298" i="3"/>
  <c r="O299" i="3"/>
  <c r="P299" i="3"/>
  <c r="O300" i="3"/>
  <c r="P300" i="3"/>
  <c r="O301" i="3"/>
  <c r="P301" i="3"/>
  <c r="O302" i="3"/>
  <c r="P302" i="3"/>
  <c r="O303" i="3"/>
  <c r="P303" i="3"/>
  <c r="O304" i="3"/>
  <c r="P304" i="3"/>
  <c r="O305" i="3"/>
  <c r="P305" i="3"/>
  <c r="O306" i="3"/>
  <c r="P306" i="3"/>
  <c r="O307" i="3"/>
  <c r="P307" i="3"/>
  <c r="O308" i="3"/>
  <c r="P308" i="3"/>
  <c r="O309" i="3"/>
  <c r="P309" i="3"/>
  <c r="O310" i="3"/>
  <c r="P310" i="3"/>
  <c r="O311" i="3"/>
  <c r="P311" i="3"/>
  <c r="O312" i="3"/>
  <c r="P312" i="3"/>
  <c r="O313" i="3"/>
  <c r="P313" i="3"/>
  <c r="O314" i="3"/>
  <c r="P314" i="3"/>
  <c r="O315" i="3"/>
  <c r="P315" i="3"/>
  <c r="O316" i="3"/>
  <c r="P316" i="3"/>
  <c r="O317" i="3"/>
  <c r="P317" i="3"/>
  <c r="O318" i="3"/>
  <c r="P318" i="3"/>
  <c r="O319" i="3"/>
  <c r="P319" i="3"/>
  <c r="O320" i="3"/>
  <c r="P320" i="3"/>
  <c r="O321" i="3"/>
  <c r="P321" i="3"/>
  <c r="O322" i="3"/>
  <c r="P322" i="3"/>
  <c r="O323" i="3"/>
  <c r="P323" i="3"/>
  <c r="O324" i="3"/>
  <c r="P324" i="3"/>
  <c r="O325" i="3"/>
  <c r="P325" i="3"/>
  <c r="O326" i="3"/>
  <c r="P326" i="3"/>
  <c r="O327" i="3"/>
  <c r="P327" i="3"/>
  <c r="O328" i="3"/>
  <c r="P328" i="3"/>
  <c r="O329" i="3"/>
  <c r="P329" i="3"/>
  <c r="O330" i="3"/>
  <c r="P330" i="3"/>
  <c r="O331" i="3"/>
  <c r="P331" i="3"/>
  <c r="O332" i="3"/>
  <c r="P332" i="3"/>
  <c r="O333" i="3"/>
  <c r="P333" i="3"/>
  <c r="O334" i="3"/>
  <c r="P334" i="3"/>
  <c r="O335" i="3"/>
  <c r="P335" i="3"/>
  <c r="O336" i="3"/>
  <c r="P336" i="3"/>
  <c r="O337" i="3"/>
  <c r="P337" i="3"/>
  <c r="O338" i="3"/>
  <c r="P338" i="3"/>
  <c r="O339" i="3"/>
  <c r="P339" i="3"/>
  <c r="O340" i="3"/>
  <c r="P340" i="3"/>
  <c r="O341" i="3"/>
  <c r="P341" i="3"/>
  <c r="O342" i="3"/>
  <c r="P342" i="3"/>
  <c r="O343" i="3"/>
  <c r="P343" i="3"/>
  <c r="O344" i="3"/>
  <c r="P344" i="3"/>
  <c r="O345" i="3"/>
  <c r="P345" i="3"/>
  <c r="O346" i="3"/>
  <c r="P346" i="3"/>
  <c r="O347" i="3"/>
  <c r="P347" i="3"/>
  <c r="O348" i="3"/>
  <c r="P348" i="3"/>
  <c r="O349" i="3"/>
  <c r="P349" i="3"/>
  <c r="O350" i="3"/>
  <c r="P350" i="3"/>
  <c r="O351" i="3"/>
  <c r="P351" i="3"/>
  <c r="O352" i="3"/>
  <c r="P352" i="3"/>
  <c r="O353" i="3"/>
  <c r="P353" i="3"/>
  <c r="O354" i="3"/>
  <c r="P354" i="3"/>
  <c r="O355" i="3"/>
  <c r="P355" i="3"/>
  <c r="O356" i="3"/>
  <c r="P356" i="3"/>
  <c r="O357" i="3"/>
  <c r="P357" i="3"/>
  <c r="O358" i="3"/>
  <c r="P358" i="3"/>
  <c r="O359" i="3"/>
  <c r="P359" i="3"/>
  <c r="O360" i="3"/>
  <c r="P360" i="3"/>
  <c r="O361" i="3"/>
  <c r="P361" i="3"/>
  <c r="O362" i="3"/>
  <c r="P362" i="3"/>
  <c r="O363" i="3"/>
  <c r="P363" i="3"/>
  <c r="O364" i="3"/>
  <c r="P364" i="3"/>
  <c r="O365" i="3"/>
  <c r="P365" i="3"/>
  <c r="O366" i="3"/>
  <c r="P366" i="3"/>
  <c r="O367" i="3"/>
  <c r="P367" i="3"/>
  <c r="O368" i="3"/>
  <c r="P368" i="3"/>
  <c r="O369" i="3"/>
  <c r="P369" i="3"/>
  <c r="O370" i="3"/>
  <c r="P370" i="3"/>
  <c r="O371" i="3"/>
  <c r="P371" i="3"/>
  <c r="O372" i="3"/>
  <c r="P372" i="3"/>
  <c r="O373" i="3"/>
  <c r="P373" i="3"/>
  <c r="O374" i="3"/>
  <c r="P374" i="3"/>
  <c r="O375" i="3"/>
  <c r="P375" i="3"/>
  <c r="O376" i="3"/>
  <c r="P376" i="3"/>
  <c r="O377" i="3"/>
  <c r="P377" i="3"/>
  <c r="O378" i="3"/>
  <c r="P378" i="3"/>
  <c r="O379" i="3"/>
  <c r="P379" i="3"/>
  <c r="O380" i="3"/>
  <c r="P380" i="3"/>
  <c r="O381" i="3"/>
  <c r="P381" i="3"/>
  <c r="O382" i="3"/>
  <c r="P382" i="3"/>
  <c r="O383" i="3"/>
  <c r="P383" i="3"/>
  <c r="O384" i="3"/>
  <c r="P384" i="3"/>
  <c r="O385" i="3"/>
  <c r="P385" i="3"/>
  <c r="O386" i="3"/>
  <c r="P386" i="3"/>
  <c r="O387" i="3"/>
  <c r="P387" i="3"/>
  <c r="O388" i="3"/>
  <c r="P388" i="3"/>
  <c r="O389" i="3"/>
  <c r="P389" i="3"/>
  <c r="O390" i="3"/>
  <c r="P390" i="3"/>
  <c r="O391" i="3"/>
  <c r="P391" i="3"/>
  <c r="O392" i="3"/>
  <c r="P392" i="3"/>
  <c r="O393" i="3"/>
  <c r="P393" i="3"/>
  <c r="O394" i="3"/>
  <c r="P394" i="3"/>
  <c r="O395" i="3"/>
  <c r="P395" i="3"/>
  <c r="O396" i="3"/>
  <c r="P396" i="3"/>
  <c r="O397" i="3"/>
  <c r="P397" i="3"/>
  <c r="O398" i="3"/>
  <c r="P398" i="3"/>
  <c r="O399" i="3"/>
  <c r="P399" i="3"/>
  <c r="O400" i="3"/>
  <c r="P400" i="3"/>
  <c r="O401" i="3"/>
  <c r="P401" i="3"/>
  <c r="O402" i="3"/>
  <c r="P402" i="3"/>
  <c r="O403" i="3"/>
  <c r="P403" i="3"/>
  <c r="O404" i="3"/>
  <c r="P404" i="3"/>
  <c r="O405" i="3"/>
  <c r="P405" i="3"/>
  <c r="O406" i="3"/>
  <c r="P406" i="3"/>
  <c r="O407" i="3"/>
  <c r="P407" i="3"/>
  <c r="O408" i="3"/>
  <c r="P408" i="3"/>
  <c r="O409" i="3"/>
  <c r="P409" i="3"/>
  <c r="O410" i="3"/>
  <c r="P410" i="3"/>
  <c r="O411" i="3"/>
  <c r="P411" i="3"/>
  <c r="O412" i="3"/>
  <c r="P412" i="3"/>
  <c r="O413" i="3"/>
  <c r="P413" i="3"/>
  <c r="O414" i="3"/>
  <c r="P414" i="3"/>
  <c r="O415" i="3"/>
  <c r="P415" i="3"/>
  <c r="O416" i="3"/>
  <c r="P416" i="3"/>
  <c r="O417" i="3"/>
  <c r="P417" i="3"/>
  <c r="O418" i="3"/>
  <c r="P418" i="3"/>
  <c r="O419" i="3"/>
  <c r="P419" i="3"/>
  <c r="O420" i="3"/>
  <c r="P420" i="3"/>
  <c r="O421" i="3"/>
  <c r="P421" i="3"/>
  <c r="O422" i="3"/>
  <c r="P422" i="3"/>
  <c r="O423" i="3"/>
  <c r="P423" i="3"/>
  <c r="O424" i="3"/>
  <c r="P424" i="3"/>
  <c r="O425" i="3"/>
  <c r="P425" i="3"/>
  <c r="O426" i="3"/>
  <c r="P426" i="3"/>
  <c r="O427" i="3"/>
  <c r="P427" i="3"/>
  <c r="O428" i="3"/>
  <c r="P428" i="3"/>
  <c r="O429" i="3"/>
  <c r="P429" i="3"/>
  <c r="O430" i="3"/>
  <c r="P430" i="3"/>
  <c r="O431" i="3"/>
  <c r="P431" i="3"/>
  <c r="O432" i="3"/>
  <c r="P432" i="3"/>
  <c r="O433" i="3"/>
  <c r="P433" i="3"/>
  <c r="O434" i="3"/>
  <c r="P434" i="3"/>
  <c r="O435" i="3"/>
  <c r="P435" i="3"/>
  <c r="O436" i="3"/>
  <c r="P436" i="3"/>
  <c r="O437" i="3"/>
  <c r="P437" i="3"/>
  <c r="O438" i="3"/>
  <c r="P438" i="3"/>
  <c r="O439" i="3"/>
  <c r="P439" i="3"/>
  <c r="O440" i="3"/>
  <c r="P440" i="3"/>
  <c r="O441" i="3"/>
  <c r="P441" i="3"/>
  <c r="O442" i="3"/>
  <c r="P442" i="3"/>
  <c r="O443" i="3"/>
  <c r="P443" i="3"/>
  <c r="O444" i="3"/>
  <c r="P444" i="3"/>
  <c r="O445" i="3"/>
  <c r="P445" i="3"/>
  <c r="O446" i="3"/>
  <c r="P446" i="3"/>
  <c r="O447" i="3"/>
  <c r="P447" i="3"/>
  <c r="O448" i="3"/>
  <c r="P448" i="3"/>
  <c r="O449" i="3"/>
  <c r="P449" i="3"/>
  <c r="O450" i="3"/>
  <c r="P450" i="3"/>
  <c r="O451" i="3"/>
  <c r="P451" i="3"/>
  <c r="O452" i="3"/>
  <c r="P452" i="3"/>
  <c r="O453" i="3"/>
  <c r="P453" i="3"/>
  <c r="O454" i="3"/>
  <c r="P454" i="3"/>
  <c r="O455" i="3"/>
  <c r="P455" i="3"/>
  <c r="O456" i="3"/>
  <c r="P456" i="3"/>
  <c r="O457" i="3"/>
  <c r="P457" i="3"/>
  <c r="O458" i="3"/>
  <c r="P458" i="3"/>
  <c r="O459" i="3"/>
  <c r="P459" i="3"/>
  <c r="O460" i="3"/>
  <c r="P460" i="3"/>
  <c r="O461" i="3"/>
  <c r="P461" i="3"/>
  <c r="O462" i="3"/>
  <c r="P462" i="3"/>
  <c r="O463" i="3"/>
  <c r="P463" i="3"/>
  <c r="O464" i="3"/>
  <c r="P464" i="3"/>
  <c r="O465" i="3"/>
  <c r="P465" i="3"/>
  <c r="O466" i="3"/>
  <c r="P466" i="3"/>
  <c r="O467" i="3"/>
  <c r="P467" i="3"/>
  <c r="O468" i="3"/>
  <c r="P468" i="3"/>
  <c r="O469" i="3"/>
  <c r="P469" i="3"/>
  <c r="O470" i="3"/>
  <c r="P470" i="3"/>
  <c r="O471" i="3"/>
  <c r="P471" i="3"/>
  <c r="O472" i="3"/>
  <c r="P472" i="3"/>
  <c r="O473" i="3"/>
  <c r="P473" i="3"/>
  <c r="O474" i="3"/>
  <c r="P474" i="3"/>
  <c r="O475" i="3"/>
  <c r="P475" i="3"/>
  <c r="O476" i="3"/>
  <c r="P476" i="3"/>
  <c r="O477" i="3"/>
  <c r="P477" i="3"/>
  <c r="O478" i="3"/>
  <c r="P478" i="3"/>
  <c r="O479" i="3"/>
  <c r="P479" i="3"/>
  <c r="O480" i="3"/>
  <c r="P480" i="3"/>
  <c r="O481" i="3"/>
  <c r="P481" i="3"/>
  <c r="O482" i="3"/>
  <c r="P482" i="3"/>
  <c r="O483" i="3"/>
  <c r="P483" i="3"/>
  <c r="O484" i="3"/>
  <c r="P484" i="3"/>
  <c r="O485" i="3"/>
  <c r="P485" i="3"/>
  <c r="O486" i="3"/>
  <c r="P486" i="3"/>
  <c r="O487" i="3"/>
  <c r="P487" i="3"/>
  <c r="O488" i="3"/>
  <c r="P488" i="3"/>
  <c r="O489" i="3"/>
  <c r="P489" i="3"/>
  <c r="O490" i="3"/>
  <c r="P490" i="3"/>
  <c r="O491" i="3"/>
  <c r="P491" i="3"/>
  <c r="O492" i="3"/>
  <c r="P492" i="3"/>
  <c r="O493" i="3"/>
  <c r="P493" i="3"/>
  <c r="O494" i="3"/>
  <c r="P494" i="3"/>
  <c r="O495" i="3"/>
  <c r="P495" i="3"/>
  <c r="O496" i="3"/>
  <c r="P496" i="3"/>
  <c r="O497" i="3"/>
  <c r="P497" i="3"/>
  <c r="O498" i="3"/>
  <c r="P498" i="3"/>
  <c r="O499" i="3"/>
  <c r="P499" i="3"/>
  <c r="O500" i="3"/>
  <c r="P500" i="3"/>
  <c r="O501" i="3"/>
  <c r="P501" i="3"/>
  <c r="O502" i="3"/>
  <c r="P502" i="3"/>
  <c r="O503" i="3"/>
  <c r="P503" i="3"/>
  <c r="O504" i="3"/>
  <c r="P504" i="3"/>
  <c r="O505" i="3"/>
  <c r="P505" i="3"/>
  <c r="O506" i="3"/>
  <c r="P506" i="3"/>
  <c r="O507" i="3"/>
  <c r="P507" i="3"/>
  <c r="O508" i="3"/>
  <c r="P508" i="3"/>
  <c r="O509" i="3"/>
  <c r="P509" i="3"/>
  <c r="O510" i="3"/>
  <c r="P510" i="3"/>
  <c r="O511" i="3"/>
  <c r="P511" i="3"/>
  <c r="O512" i="3"/>
  <c r="P512" i="3"/>
  <c r="O513" i="3"/>
  <c r="P513" i="3"/>
  <c r="O514" i="3"/>
  <c r="P514" i="3"/>
  <c r="O515" i="3"/>
  <c r="P515" i="3"/>
  <c r="O516" i="3"/>
  <c r="P516" i="3"/>
  <c r="O517" i="3"/>
  <c r="P517" i="3"/>
  <c r="O518" i="3"/>
  <c r="P518" i="3"/>
  <c r="O519" i="3"/>
  <c r="P519" i="3"/>
  <c r="O520" i="3"/>
  <c r="P520" i="3"/>
  <c r="O521" i="3"/>
  <c r="P521" i="3"/>
  <c r="O522" i="3"/>
  <c r="P522" i="3"/>
  <c r="O523" i="3"/>
  <c r="P523" i="3"/>
  <c r="O524" i="3"/>
  <c r="P524" i="3"/>
  <c r="O525" i="3"/>
  <c r="P525" i="3"/>
  <c r="O526" i="3"/>
  <c r="P526" i="3"/>
  <c r="O527" i="3"/>
  <c r="P527" i="3"/>
  <c r="O528" i="3"/>
  <c r="P528" i="3"/>
  <c r="O529" i="3"/>
  <c r="P529" i="3"/>
  <c r="O530" i="3"/>
  <c r="P530" i="3"/>
  <c r="O531" i="3"/>
  <c r="P531" i="3"/>
  <c r="O532" i="3"/>
  <c r="P532" i="3"/>
  <c r="O533" i="3"/>
  <c r="P533" i="3"/>
  <c r="O534" i="3"/>
  <c r="P534" i="3"/>
  <c r="O535" i="3"/>
  <c r="P535" i="3"/>
  <c r="O536" i="3"/>
  <c r="P536" i="3"/>
  <c r="O537" i="3"/>
  <c r="P537" i="3"/>
  <c r="O538" i="3"/>
  <c r="P538" i="3"/>
  <c r="O539" i="3"/>
  <c r="P539" i="3"/>
  <c r="O540" i="3"/>
  <c r="P540" i="3"/>
  <c r="O541" i="3"/>
  <c r="P541" i="3"/>
  <c r="O542" i="3"/>
  <c r="P542" i="3"/>
  <c r="O543" i="3"/>
  <c r="P543" i="3"/>
  <c r="O544" i="3"/>
  <c r="P544" i="3"/>
  <c r="O545" i="3"/>
  <c r="P545" i="3"/>
  <c r="O546" i="3"/>
  <c r="P546" i="3"/>
  <c r="O547" i="3"/>
  <c r="P547" i="3"/>
  <c r="O548" i="3"/>
  <c r="P548" i="3"/>
  <c r="O549" i="3"/>
  <c r="P549" i="3"/>
  <c r="O550" i="3"/>
  <c r="P550" i="3"/>
  <c r="O551" i="3"/>
  <c r="P551" i="3"/>
  <c r="O552" i="3"/>
  <c r="P552" i="3"/>
  <c r="O553" i="3"/>
  <c r="P553" i="3"/>
  <c r="O554" i="3"/>
  <c r="P554" i="3"/>
  <c r="O555" i="3"/>
  <c r="P555" i="3"/>
  <c r="O556" i="3"/>
  <c r="P556" i="3"/>
  <c r="O557" i="3"/>
  <c r="P557" i="3"/>
  <c r="O558" i="3"/>
  <c r="P558" i="3"/>
  <c r="O559" i="3"/>
  <c r="P559" i="3"/>
  <c r="O560" i="3"/>
  <c r="P560" i="3"/>
  <c r="O561" i="3"/>
  <c r="P561" i="3"/>
  <c r="O562" i="3"/>
  <c r="P562" i="3"/>
  <c r="O563" i="3"/>
  <c r="P563" i="3"/>
  <c r="O564" i="3"/>
  <c r="P564" i="3"/>
  <c r="O565" i="3"/>
  <c r="P565" i="3"/>
  <c r="O566" i="3"/>
  <c r="P566" i="3"/>
  <c r="O567" i="3"/>
  <c r="P567" i="3"/>
  <c r="O568" i="3"/>
  <c r="P568" i="3"/>
  <c r="O569" i="3"/>
  <c r="P569" i="3"/>
  <c r="O570" i="3"/>
  <c r="P570" i="3"/>
  <c r="O571" i="3"/>
  <c r="P571" i="3"/>
  <c r="O572" i="3"/>
  <c r="P572" i="3"/>
  <c r="O573" i="3"/>
  <c r="P573" i="3"/>
  <c r="O574" i="3"/>
  <c r="P574" i="3"/>
  <c r="O575" i="3"/>
  <c r="P575" i="3"/>
  <c r="O576" i="3"/>
  <c r="P576" i="3"/>
  <c r="O577" i="3"/>
  <c r="P577" i="3"/>
  <c r="O578" i="3"/>
  <c r="P578" i="3"/>
  <c r="O579" i="3"/>
  <c r="P579" i="3"/>
  <c r="O580" i="3"/>
  <c r="P580" i="3"/>
  <c r="O581" i="3"/>
  <c r="P581" i="3"/>
  <c r="O582" i="3"/>
  <c r="P582" i="3"/>
  <c r="O583" i="3"/>
  <c r="P583" i="3"/>
  <c r="O584" i="3"/>
  <c r="P584" i="3"/>
  <c r="O585" i="3"/>
  <c r="P585" i="3"/>
  <c r="O586" i="3"/>
  <c r="P586" i="3"/>
  <c r="O587" i="3"/>
  <c r="P587" i="3"/>
  <c r="O588" i="3"/>
  <c r="P588" i="3"/>
  <c r="O589" i="3"/>
  <c r="P589" i="3"/>
  <c r="O590" i="3"/>
  <c r="P590" i="3"/>
  <c r="O591" i="3"/>
  <c r="P591" i="3"/>
  <c r="O592" i="3"/>
  <c r="P592" i="3"/>
  <c r="O593" i="3"/>
  <c r="P593" i="3"/>
  <c r="O594" i="3"/>
  <c r="P594" i="3"/>
  <c r="O595" i="3"/>
  <c r="P595" i="3"/>
  <c r="O596" i="3"/>
  <c r="P596" i="3"/>
  <c r="O597" i="3"/>
  <c r="P597" i="3"/>
  <c r="O598" i="3"/>
  <c r="P598" i="3"/>
  <c r="O599" i="3"/>
  <c r="P599" i="3"/>
  <c r="O600" i="3"/>
  <c r="P600" i="3"/>
  <c r="O601" i="3"/>
  <c r="P601" i="3"/>
  <c r="O602" i="3"/>
  <c r="P602" i="3"/>
  <c r="O603" i="3"/>
  <c r="P603" i="3"/>
  <c r="O604" i="3"/>
  <c r="P604" i="3"/>
  <c r="O605" i="3"/>
  <c r="P605" i="3"/>
  <c r="O606" i="3"/>
  <c r="P606" i="3"/>
  <c r="O607" i="3"/>
  <c r="P607" i="3"/>
  <c r="O608" i="3"/>
  <c r="P608" i="3"/>
  <c r="O609" i="3"/>
  <c r="P609" i="3"/>
  <c r="O610" i="3"/>
  <c r="P610" i="3"/>
  <c r="O611" i="3"/>
  <c r="P611" i="3"/>
  <c r="O612" i="3"/>
  <c r="P612" i="3"/>
  <c r="O613" i="3"/>
  <c r="P613" i="3"/>
  <c r="O614" i="3"/>
  <c r="P614" i="3"/>
  <c r="O615" i="3"/>
  <c r="P615" i="3"/>
  <c r="O616" i="3"/>
  <c r="P616" i="3"/>
  <c r="O617" i="3"/>
  <c r="P617" i="3"/>
  <c r="O618" i="3"/>
  <c r="P618" i="3"/>
  <c r="O619" i="3"/>
  <c r="P619" i="3"/>
  <c r="O620" i="3"/>
  <c r="P620" i="3"/>
  <c r="O621" i="3"/>
  <c r="P621" i="3"/>
  <c r="O622" i="3"/>
  <c r="P622" i="3"/>
  <c r="O623" i="3"/>
  <c r="P623" i="3"/>
  <c r="O624" i="3"/>
  <c r="P624" i="3"/>
  <c r="O625" i="3"/>
  <c r="P625" i="3"/>
  <c r="O626" i="3"/>
  <c r="P626" i="3"/>
  <c r="O627" i="3"/>
  <c r="P627" i="3"/>
  <c r="O628" i="3"/>
  <c r="P628" i="3"/>
  <c r="O629" i="3"/>
  <c r="P629" i="3"/>
  <c r="O630" i="3"/>
  <c r="P630" i="3"/>
  <c r="O631" i="3"/>
  <c r="P631" i="3"/>
  <c r="O632" i="3"/>
  <c r="P632" i="3"/>
  <c r="O633" i="3"/>
  <c r="P633" i="3"/>
  <c r="O634" i="3"/>
  <c r="P634" i="3"/>
  <c r="O635" i="3"/>
  <c r="P635" i="3"/>
  <c r="O636" i="3"/>
  <c r="P636" i="3"/>
  <c r="O637" i="3"/>
  <c r="P637" i="3"/>
  <c r="O638" i="3"/>
  <c r="P638" i="3"/>
  <c r="O639" i="3"/>
  <c r="P639" i="3"/>
  <c r="O640" i="3"/>
  <c r="P640" i="3"/>
  <c r="O641" i="3"/>
  <c r="P641" i="3"/>
  <c r="O642" i="3"/>
  <c r="P642" i="3"/>
  <c r="O643" i="3"/>
  <c r="P643" i="3"/>
  <c r="O644" i="3"/>
  <c r="P644" i="3"/>
  <c r="O645" i="3"/>
  <c r="P645" i="3"/>
  <c r="O646" i="3"/>
  <c r="P646" i="3"/>
  <c r="O647" i="3"/>
  <c r="P647" i="3"/>
  <c r="O648" i="3"/>
  <c r="P648" i="3"/>
  <c r="O649" i="3"/>
  <c r="P649" i="3"/>
  <c r="O650" i="3"/>
  <c r="P650" i="3"/>
  <c r="O651" i="3"/>
  <c r="P651" i="3"/>
  <c r="O652" i="3"/>
  <c r="P652" i="3"/>
  <c r="O653" i="3"/>
  <c r="P653" i="3"/>
  <c r="O654" i="3"/>
  <c r="P654" i="3"/>
  <c r="O655" i="3"/>
  <c r="P655" i="3"/>
  <c r="O656" i="3"/>
  <c r="P656" i="3"/>
  <c r="O657" i="3"/>
  <c r="P657" i="3"/>
  <c r="O658" i="3"/>
  <c r="P658" i="3"/>
  <c r="O659" i="3"/>
  <c r="P659" i="3"/>
  <c r="O660" i="3"/>
  <c r="P660" i="3"/>
  <c r="O661" i="3"/>
  <c r="P661" i="3"/>
  <c r="O662" i="3"/>
  <c r="P662" i="3"/>
  <c r="O663" i="3"/>
  <c r="P663" i="3"/>
  <c r="O664" i="3"/>
  <c r="P664" i="3"/>
  <c r="O665" i="3"/>
  <c r="P665" i="3"/>
  <c r="O666" i="3"/>
  <c r="P666" i="3"/>
  <c r="O667" i="3"/>
  <c r="P667" i="3"/>
  <c r="O668" i="3"/>
  <c r="P668" i="3"/>
  <c r="O669" i="3"/>
  <c r="P669" i="3"/>
  <c r="O670" i="3"/>
  <c r="P670" i="3"/>
  <c r="O671" i="3"/>
  <c r="P671" i="3"/>
  <c r="O672" i="3"/>
  <c r="P672" i="3"/>
  <c r="O673" i="3"/>
  <c r="P673" i="3"/>
  <c r="O674" i="3"/>
  <c r="P674" i="3"/>
  <c r="O675" i="3"/>
  <c r="P675" i="3"/>
  <c r="O676" i="3"/>
  <c r="P676" i="3"/>
  <c r="O677" i="3"/>
  <c r="P677" i="3"/>
  <c r="O678" i="3"/>
  <c r="P678" i="3"/>
  <c r="O679" i="3"/>
  <c r="P679" i="3"/>
  <c r="O680" i="3"/>
  <c r="P680" i="3"/>
  <c r="O681" i="3"/>
  <c r="P681" i="3"/>
  <c r="O682" i="3"/>
  <c r="P682" i="3"/>
  <c r="O683" i="3"/>
  <c r="P683" i="3"/>
  <c r="O684" i="3"/>
  <c r="P684" i="3"/>
  <c r="O685" i="3"/>
  <c r="P685" i="3"/>
  <c r="O686" i="3"/>
  <c r="P686" i="3"/>
  <c r="O687" i="3"/>
  <c r="P687" i="3"/>
  <c r="O688" i="3"/>
  <c r="P688" i="3"/>
  <c r="O689" i="3"/>
  <c r="P689" i="3"/>
  <c r="O690" i="3"/>
  <c r="P690" i="3"/>
  <c r="O691" i="3"/>
  <c r="P691" i="3"/>
  <c r="O692" i="3"/>
  <c r="P692" i="3"/>
  <c r="O693" i="3"/>
  <c r="P693" i="3"/>
  <c r="O694" i="3"/>
  <c r="P694" i="3"/>
  <c r="O695" i="3"/>
  <c r="P695" i="3"/>
  <c r="O696" i="3"/>
  <c r="P696" i="3"/>
  <c r="O697" i="3"/>
  <c r="P697" i="3"/>
  <c r="O698" i="3"/>
  <c r="P698" i="3"/>
  <c r="O699" i="3"/>
  <c r="P699" i="3"/>
  <c r="O700" i="3"/>
  <c r="P700" i="3"/>
  <c r="O701" i="3"/>
  <c r="P701" i="3"/>
  <c r="O702" i="3"/>
  <c r="P702" i="3"/>
  <c r="O703" i="3"/>
  <c r="P703" i="3"/>
  <c r="O704" i="3"/>
  <c r="P704" i="3"/>
  <c r="O705" i="3"/>
  <c r="P705" i="3"/>
  <c r="O706" i="3"/>
  <c r="P706" i="3"/>
  <c r="O707" i="3"/>
  <c r="P707" i="3"/>
  <c r="O708" i="3"/>
  <c r="P708" i="3"/>
  <c r="O709" i="3"/>
  <c r="P709" i="3"/>
  <c r="O710" i="3"/>
  <c r="P710" i="3"/>
  <c r="O711" i="3"/>
  <c r="P711" i="3"/>
  <c r="O712" i="3"/>
  <c r="P712" i="3"/>
  <c r="O713" i="3"/>
  <c r="P713" i="3"/>
  <c r="O714" i="3"/>
  <c r="P714" i="3"/>
  <c r="O715" i="3"/>
  <c r="P715" i="3"/>
  <c r="O716" i="3"/>
  <c r="P716" i="3"/>
  <c r="O717" i="3"/>
  <c r="P717" i="3"/>
  <c r="O718" i="3"/>
  <c r="P718" i="3"/>
  <c r="O719" i="3"/>
  <c r="P719" i="3"/>
  <c r="O720" i="3"/>
  <c r="P720" i="3"/>
  <c r="O721" i="3"/>
  <c r="P721" i="3"/>
  <c r="O722" i="3"/>
  <c r="P722" i="3"/>
  <c r="O723" i="3"/>
  <c r="P723" i="3"/>
  <c r="O724" i="3"/>
  <c r="P724" i="3"/>
  <c r="O725" i="3"/>
  <c r="P725" i="3"/>
  <c r="O726" i="3"/>
  <c r="P726" i="3"/>
  <c r="O727" i="3"/>
  <c r="P727" i="3"/>
  <c r="O728" i="3"/>
  <c r="P728" i="3"/>
  <c r="O729" i="3"/>
  <c r="P729" i="3"/>
  <c r="O730" i="3"/>
  <c r="P730" i="3"/>
  <c r="O731" i="3"/>
  <c r="P731" i="3"/>
  <c r="O732" i="3"/>
  <c r="P732" i="3"/>
  <c r="O733" i="3"/>
  <c r="P733" i="3"/>
  <c r="O734" i="3"/>
  <c r="P734" i="3"/>
  <c r="O735" i="3"/>
  <c r="P735" i="3"/>
  <c r="P1" i="3"/>
  <c r="O1" i="3"/>
  <c r="N351" i="3" l="1"/>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A351" i="4" l="1"/>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B2" i="4" l="1"/>
  <c r="C2" i="4" s="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A335" i="4" s="1"/>
  <c r="B336" i="4"/>
  <c r="B337" i="4"/>
  <c r="B338" i="4"/>
  <c r="B339" i="4"/>
  <c r="B340" i="4"/>
  <c r="B341" i="4"/>
  <c r="B342" i="4"/>
  <c r="B343" i="4"/>
  <c r="B344" i="4"/>
  <c r="B345" i="4"/>
  <c r="B346" i="4"/>
  <c r="B347" i="4"/>
  <c r="B348" i="4"/>
  <c r="B349" i="4"/>
  <c r="B350" i="4"/>
  <c r="B351" i="4"/>
  <c r="B352" i="4"/>
  <c r="C352" i="4" s="1"/>
  <c r="B353" i="4"/>
  <c r="C353" i="4" s="1"/>
  <c r="B354" i="4"/>
  <c r="C354" i="4" s="1"/>
  <c r="B355" i="4"/>
  <c r="C355" i="4" s="1"/>
  <c r="B356" i="4"/>
  <c r="C356" i="4" s="1"/>
  <c r="B357" i="4"/>
  <c r="C357" i="4" s="1"/>
  <c r="B358" i="4"/>
  <c r="C358" i="4" s="1"/>
  <c r="B359" i="4"/>
  <c r="B360" i="4"/>
  <c r="B361" i="4"/>
  <c r="B362" i="4"/>
  <c r="C362" i="4" s="1"/>
  <c r="B363" i="4"/>
  <c r="C363" i="4" s="1"/>
  <c r="B364" i="4"/>
  <c r="C364" i="4" s="1"/>
  <c r="B365" i="4"/>
  <c r="C365" i="4" s="1"/>
  <c r="B366" i="4"/>
  <c r="C366" i="4" s="1"/>
  <c r="B367" i="4"/>
  <c r="C367" i="4" s="1"/>
  <c r="B368" i="4"/>
  <c r="C368" i="4" s="1"/>
  <c r="B369" i="4"/>
  <c r="C369" i="4" s="1"/>
  <c r="B370" i="4"/>
  <c r="C370" i="4" s="1"/>
  <c r="B371" i="4"/>
  <c r="C371" i="4" s="1"/>
  <c r="B372" i="4"/>
  <c r="C372" i="4" s="1"/>
  <c r="B373" i="4"/>
  <c r="C373" i="4" s="1"/>
  <c r="B374" i="4"/>
  <c r="C374" i="4" s="1"/>
  <c r="B375" i="4"/>
  <c r="B376" i="4"/>
  <c r="C376" i="4" s="1"/>
  <c r="B377" i="4"/>
  <c r="C377" i="4" s="1"/>
  <c r="B378" i="4"/>
  <c r="C378" i="4" s="1"/>
  <c r="B379" i="4"/>
  <c r="C379" i="4" s="1"/>
  <c r="B380" i="4"/>
  <c r="C380" i="4" s="1"/>
  <c r="B381" i="4"/>
  <c r="C381" i="4" s="1"/>
  <c r="B382" i="4"/>
  <c r="C382" i="4" s="1"/>
  <c r="B383" i="4"/>
  <c r="C383" i="4" s="1"/>
  <c r="B384" i="4"/>
  <c r="C384" i="4" s="1"/>
  <c r="B385" i="4"/>
  <c r="B386" i="4"/>
  <c r="C386" i="4" s="1"/>
  <c r="B387" i="4"/>
  <c r="C387" i="4" s="1"/>
  <c r="B388" i="4"/>
  <c r="C388" i="4" s="1"/>
  <c r="B389" i="4"/>
  <c r="C389" i="4" s="1"/>
  <c r="B390" i="4"/>
  <c r="C390" i="4" s="1"/>
  <c r="B391" i="4"/>
  <c r="C391" i="4" s="1"/>
  <c r="B392" i="4"/>
  <c r="C392" i="4" s="1"/>
  <c r="B393" i="4"/>
  <c r="C393" i="4" s="1"/>
  <c r="B394" i="4"/>
  <c r="C394" i="4" s="1"/>
  <c r="B395" i="4"/>
  <c r="C395" i="4" s="1"/>
  <c r="B396" i="4"/>
  <c r="C396" i="4" s="1"/>
  <c r="B397" i="4"/>
  <c r="C397" i="4" s="1"/>
  <c r="B398" i="4"/>
  <c r="C398" i="4" s="1"/>
  <c r="B399" i="4"/>
  <c r="B400" i="4"/>
  <c r="C400" i="4" s="1"/>
  <c r="B401" i="4"/>
  <c r="C401" i="4" s="1"/>
  <c r="B402" i="4"/>
  <c r="C402" i="4" s="1"/>
  <c r="B403" i="4"/>
  <c r="C403" i="4" s="1"/>
  <c r="B404" i="4"/>
  <c r="C404" i="4" s="1"/>
  <c r="B405" i="4"/>
  <c r="C405" i="4" s="1"/>
  <c r="B406" i="4"/>
  <c r="C406" i="4" s="1"/>
  <c r="B407" i="4"/>
  <c r="C407" i="4" s="1"/>
  <c r="B408" i="4"/>
  <c r="C408" i="4" s="1"/>
  <c r="B409" i="4"/>
  <c r="C409" i="4" s="1"/>
  <c r="B410" i="4"/>
  <c r="B411" i="4"/>
  <c r="C411" i="4" s="1"/>
  <c r="B412" i="4"/>
  <c r="C412" i="4" s="1"/>
  <c r="B413" i="4"/>
  <c r="C413" i="4" s="1"/>
  <c r="B414" i="4"/>
  <c r="C414" i="4" s="1"/>
  <c r="B415" i="4"/>
  <c r="B416" i="4"/>
  <c r="C416" i="4" s="1"/>
  <c r="B417" i="4"/>
  <c r="C417" i="4" s="1"/>
  <c r="B418" i="4"/>
  <c r="C418" i="4" s="1"/>
  <c r="B419" i="4"/>
  <c r="C419" i="4" s="1"/>
  <c r="B420" i="4"/>
  <c r="C420" i="4" s="1"/>
  <c r="B421" i="4"/>
  <c r="C421" i="4" s="1"/>
  <c r="B422" i="4"/>
  <c r="C422" i="4" s="1"/>
  <c r="B423" i="4"/>
  <c r="C423" i="4" s="1"/>
  <c r="B424" i="4"/>
  <c r="C424" i="4" s="1"/>
  <c r="B425" i="4"/>
  <c r="B426" i="4"/>
  <c r="C426" i="4" s="1"/>
  <c r="B427" i="4"/>
  <c r="C427" i="4" s="1"/>
  <c r="B428" i="4"/>
  <c r="C428" i="4" s="1"/>
  <c r="B429" i="4"/>
  <c r="C429" i="4" s="1"/>
  <c r="B430" i="4"/>
  <c r="C430" i="4" s="1"/>
  <c r="B431" i="4"/>
  <c r="C431" i="4" s="1"/>
  <c r="B432" i="4"/>
  <c r="C432" i="4" s="1"/>
  <c r="B433" i="4"/>
  <c r="C433" i="4" s="1"/>
  <c r="B434" i="4"/>
  <c r="C434" i="4" s="1"/>
  <c r="B435" i="4"/>
  <c r="C435" i="4" s="1"/>
  <c r="B436" i="4"/>
  <c r="C436" i="4" s="1"/>
  <c r="B437" i="4"/>
  <c r="C437" i="4" s="1"/>
  <c r="B438" i="4"/>
  <c r="C438" i="4" s="1"/>
  <c r="B439" i="4"/>
  <c r="B440" i="4"/>
  <c r="C440" i="4" s="1"/>
  <c r="B441" i="4"/>
  <c r="C441" i="4" s="1"/>
  <c r="B442" i="4"/>
  <c r="C442" i="4" s="1"/>
  <c r="B443" i="4"/>
  <c r="C443" i="4" s="1"/>
  <c r="B444" i="4"/>
  <c r="C444" i="4" s="1"/>
  <c r="B445" i="4"/>
  <c r="C445" i="4" s="1"/>
  <c r="B446" i="4"/>
  <c r="C446" i="4" s="1"/>
  <c r="B447" i="4"/>
  <c r="C447" i="4" s="1"/>
  <c r="B448" i="4"/>
  <c r="B449" i="4"/>
  <c r="B450" i="4"/>
  <c r="C450" i="4" s="1"/>
  <c r="B451" i="4"/>
  <c r="C451" i="4" s="1"/>
  <c r="B452" i="4"/>
  <c r="C452" i="4" s="1"/>
  <c r="B453" i="4"/>
  <c r="C453" i="4" s="1"/>
  <c r="B454" i="4"/>
  <c r="C454" i="4" s="1"/>
  <c r="B455" i="4"/>
  <c r="C455" i="4" s="1"/>
  <c r="B456" i="4"/>
  <c r="C456" i="4" s="1"/>
  <c r="B457" i="4"/>
  <c r="C457" i="4" s="1"/>
  <c r="B458" i="4"/>
  <c r="C458" i="4" s="1"/>
  <c r="B459" i="4"/>
  <c r="C459" i="4" s="1"/>
  <c r="B460" i="4"/>
  <c r="C460" i="4" s="1"/>
  <c r="B461" i="4"/>
  <c r="C461" i="4" s="1"/>
  <c r="B462" i="4"/>
  <c r="C462" i="4" s="1"/>
  <c r="B463" i="4"/>
  <c r="B464" i="4"/>
  <c r="B465" i="4"/>
  <c r="C465" i="4" s="1"/>
  <c r="B466" i="4"/>
  <c r="C466" i="4" s="1"/>
  <c r="B467" i="4"/>
  <c r="C467" i="4" s="1"/>
  <c r="B468" i="4"/>
  <c r="C468" i="4" s="1"/>
  <c r="B469" i="4"/>
  <c r="C469" i="4" s="1"/>
  <c r="B470" i="4"/>
  <c r="C470" i="4" s="1"/>
  <c r="B471" i="4"/>
  <c r="C471" i="4" s="1"/>
  <c r="B472" i="4"/>
  <c r="C472" i="4" s="1"/>
  <c r="B473" i="4"/>
  <c r="C473" i="4" s="1"/>
  <c r="B474" i="4"/>
  <c r="C474" i="4" s="1"/>
  <c r="B475" i="4"/>
  <c r="C475" i="4" s="1"/>
  <c r="B476" i="4"/>
  <c r="C476" i="4" s="1"/>
  <c r="B477" i="4"/>
  <c r="C477" i="4" s="1"/>
  <c r="B478" i="4"/>
  <c r="C478" i="4" s="1"/>
  <c r="B479" i="4"/>
  <c r="B480" i="4"/>
  <c r="C480" i="4" s="1"/>
  <c r="B481" i="4"/>
  <c r="C481" i="4" s="1"/>
  <c r="B482" i="4"/>
  <c r="C482" i="4" s="1"/>
  <c r="B483" i="4"/>
  <c r="C483" i="4" s="1"/>
  <c r="B484" i="4"/>
  <c r="C484" i="4" s="1"/>
  <c r="B485" i="4"/>
  <c r="C485" i="4" s="1"/>
  <c r="B486" i="4"/>
  <c r="C486" i="4" s="1"/>
  <c r="B487" i="4"/>
  <c r="B488" i="4"/>
  <c r="C488" i="4" s="1"/>
  <c r="B489" i="4"/>
  <c r="B490" i="4"/>
  <c r="C490" i="4" s="1"/>
  <c r="B491" i="4"/>
  <c r="C491" i="4" s="1"/>
  <c r="B492" i="4"/>
  <c r="C492" i="4" s="1"/>
  <c r="B493" i="4"/>
  <c r="C493" i="4" s="1"/>
  <c r="B494" i="4"/>
  <c r="C494" i="4" s="1"/>
  <c r="B495" i="4"/>
  <c r="C495" i="4" s="1"/>
  <c r="B496" i="4"/>
  <c r="C496" i="4" s="1"/>
  <c r="B497" i="4"/>
  <c r="C497" i="4" s="1"/>
  <c r="B498" i="4"/>
  <c r="C498" i="4" s="1"/>
  <c r="B499" i="4"/>
  <c r="C499" i="4" s="1"/>
  <c r="B500" i="4"/>
  <c r="C500" i="4" s="1"/>
  <c r="B501" i="4"/>
  <c r="C501" i="4" s="1"/>
  <c r="B502" i="4"/>
  <c r="C502" i="4" s="1"/>
  <c r="B503" i="4"/>
  <c r="B504" i="4"/>
  <c r="C504" i="4" s="1"/>
  <c r="B505" i="4"/>
  <c r="C505" i="4" s="1"/>
  <c r="B506" i="4"/>
  <c r="C506" i="4" s="1"/>
  <c r="B507" i="4"/>
  <c r="C507" i="4" s="1"/>
  <c r="B508" i="4"/>
  <c r="C508" i="4" s="1"/>
  <c r="B509" i="4"/>
  <c r="C509" i="4" s="1"/>
  <c r="B510" i="4"/>
  <c r="C510" i="4" s="1"/>
  <c r="B511" i="4"/>
  <c r="C511" i="4" s="1"/>
  <c r="B512" i="4"/>
  <c r="B513" i="4"/>
  <c r="C513" i="4" s="1"/>
  <c r="B514" i="4"/>
  <c r="C514" i="4" s="1"/>
  <c r="B515" i="4"/>
  <c r="C515" i="4" s="1"/>
  <c r="B516" i="4"/>
  <c r="C516" i="4" s="1"/>
  <c r="B517" i="4"/>
  <c r="C517" i="4" s="1"/>
  <c r="B518" i="4"/>
  <c r="C518" i="4" s="1"/>
  <c r="B519" i="4"/>
  <c r="C519" i="4" s="1"/>
  <c r="B520" i="4"/>
  <c r="C520" i="4" s="1"/>
  <c r="B521" i="4"/>
  <c r="C521" i="4" s="1"/>
  <c r="B522" i="4"/>
  <c r="C522" i="4" s="1"/>
  <c r="B523" i="4"/>
  <c r="C523" i="4" s="1"/>
  <c r="B524" i="4"/>
  <c r="C524" i="4" s="1"/>
  <c r="B525" i="4"/>
  <c r="C525" i="4" s="1"/>
  <c r="B526" i="4"/>
  <c r="C526" i="4" s="1"/>
  <c r="B527" i="4"/>
  <c r="C527" i="4" s="1"/>
  <c r="B528" i="4"/>
  <c r="C528" i="4" s="1"/>
  <c r="B529" i="4"/>
  <c r="C529" i="4" s="1"/>
  <c r="B530" i="4"/>
  <c r="C530" i="4" s="1"/>
  <c r="B531" i="4"/>
  <c r="C531" i="4" s="1"/>
  <c r="B532" i="4"/>
  <c r="C532" i="4" s="1"/>
  <c r="B533" i="4"/>
  <c r="C533" i="4" s="1"/>
  <c r="B534" i="4"/>
  <c r="C534" i="4" s="1"/>
  <c r="B535" i="4"/>
  <c r="C535" i="4" s="1"/>
  <c r="B536" i="4"/>
  <c r="C536" i="4" s="1"/>
  <c r="B537" i="4"/>
  <c r="C537" i="4" s="1"/>
  <c r="B538" i="4"/>
  <c r="B539" i="4"/>
  <c r="C539" i="4" s="1"/>
  <c r="B540" i="4"/>
  <c r="C540" i="4" s="1"/>
  <c r="B541" i="4"/>
  <c r="C541" i="4" s="1"/>
  <c r="B542" i="4"/>
  <c r="C542" i="4" s="1"/>
  <c r="B543" i="4"/>
  <c r="C543" i="4" s="1"/>
  <c r="B544" i="4"/>
  <c r="C544" i="4" s="1"/>
  <c r="B545" i="4"/>
  <c r="C545" i="4" s="1"/>
  <c r="B546" i="4"/>
  <c r="C546" i="4" s="1"/>
  <c r="B547" i="4"/>
  <c r="C547" i="4" s="1"/>
  <c r="B548" i="4"/>
  <c r="C548" i="4" s="1"/>
  <c r="B549" i="4"/>
  <c r="C549" i="4" s="1"/>
  <c r="B550" i="4"/>
  <c r="C550" i="4" s="1"/>
  <c r="B551" i="4"/>
  <c r="C551" i="4" s="1"/>
  <c r="B552" i="4"/>
  <c r="B553" i="4"/>
  <c r="C553" i="4" s="1"/>
  <c r="B554" i="4"/>
  <c r="C554" i="4" s="1"/>
  <c r="B555" i="4"/>
  <c r="C555" i="4" s="1"/>
  <c r="B556" i="4"/>
  <c r="C556" i="4" s="1"/>
  <c r="B557" i="4"/>
  <c r="C557" i="4" s="1"/>
  <c r="B558" i="4"/>
  <c r="C558" i="4" s="1"/>
  <c r="B559" i="4"/>
  <c r="C559" i="4" s="1"/>
  <c r="B560" i="4"/>
  <c r="C560" i="4" s="1"/>
  <c r="B561" i="4"/>
  <c r="C561" i="4" s="1"/>
  <c r="B562" i="4"/>
  <c r="C562" i="4" s="1"/>
  <c r="B563" i="4"/>
  <c r="C563" i="4" s="1"/>
  <c r="B564" i="4"/>
  <c r="C564" i="4" s="1"/>
  <c r="B565" i="4"/>
  <c r="C565" i="4" s="1"/>
  <c r="B566" i="4"/>
  <c r="C566" i="4" s="1"/>
  <c r="B567" i="4"/>
  <c r="B568" i="4"/>
  <c r="C568" i="4" s="1"/>
  <c r="B569" i="4"/>
  <c r="C569" i="4" s="1"/>
  <c r="B570" i="4"/>
  <c r="C570" i="4" s="1"/>
  <c r="B571" i="4"/>
  <c r="C571" i="4" s="1"/>
  <c r="B572" i="4"/>
  <c r="C572" i="4" s="1"/>
  <c r="B573" i="4"/>
  <c r="C573" i="4" s="1"/>
  <c r="B574" i="4"/>
  <c r="C574" i="4" s="1"/>
  <c r="B575" i="4"/>
  <c r="C575" i="4" s="1"/>
  <c r="B576" i="4"/>
  <c r="C576" i="4" s="1"/>
  <c r="B577" i="4"/>
  <c r="C577" i="4" s="1"/>
  <c r="B578" i="4"/>
  <c r="C578" i="4" s="1"/>
  <c r="B579" i="4"/>
  <c r="C579" i="4" s="1"/>
  <c r="B580" i="4"/>
  <c r="C580" i="4" s="1"/>
  <c r="B581" i="4"/>
  <c r="C581" i="4" s="1"/>
  <c r="B582" i="4"/>
  <c r="C582" i="4" s="1"/>
  <c r="B583" i="4"/>
  <c r="C583" i="4" s="1"/>
  <c r="B584" i="4"/>
  <c r="C584" i="4" s="1"/>
  <c r="B585" i="4"/>
  <c r="C585" i="4" s="1"/>
  <c r="B586" i="4"/>
  <c r="C586" i="4" s="1"/>
  <c r="B587" i="4"/>
  <c r="C587" i="4" s="1"/>
  <c r="B588" i="4"/>
  <c r="C588" i="4" s="1"/>
  <c r="B589" i="4"/>
  <c r="C589" i="4" s="1"/>
  <c r="B590" i="4"/>
  <c r="C590" i="4" s="1"/>
  <c r="B591" i="4"/>
  <c r="C591" i="4" s="1"/>
  <c r="B592" i="4"/>
  <c r="C592" i="4" s="1"/>
  <c r="B593" i="4"/>
  <c r="C593" i="4" s="1"/>
  <c r="B594" i="4"/>
  <c r="C594" i="4" s="1"/>
  <c r="B595" i="4"/>
  <c r="C595" i="4" s="1"/>
  <c r="B596" i="4"/>
  <c r="C596" i="4" s="1"/>
  <c r="B597" i="4"/>
  <c r="C597" i="4" s="1"/>
  <c r="B598" i="4"/>
  <c r="C598" i="4" s="1"/>
  <c r="B599" i="4"/>
  <c r="C599" i="4" s="1"/>
  <c r="B600" i="4"/>
  <c r="C600" i="4" s="1"/>
  <c r="B601" i="4"/>
  <c r="B602" i="4"/>
  <c r="C602" i="4" s="1"/>
  <c r="B603" i="4"/>
  <c r="C603" i="4" s="1"/>
  <c r="B604" i="4"/>
  <c r="C604" i="4" s="1"/>
  <c r="B605" i="4"/>
  <c r="C605" i="4" s="1"/>
  <c r="B606" i="4"/>
  <c r="C606" i="4" s="1"/>
  <c r="B607" i="4"/>
  <c r="B608" i="4"/>
  <c r="C608" i="4" s="1"/>
  <c r="B609" i="4"/>
  <c r="C609" i="4" s="1"/>
  <c r="B610" i="4"/>
  <c r="C610" i="4" s="1"/>
  <c r="B611" i="4"/>
  <c r="C611" i="4" s="1"/>
  <c r="B612" i="4"/>
  <c r="C612" i="4" s="1"/>
  <c r="B613" i="4"/>
  <c r="C613" i="4" s="1"/>
  <c r="B614" i="4"/>
  <c r="C614" i="4" s="1"/>
  <c r="B615" i="4"/>
  <c r="B616" i="4"/>
  <c r="C616" i="4" s="1"/>
  <c r="B617" i="4"/>
  <c r="B618" i="4"/>
  <c r="C618" i="4" s="1"/>
  <c r="B619" i="4"/>
  <c r="C619" i="4" s="1"/>
  <c r="B620" i="4"/>
  <c r="C620" i="4" s="1"/>
  <c r="B621" i="4"/>
  <c r="C621" i="4" s="1"/>
  <c r="B622" i="4"/>
  <c r="C622" i="4" s="1"/>
  <c r="B623" i="4"/>
  <c r="C623" i="4" s="1"/>
  <c r="B624" i="4"/>
  <c r="C624" i="4" s="1"/>
  <c r="B625" i="4"/>
  <c r="C625" i="4" s="1"/>
  <c r="B626" i="4"/>
  <c r="C626" i="4" s="1"/>
  <c r="B627" i="4"/>
  <c r="C627" i="4" s="1"/>
  <c r="B628" i="4"/>
  <c r="C628" i="4" s="1"/>
  <c r="B629" i="4"/>
  <c r="C629" i="4" s="1"/>
  <c r="B630" i="4"/>
  <c r="C630" i="4" s="1"/>
  <c r="B631" i="4"/>
  <c r="B632" i="4"/>
  <c r="C632" i="4" s="1"/>
  <c r="B633" i="4"/>
  <c r="C633" i="4" s="1"/>
  <c r="B634" i="4"/>
  <c r="C634" i="4" s="1"/>
  <c r="B635" i="4"/>
  <c r="C635" i="4" s="1"/>
  <c r="B636" i="4"/>
  <c r="C636" i="4" s="1"/>
  <c r="B637" i="4"/>
  <c r="C637" i="4" s="1"/>
  <c r="B638" i="4"/>
  <c r="C638" i="4" s="1"/>
  <c r="B639" i="4"/>
  <c r="C639" i="4" s="1"/>
  <c r="B640" i="4"/>
  <c r="C640" i="4" s="1"/>
  <c r="B641" i="4"/>
  <c r="C641" i="4" s="1"/>
  <c r="B642" i="4"/>
  <c r="C642" i="4" s="1"/>
  <c r="B643" i="4"/>
  <c r="C643" i="4" s="1"/>
  <c r="B644" i="4"/>
  <c r="C644" i="4" s="1"/>
  <c r="B645" i="4"/>
  <c r="C645" i="4" s="1"/>
  <c r="B646" i="4"/>
  <c r="C646" i="4" s="1"/>
  <c r="B647" i="4"/>
  <c r="C647" i="4" s="1"/>
  <c r="B648" i="4"/>
  <c r="C648" i="4" s="1"/>
  <c r="B649" i="4"/>
  <c r="C649" i="4" s="1"/>
  <c r="B650" i="4"/>
  <c r="C650" i="4" s="1"/>
  <c r="B651" i="4"/>
  <c r="C651" i="4" s="1"/>
  <c r="B652" i="4"/>
  <c r="C652" i="4" s="1"/>
  <c r="B653" i="4"/>
  <c r="C653" i="4" s="1"/>
  <c r="B654" i="4"/>
  <c r="C654" i="4" s="1"/>
  <c r="B655" i="4"/>
  <c r="C655" i="4" s="1"/>
  <c r="B656" i="4"/>
  <c r="C656" i="4" s="1"/>
  <c r="B657" i="4"/>
  <c r="C657" i="4" s="1"/>
  <c r="B658" i="4"/>
  <c r="C658" i="4" s="1"/>
  <c r="B659" i="4"/>
  <c r="C659" i="4" s="1"/>
  <c r="B660" i="4"/>
  <c r="C660" i="4" s="1"/>
  <c r="B661" i="4"/>
  <c r="C661" i="4" s="1"/>
  <c r="B662" i="4"/>
  <c r="C662" i="4" s="1"/>
  <c r="B663" i="4"/>
  <c r="C663" i="4" s="1"/>
  <c r="B664" i="4"/>
  <c r="C664" i="4" s="1"/>
  <c r="B665" i="4"/>
  <c r="B666" i="4"/>
  <c r="B667" i="4"/>
  <c r="C667" i="4" s="1"/>
  <c r="B668" i="4"/>
  <c r="C668" i="4" s="1"/>
  <c r="B669" i="4"/>
  <c r="C669" i="4" s="1"/>
  <c r="B670" i="4"/>
  <c r="C670" i="4" s="1"/>
  <c r="B671" i="4"/>
  <c r="C671" i="4" s="1"/>
  <c r="B672" i="4"/>
  <c r="C672" i="4" s="1"/>
  <c r="B673" i="4"/>
  <c r="C673" i="4" s="1"/>
  <c r="B674" i="4"/>
  <c r="C674" i="4" s="1"/>
  <c r="B675" i="4"/>
  <c r="C675" i="4" s="1"/>
  <c r="B676" i="4"/>
  <c r="C676" i="4" s="1"/>
  <c r="B677" i="4"/>
  <c r="C677" i="4" s="1"/>
  <c r="B678" i="4"/>
  <c r="C678" i="4" s="1"/>
  <c r="B679" i="4"/>
  <c r="B680" i="4"/>
  <c r="B681" i="4"/>
  <c r="C681" i="4" s="1"/>
  <c r="B682" i="4"/>
  <c r="C682" i="4" s="1"/>
  <c r="B683" i="4"/>
  <c r="C683" i="4" s="1"/>
  <c r="B684" i="4"/>
  <c r="C684" i="4" s="1"/>
  <c r="B685" i="4"/>
  <c r="C685" i="4" s="1"/>
  <c r="B686" i="4"/>
  <c r="C686" i="4" s="1"/>
  <c r="B687" i="4"/>
  <c r="C687" i="4" s="1"/>
  <c r="B688" i="4"/>
  <c r="C688" i="4" s="1"/>
  <c r="B689" i="4"/>
  <c r="C689" i="4" s="1"/>
  <c r="B690" i="4"/>
  <c r="C690" i="4" s="1"/>
  <c r="B691" i="4"/>
  <c r="C691" i="4" s="1"/>
  <c r="B692" i="4"/>
  <c r="C692" i="4" s="1"/>
  <c r="B693" i="4"/>
  <c r="C693" i="4" s="1"/>
  <c r="B694" i="4"/>
  <c r="C694" i="4" s="1"/>
  <c r="B695" i="4"/>
  <c r="C695" i="4" s="1"/>
  <c r="B696" i="4"/>
  <c r="B697" i="4"/>
  <c r="C697" i="4" s="1"/>
  <c r="B698" i="4"/>
  <c r="C698" i="4" s="1"/>
  <c r="B699" i="4"/>
  <c r="C699" i="4" s="1"/>
  <c r="B700" i="4"/>
  <c r="C700" i="4" s="1"/>
  <c r="B701" i="4"/>
  <c r="B702" i="4"/>
  <c r="C702" i="4" s="1"/>
  <c r="B703" i="4"/>
  <c r="C703" i="4" s="1"/>
  <c r="B704" i="4"/>
  <c r="C704" i="4" s="1"/>
  <c r="B705" i="4"/>
  <c r="C705" i="4" s="1"/>
  <c r="B706" i="4"/>
  <c r="C706" i="4" s="1"/>
  <c r="B707" i="4"/>
  <c r="C707" i="4" s="1"/>
  <c r="B708" i="4"/>
  <c r="C708" i="4" s="1"/>
  <c r="B709" i="4"/>
  <c r="C709" i="4" s="1"/>
  <c r="B710" i="4"/>
  <c r="C710" i="4" s="1"/>
  <c r="B711" i="4"/>
  <c r="B712" i="4"/>
  <c r="B713" i="4"/>
  <c r="C713" i="4" s="1"/>
  <c r="B714" i="4"/>
  <c r="C714" i="4" s="1"/>
  <c r="B715" i="4"/>
  <c r="C715" i="4" s="1"/>
  <c r="B716" i="4"/>
  <c r="C716" i="4" s="1"/>
  <c r="B717" i="4"/>
  <c r="C717" i="4" s="1"/>
  <c r="B718" i="4"/>
  <c r="C718" i="4" s="1"/>
  <c r="B719" i="4"/>
  <c r="C719" i="4" s="1"/>
  <c r="B720" i="4"/>
  <c r="C720" i="4" s="1"/>
  <c r="B721" i="4"/>
  <c r="C721" i="4" s="1"/>
  <c r="B722" i="4"/>
  <c r="C722" i="4" s="1"/>
  <c r="B723" i="4"/>
  <c r="C723" i="4" s="1"/>
  <c r="B724" i="4"/>
  <c r="C724" i="4" s="1"/>
  <c r="B725" i="4"/>
  <c r="C725" i="4" s="1"/>
  <c r="B726" i="4"/>
  <c r="C726" i="4" s="1"/>
  <c r="B727" i="4"/>
  <c r="B728" i="4"/>
  <c r="B729" i="4"/>
  <c r="C729" i="4" s="1"/>
  <c r="B730" i="4"/>
  <c r="C730" i="4" s="1"/>
  <c r="B731" i="4"/>
  <c r="C731" i="4" s="1"/>
  <c r="B732" i="4"/>
  <c r="C732" i="4" s="1"/>
  <c r="B733" i="4"/>
  <c r="C733" i="4" s="1"/>
  <c r="B734" i="4"/>
  <c r="C734" i="4" s="1"/>
  <c r="B735" i="4"/>
  <c r="C735" i="4" s="1"/>
  <c r="B736" i="4"/>
  <c r="C736" i="4" s="1"/>
  <c r="B737" i="4"/>
  <c r="C737" i="4" s="1"/>
  <c r="B738" i="4"/>
  <c r="C738" i="4" s="1"/>
  <c r="B739" i="4"/>
  <c r="C739" i="4" s="1"/>
  <c r="B740" i="4"/>
  <c r="C740" i="4" s="1"/>
  <c r="B741" i="4"/>
  <c r="C741" i="4" s="1"/>
  <c r="B742" i="4"/>
  <c r="C742" i="4" s="1"/>
  <c r="B743" i="4"/>
  <c r="B744" i="4"/>
  <c r="B745" i="4"/>
  <c r="C745" i="4" s="1"/>
  <c r="B746" i="4"/>
  <c r="C746" i="4" s="1"/>
  <c r="B747" i="4"/>
  <c r="C747" i="4" s="1"/>
  <c r="B748" i="4"/>
  <c r="C748" i="4" s="1"/>
  <c r="B749" i="4"/>
  <c r="C749" i="4" s="1"/>
  <c r="B750" i="4"/>
  <c r="C750" i="4" s="1"/>
  <c r="B751" i="4"/>
  <c r="C751" i="4" s="1"/>
  <c r="B752" i="4"/>
  <c r="C752" i="4" s="1"/>
  <c r="B753" i="4"/>
  <c r="C753" i="4" s="1"/>
  <c r="B754" i="4"/>
  <c r="C754" i="4" s="1"/>
  <c r="B755" i="4"/>
  <c r="C755" i="4" s="1"/>
  <c r="B756" i="4"/>
  <c r="C756" i="4" s="1"/>
  <c r="B757" i="4"/>
  <c r="C757" i="4" s="1"/>
  <c r="B758" i="4"/>
  <c r="C758" i="4" s="1"/>
  <c r="B759" i="4"/>
  <c r="C759" i="4" s="1"/>
  <c r="B760" i="4"/>
  <c r="B761" i="4"/>
  <c r="C761" i="4" s="1"/>
  <c r="B762" i="4"/>
  <c r="C762" i="4" s="1"/>
  <c r="B763" i="4"/>
  <c r="C763" i="4" s="1"/>
  <c r="B764" i="4"/>
  <c r="C764" i="4" s="1"/>
  <c r="B765" i="4"/>
  <c r="C765" i="4" s="1"/>
  <c r="B766" i="4"/>
  <c r="C766" i="4" s="1"/>
  <c r="B767" i="4"/>
  <c r="C767" i="4" s="1"/>
  <c r="B768" i="4"/>
  <c r="C768" i="4" s="1"/>
  <c r="B769" i="4"/>
  <c r="C769" i="4" s="1"/>
  <c r="B770" i="4"/>
  <c r="C770" i="4" s="1"/>
  <c r="B771" i="4"/>
  <c r="C771" i="4" s="1"/>
  <c r="B772" i="4"/>
  <c r="C772" i="4" s="1"/>
  <c r="B773" i="4"/>
  <c r="C773" i="4" s="1"/>
  <c r="B774" i="4"/>
  <c r="C774" i="4" s="1"/>
  <c r="B775" i="4"/>
  <c r="C775" i="4" s="1"/>
  <c r="B776" i="4"/>
  <c r="B777" i="4"/>
  <c r="C777" i="4" s="1"/>
  <c r="B778" i="4"/>
  <c r="C778" i="4" s="1"/>
  <c r="B779" i="4"/>
  <c r="C779" i="4" s="1"/>
  <c r="B780" i="4"/>
  <c r="C780" i="4" s="1"/>
  <c r="B781" i="4"/>
  <c r="C781" i="4" s="1"/>
  <c r="B782" i="4"/>
  <c r="C782" i="4" s="1"/>
  <c r="B783" i="4"/>
  <c r="C783" i="4" s="1"/>
  <c r="B784" i="4"/>
  <c r="C784" i="4" s="1"/>
  <c r="B785" i="4"/>
  <c r="C785" i="4" s="1"/>
  <c r="B786" i="4"/>
  <c r="C786" i="4" s="1"/>
  <c r="B787" i="4"/>
  <c r="C787" i="4" s="1"/>
  <c r="B788" i="4"/>
  <c r="C788" i="4" s="1"/>
  <c r="B789" i="4"/>
  <c r="C789" i="4" s="1"/>
  <c r="B790" i="4"/>
  <c r="C790" i="4" s="1"/>
  <c r="B791" i="4"/>
  <c r="B792" i="4"/>
  <c r="B793" i="4"/>
  <c r="C793" i="4" s="1"/>
  <c r="B794" i="4"/>
  <c r="C794" i="4" s="1"/>
  <c r="B795" i="4"/>
  <c r="C795" i="4" s="1"/>
  <c r="B796" i="4"/>
  <c r="C796" i="4" s="1"/>
  <c r="B797" i="4"/>
  <c r="C797" i="4" s="1"/>
  <c r="B798" i="4"/>
  <c r="C798" i="4" s="1"/>
  <c r="B799" i="4"/>
  <c r="C799" i="4" s="1"/>
  <c r="B800" i="4"/>
  <c r="C800" i="4" s="1"/>
  <c r="B801" i="4"/>
  <c r="C801" i="4" s="1"/>
  <c r="B802" i="4"/>
  <c r="C802" i="4" s="1"/>
  <c r="B803" i="4"/>
  <c r="C803" i="4" s="1"/>
  <c r="B804" i="4"/>
  <c r="C804" i="4" s="1"/>
  <c r="B805" i="4"/>
  <c r="C805" i="4" s="1"/>
  <c r="B806" i="4"/>
  <c r="C806" i="4" s="1"/>
  <c r="B807" i="4"/>
  <c r="B808" i="4"/>
  <c r="B809" i="4"/>
  <c r="C809" i="4" s="1"/>
  <c r="B810" i="4"/>
  <c r="C810" i="4" s="1"/>
  <c r="B811" i="4"/>
  <c r="C811" i="4" s="1"/>
  <c r="B1" i="4"/>
  <c r="C1" i="4" s="1"/>
  <c r="C350" i="4" l="1"/>
  <c r="A350" i="4"/>
  <c r="C342" i="4"/>
  <c r="A342" i="4"/>
  <c r="C334" i="4"/>
  <c r="C326" i="4"/>
  <c r="C318" i="4"/>
  <c r="C310" i="4"/>
  <c r="C302" i="4"/>
  <c r="C294" i="4"/>
  <c r="C286" i="4"/>
  <c r="C278" i="4"/>
  <c r="C270" i="4"/>
  <c r="C262" i="4"/>
  <c r="C254" i="4"/>
  <c r="C246" i="4"/>
  <c r="C238" i="4"/>
  <c r="C230" i="4"/>
  <c r="C222" i="4"/>
  <c r="C214" i="4"/>
  <c r="C206" i="4"/>
  <c r="C198" i="4"/>
  <c r="C194" i="4"/>
  <c r="C186" i="4"/>
  <c r="C178" i="4"/>
  <c r="C170" i="4"/>
  <c r="C162" i="4"/>
  <c r="C154" i="4"/>
  <c r="C146" i="4"/>
  <c r="C345" i="4"/>
  <c r="A345" i="4"/>
  <c r="C337" i="4"/>
  <c r="A337" i="4"/>
  <c r="C329" i="4"/>
  <c r="C313" i="4"/>
  <c r="C305" i="4"/>
  <c r="C297" i="4"/>
  <c r="C289" i="4"/>
  <c r="C285" i="4"/>
  <c r="C277" i="4"/>
  <c r="C269" i="4"/>
  <c r="C265" i="4"/>
  <c r="C257" i="4"/>
  <c r="C253" i="4"/>
  <c r="C249" i="4"/>
  <c r="C241" i="4"/>
  <c r="C229" i="4"/>
  <c r="C225" i="4"/>
  <c r="C221" i="4"/>
  <c r="C217" i="4"/>
  <c r="C213" i="4"/>
  <c r="C205" i="4"/>
  <c r="C201" i="4"/>
  <c r="C197" i="4"/>
  <c r="C189" i="4"/>
  <c r="C185" i="4"/>
  <c r="C181" i="4"/>
  <c r="C177" i="4"/>
  <c r="C173" i="4"/>
  <c r="C169" i="4"/>
  <c r="C165" i="4"/>
  <c r="C157" i="4"/>
  <c r="C153" i="4"/>
  <c r="C149" i="4"/>
  <c r="C145" i="4"/>
  <c r="C348" i="4"/>
  <c r="A348" i="4"/>
  <c r="C344" i="4"/>
  <c r="A344" i="4"/>
  <c r="C340" i="4"/>
  <c r="A340" i="4"/>
  <c r="C336" i="4"/>
  <c r="A336" i="4"/>
  <c r="C332" i="4"/>
  <c r="C328" i="4"/>
  <c r="C324" i="4"/>
  <c r="C320" i="4"/>
  <c r="C316" i="4"/>
  <c r="C312" i="4"/>
  <c r="C308" i="4"/>
  <c r="C304" i="4"/>
  <c r="C300" i="4"/>
  <c r="C292" i="4"/>
  <c r="C288" i="4"/>
  <c r="C284" i="4"/>
  <c r="C280" i="4"/>
  <c r="C276" i="4"/>
  <c r="C272" i="4"/>
  <c r="C268" i="4"/>
  <c r="C264" i="4"/>
  <c r="C260" i="4"/>
  <c r="C252" i="4"/>
  <c r="C248" i="4"/>
  <c r="C244" i="4"/>
  <c r="C240" i="4"/>
  <c r="C236" i="4"/>
  <c r="C232" i="4"/>
  <c r="C228" i="4"/>
  <c r="C224" i="4"/>
  <c r="C220" i="4"/>
  <c r="C216" i="4"/>
  <c r="C212" i="4"/>
  <c r="C208" i="4"/>
  <c r="C204" i="4"/>
  <c r="C200" i="4"/>
  <c r="C196" i="4"/>
  <c r="C192" i="4"/>
  <c r="C188" i="4"/>
  <c r="C184" i="4"/>
  <c r="C180" i="4"/>
  <c r="C172" i="4"/>
  <c r="C168" i="4"/>
  <c r="C164" i="4"/>
  <c r="C156" i="4"/>
  <c r="C152" i="4"/>
  <c r="C148" i="4"/>
  <c r="C346" i="4"/>
  <c r="A346" i="4"/>
  <c r="C338" i="4"/>
  <c r="A338" i="4"/>
  <c r="C330" i="4"/>
  <c r="C322" i="4"/>
  <c r="C314" i="4"/>
  <c r="C306" i="4"/>
  <c r="C298" i="4"/>
  <c r="C290" i="4"/>
  <c r="C282" i="4"/>
  <c r="C274" i="4"/>
  <c r="C266" i="4"/>
  <c r="C258" i="4"/>
  <c r="C250" i="4"/>
  <c r="C242" i="4"/>
  <c r="C234" i="4"/>
  <c r="C226" i="4"/>
  <c r="C218" i="4"/>
  <c r="C210" i="4"/>
  <c r="C202" i="4"/>
  <c r="C190" i="4"/>
  <c r="C182" i="4"/>
  <c r="C174" i="4"/>
  <c r="C166" i="4"/>
  <c r="C158" i="4"/>
  <c r="C150" i="4"/>
  <c r="C349" i="4"/>
  <c r="A349" i="4"/>
  <c r="C341" i="4"/>
  <c r="A341" i="4"/>
  <c r="C333" i="4"/>
  <c r="C317" i="4"/>
  <c r="C309" i="4"/>
  <c r="C301" i="4"/>
  <c r="C293" i="4"/>
  <c r="C261" i="4"/>
  <c r="C237" i="4"/>
  <c r="C347" i="4"/>
  <c r="A347" i="4"/>
  <c r="C343" i="4"/>
  <c r="A343" i="4"/>
  <c r="C339" i="4"/>
  <c r="A339" i="4"/>
  <c r="C331" i="4"/>
  <c r="C327" i="4"/>
  <c r="C323" i="4"/>
  <c r="C319" i="4"/>
  <c r="C315" i="4"/>
  <c r="C311" i="4"/>
  <c r="C307" i="4"/>
  <c r="C303" i="4"/>
  <c r="C299" i="4"/>
  <c r="C291" i="4"/>
  <c r="C283" i="4"/>
  <c r="C279" i="4"/>
  <c r="C275" i="4"/>
  <c r="C271" i="4"/>
  <c r="C267" i="4"/>
  <c r="C263" i="4"/>
  <c r="C259" i="4"/>
  <c r="C255" i="4"/>
  <c r="C251" i="4"/>
  <c r="C243" i="4"/>
  <c r="C239" i="4"/>
  <c r="C235" i="4"/>
  <c r="C227" i="4"/>
  <c r="C219" i="4"/>
  <c r="C215" i="4"/>
  <c r="C211" i="4"/>
  <c r="C203" i="4"/>
  <c r="C199" i="4"/>
  <c r="C195" i="4"/>
  <c r="C187" i="4"/>
  <c r="C183" i="4"/>
  <c r="C179" i="4"/>
  <c r="C171" i="4"/>
  <c r="C167" i="4"/>
  <c r="C163" i="4"/>
  <c r="C155" i="4"/>
  <c r="C151" i="4"/>
  <c r="C147" i="4"/>
  <c r="C129" i="4"/>
  <c r="C97" i="4"/>
  <c r="C81" i="4"/>
  <c r="C57" i="4"/>
  <c r="C49" i="4"/>
  <c r="C41" i="4"/>
  <c r="C33" i="4"/>
  <c r="C25" i="4"/>
  <c r="C9" i="4"/>
  <c r="C136" i="4"/>
  <c r="C120" i="4"/>
  <c r="C104" i="4"/>
  <c r="C88" i="4"/>
  <c r="C72" i="4"/>
  <c r="C64" i="4"/>
  <c r="C40" i="4"/>
  <c r="C135" i="4"/>
  <c r="C119" i="4"/>
  <c r="C111" i="4"/>
  <c r="C103" i="4"/>
  <c r="C55" i="4"/>
  <c r="C134" i="4"/>
  <c r="C110" i="4"/>
  <c r="C94" i="4"/>
  <c r="C78" i="4"/>
  <c r="C62" i="4"/>
  <c r="C46" i="4"/>
  <c r="C30" i="4"/>
  <c r="C22" i="4"/>
  <c r="C6" i="4"/>
  <c r="C133" i="4"/>
  <c r="C125" i="4"/>
  <c r="C109" i="4"/>
  <c r="C93" i="4"/>
  <c r="C77" i="4"/>
  <c r="C61" i="4"/>
  <c r="C53" i="4"/>
  <c r="C13" i="4"/>
  <c r="A1" i="4"/>
  <c r="A2" i="4" s="1"/>
  <c r="A3" i="4" s="1"/>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A206" i="4" s="1"/>
  <c r="A207" i="4" s="1"/>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A288" i="4" s="1"/>
  <c r="A289" i="4" s="1"/>
  <c r="A290" i="4" s="1"/>
  <c r="A291" i="4" s="1"/>
  <c r="A292" i="4" s="1"/>
  <c r="A293" i="4" s="1"/>
  <c r="A294" i="4" s="1"/>
  <c r="A295" i="4" s="1"/>
  <c r="A296" i="4" s="1"/>
  <c r="A297" i="4" s="1"/>
  <c r="A298" i="4" s="1"/>
  <c r="A299" i="4" s="1"/>
  <c r="A300" i="4" s="1"/>
  <c r="A301" i="4" s="1"/>
  <c r="A302" i="4" s="1"/>
  <c r="A303" i="4" s="1"/>
  <c r="A304" i="4" s="1"/>
  <c r="A305" i="4" s="1"/>
  <c r="A306" i="4" s="1"/>
  <c r="A307" i="4" s="1"/>
  <c r="A308" i="4" s="1"/>
  <c r="A309" i="4" s="1"/>
  <c r="A310" i="4" s="1"/>
  <c r="A311" i="4" s="1"/>
  <c r="A312" i="4" s="1"/>
  <c r="A313" i="4" s="1"/>
  <c r="A314" i="4" s="1"/>
  <c r="A315" i="4" s="1"/>
  <c r="A316" i="4" s="1"/>
  <c r="A317" i="4" s="1"/>
  <c r="A318" i="4" s="1"/>
  <c r="A319" i="4" s="1"/>
  <c r="A320" i="4" s="1"/>
  <c r="A321" i="4" s="1"/>
  <c r="A322" i="4" s="1"/>
  <c r="A323" i="4" s="1"/>
  <c r="A324" i="4" s="1"/>
  <c r="A325" i="4" s="1"/>
  <c r="A326" i="4" s="1"/>
  <c r="A327" i="4" s="1"/>
  <c r="A328" i="4" s="1"/>
  <c r="A329" i="4" s="1"/>
  <c r="A330" i="4" s="1"/>
  <c r="A331" i="4" s="1"/>
  <c r="A332" i="4" s="1"/>
  <c r="A333" i="4" s="1"/>
  <c r="A334" i="4" s="1"/>
  <c r="C140" i="4"/>
  <c r="C124" i="4"/>
  <c r="C108" i="4"/>
  <c r="C92" i="4"/>
  <c r="C84" i="4"/>
  <c r="C68" i="4"/>
  <c r="C52" i="4"/>
  <c r="C44" i="4"/>
  <c r="C28" i="4"/>
  <c r="C20" i="4"/>
  <c r="C12" i="4"/>
  <c r="C139" i="4"/>
  <c r="C131" i="4"/>
  <c r="C123" i="4"/>
  <c r="C115" i="4"/>
  <c r="C107" i="4"/>
  <c r="C99" i="4"/>
  <c r="C91" i="4"/>
  <c r="C83" i="4"/>
  <c r="C75" i="4"/>
  <c r="C67" i="4"/>
  <c r="C59" i="4"/>
  <c r="C51" i="4"/>
  <c r="C43" i="4"/>
  <c r="C35" i="4"/>
  <c r="C27" i="4"/>
  <c r="C19" i="4"/>
  <c r="C11" i="4"/>
  <c r="C137" i="4"/>
  <c r="C121" i="4"/>
  <c r="C105" i="4"/>
  <c r="C89" i="4"/>
  <c r="C73" i="4"/>
  <c r="C17" i="4"/>
  <c r="C56" i="4"/>
  <c r="C24" i="4"/>
  <c r="C8" i="4"/>
  <c r="C87" i="4"/>
  <c r="C71" i="4"/>
  <c r="C39" i="4"/>
  <c r="C23" i="4"/>
  <c r="C7" i="4"/>
  <c r="C142" i="4"/>
  <c r="C126" i="4"/>
  <c r="C118" i="4"/>
  <c r="C102" i="4"/>
  <c r="C86" i="4"/>
  <c r="C70" i="4"/>
  <c r="C54" i="4"/>
  <c r="C38" i="4"/>
  <c r="C14" i="4"/>
  <c r="C141" i="4"/>
  <c r="C117" i="4"/>
  <c r="C101" i="4"/>
  <c r="C85" i="4"/>
  <c r="C69" i="4"/>
  <c r="C45" i="4"/>
  <c r="C37" i="4"/>
  <c r="C29" i="4"/>
  <c r="C21" i="4"/>
  <c r="C5" i="4"/>
  <c r="C132" i="4"/>
  <c r="C116" i="4"/>
  <c r="C100" i="4"/>
  <c r="C76" i="4"/>
  <c r="C60" i="4"/>
  <c r="C36" i="4"/>
  <c r="C4" i="4"/>
  <c r="C138" i="4"/>
  <c r="C130" i="4"/>
  <c r="C122" i="4"/>
  <c r="C114" i="4"/>
  <c r="C106" i="4"/>
  <c r="C98" i="4"/>
  <c r="C90" i="4"/>
  <c r="C82" i="4"/>
  <c r="C74" i="4"/>
  <c r="C66" i="4"/>
  <c r="C58" i="4"/>
  <c r="C50" i="4"/>
  <c r="C42" i="4"/>
  <c r="C34" i="4"/>
  <c r="C26" i="4"/>
  <c r="C18" i="4"/>
  <c r="C10" i="4"/>
  <c r="D808" i="4"/>
  <c r="C808" i="4"/>
  <c r="D712" i="4"/>
  <c r="C712" i="4"/>
  <c r="D696" i="4"/>
  <c r="C696" i="4"/>
  <c r="D552" i="4"/>
  <c r="C552" i="4"/>
  <c r="D448" i="4"/>
  <c r="C448" i="4"/>
  <c r="D360" i="4"/>
  <c r="C360" i="4"/>
  <c r="D176" i="4"/>
  <c r="C176" i="4"/>
  <c r="D160" i="4"/>
  <c r="C160" i="4"/>
  <c r="D791" i="4"/>
  <c r="C791" i="4"/>
  <c r="D711" i="4"/>
  <c r="C711" i="4"/>
  <c r="D615" i="4"/>
  <c r="C615" i="4"/>
  <c r="D567" i="4"/>
  <c r="C567" i="4"/>
  <c r="D503" i="4"/>
  <c r="C503" i="4"/>
  <c r="D479" i="4"/>
  <c r="C479" i="4"/>
  <c r="D463" i="4"/>
  <c r="C463" i="4"/>
  <c r="D415" i="4"/>
  <c r="C415" i="4"/>
  <c r="D287" i="4"/>
  <c r="C287" i="4"/>
  <c r="D231" i="4"/>
  <c r="C231" i="4"/>
  <c r="D701" i="4"/>
  <c r="C701" i="4"/>
  <c r="D792" i="4"/>
  <c r="C792" i="4"/>
  <c r="D776" i="4"/>
  <c r="C776" i="4"/>
  <c r="D760" i="4"/>
  <c r="C760" i="4"/>
  <c r="D744" i="4"/>
  <c r="C744" i="4"/>
  <c r="D680" i="4"/>
  <c r="C680" i="4"/>
  <c r="D512" i="4"/>
  <c r="C512" i="4"/>
  <c r="D464" i="4"/>
  <c r="C464" i="4"/>
  <c r="D256" i="4"/>
  <c r="C256" i="4"/>
  <c r="D679" i="4"/>
  <c r="C679" i="4"/>
  <c r="D375" i="4"/>
  <c r="C375" i="4"/>
  <c r="D359" i="4"/>
  <c r="C359" i="4"/>
  <c r="D335" i="4"/>
  <c r="C335" i="4"/>
  <c r="D207" i="4"/>
  <c r="C207" i="4"/>
  <c r="D191" i="4"/>
  <c r="C191" i="4"/>
  <c r="D325" i="4"/>
  <c r="C325" i="4"/>
  <c r="D245" i="4"/>
  <c r="C245" i="4"/>
  <c r="D666" i="4"/>
  <c r="C666" i="4"/>
  <c r="D538" i="4"/>
  <c r="C538" i="4"/>
  <c r="D410" i="4"/>
  <c r="C410" i="4"/>
  <c r="D728" i="4"/>
  <c r="C728" i="4"/>
  <c r="D296" i="4"/>
  <c r="C296" i="4"/>
  <c r="D807" i="4"/>
  <c r="C807" i="4"/>
  <c r="D743" i="4"/>
  <c r="C743" i="4"/>
  <c r="D727" i="4"/>
  <c r="C727" i="4"/>
  <c r="D631" i="4"/>
  <c r="C631" i="4"/>
  <c r="D607" i="4"/>
  <c r="C607" i="4"/>
  <c r="D487" i="4"/>
  <c r="C487" i="4"/>
  <c r="D439" i="4"/>
  <c r="C439" i="4"/>
  <c r="D399" i="4"/>
  <c r="C399" i="4"/>
  <c r="D351" i="4"/>
  <c r="C351" i="4"/>
  <c r="D295" i="4"/>
  <c r="C295" i="4"/>
  <c r="D247" i="4"/>
  <c r="C247" i="4"/>
  <c r="D223" i="4"/>
  <c r="C223" i="4"/>
  <c r="D175" i="4"/>
  <c r="C175" i="4"/>
  <c r="D159" i="4"/>
  <c r="C159" i="4"/>
  <c r="D665" i="4"/>
  <c r="C665" i="4"/>
  <c r="D617" i="4"/>
  <c r="C617" i="4"/>
  <c r="D601" i="4"/>
  <c r="C601" i="4"/>
  <c r="D489" i="4"/>
  <c r="C489" i="4"/>
  <c r="D449" i="4"/>
  <c r="C449" i="4"/>
  <c r="D425" i="4"/>
  <c r="C425" i="4"/>
  <c r="D385" i="4"/>
  <c r="C385" i="4"/>
  <c r="D361" i="4"/>
  <c r="C361" i="4"/>
  <c r="D321" i="4"/>
  <c r="C321" i="4"/>
  <c r="D281" i="4"/>
  <c r="C281" i="4"/>
  <c r="D273" i="4"/>
  <c r="C273" i="4"/>
  <c r="D233" i="4"/>
  <c r="C233" i="4"/>
  <c r="D209" i="4"/>
  <c r="C209" i="4"/>
  <c r="D193" i="4"/>
  <c r="C193" i="4"/>
  <c r="D161" i="4"/>
  <c r="C161" i="4"/>
  <c r="D747" i="4"/>
  <c r="D144" i="4"/>
  <c r="C144" i="4"/>
  <c r="D128" i="4"/>
  <c r="C128" i="4"/>
  <c r="D112" i="4"/>
  <c r="C112" i="4"/>
  <c r="D96" i="4"/>
  <c r="C96" i="4"/>
  <c r="D80" i="4"/>
  <c r="C80" i="4"/>
  <c r="D48" i="4"/>
  <c r="C48" i="4"/>
  <c r="D32" i="4"/>
  <c r="C32" i="4"/>
  <c r="D16" i="4"/>
  <c r="C16" i="4"/>
  <c r="D143" i="4"/>
  <c r="C143" i="4"/>
  <c r="D127" i="4"/>
  <c r="C127" i="4"/>
  <c r="D95" i="4"/>
  <c r="C95" i="4"/>
  <c r="D79" i="4"/>
  <c r="C79" i="4"/>
  <c r="D63" i="4"/>
  <c r="C63" i="4"/>
  <c r="D47" i="4"/>
  <c r="C47" i="4"/>
  <c r="D31" i="4"/>
  <c r="C31" i="4"/>
  <c r="D15" i="4"/>
  <c r="C15" i="4"/>
  <c r="D3" i="4"/>
  <c r="C3" i="4"/>
  <c r="D113" i="4"/>
  <c r="C113" i="4"/>
  <c r="D65" i="4"/>
  <c r="C65" i="4"/>
  <c r="D730" i="4"/>
  <c r="D634" i="4"/>
  <c r="D370" i="4"/>
  <c r="D252" i="4"/>
  <c r="D234" i="4"/>
  <c r="D500" i="4"/>
  <c r="D802" i="4"/>
  <c r="D756" i="4"/>
  <c r="D261" i="4"/>
  <c r="D116" i="4"/>
  <c r="D628" i="4"/>
  <c r="D114" i="4"/>
  <c r="D509" i="4"/>
  <c r="D76" i="4"/>
  <c r="D803" i="4"/>
  <c r="D738" i="4"/>
  <c r="D626" i="4"/>
  <c r="D482" i="4"/>
  <c r="D364" i="4"/>
  <c r="D108" i="4"/>
  <c r="D365" i="4"/>
  <c r="D620" i="4"/>
  <c r="D468" i="4"/>
  <c r="D797" i="4"/>
  <c r="D724" i="4"/>
  <c r="D556" i="4"/>
  <c r="D442" i="4"/>
  <c r="D298" i="4"/>
  <c r="D189" i="4"/>
  <c r="D58" i="4"/>
  <c r="D794" i="4"/>
  <c r="D723" i="4"/>
  <c r="D554" i="4"/>
  <c r="D438" i="4"/>
  <c r="D292" i="4"/>
  <c r="D188" i="4"/>
  <c r="D44" i="4"/>
  <c r="D196" i="4"/>
  <c r="D775" i="4"/>
  <c r="D706" i="4"/>
  <c r="D546" i="4"/>
  <c r="D436" i="4"/>
  <c r="D290" i="4"/>
  <c r="D180" i="4"/>
  <c r="D42" i="4"/>
  <c r="D356" i="4"/>
  <c r="D770" i="4"/>
  <c r="D692" i="4"/>
  <c r="D428" i="4"/>
  <c r="D282" i="4"/>
  <c r="D122" i="4"/>
  <c r="D10" i="4"/>
  <c r="D695" i="4"/>
  <c r="D759" i="4"/>
  <c r="D687" i="4"/>
  <c r="D230" i="4"/>
  <c r="D788" i="4"/>
  <c r="D751" i="4"/>
  <c r="D719" i="4"/>
  <c r="D684" i="4"/>
  <c r="D613" i="4"/>
  <c r="D532" i="4"/>
  <c r="D466" i="4"/>
  <c r="D406" i="4"/>
  <c r="D354" i="4"/>
  <c r="D276" i="4"/>
  <c r="D218" i="4"/>
  <c r="D178" i="4"/>
  <c r="D106" i="4"/>
  <c r="D34" i="4"/>
  <c r="D787" i="4"/>
  <c r="D748" i="4"/>
  <c r="D715" i="4"/>
  <c r="D683" i="4"/>
  <c r="D612" i="4"/>
  <c r="D530" i="4"/>
  <c r="D458" i="4"/>
  <c r="D394" i="4"/>
  <c r="D340" i="4"/>
  <c r="D268" i="4"/>
  <c r="D210" i="4"/>
  <c r="D164" i="4"/>
  <c r="D100" i="4"/>
  <c r="D29" i="4"/>
  <c r="D2" i="4"/>
  <c r="D783" i="4"/>
  <c r="D658" i="4"/>
  <c r="D574" i="4"/>
  <c r="D524" i="4"/>
  <c r="D452" i="4"/>
  <c r="D380" i="4"/>
  <c r="D333" i="4"/>
  <c r="D266" i="4"/>
  <c r="D204" i="4"/>
  <c r="D146" i="4"/>
  <c r="D90" i="4"/>
  <c r="D26" i="4"/>
  <c r="D811" i="4"/>
  <c r="D779" i="4"/>
  <c r="D739" i="4"/>
  <c r="D710" i="4"/>
  <c r="D644" i="4"/>
  <c r="D570" i="4"/>
  <c r="D516" i="4"/>
  <c r="D444" i="4"/>
  <c r="D378" i="4"/>
  <c r="D306" i="4"/>
  <c r="D262" i="4"/>
  <c r="D202" i="4"/>
  <c r="D132" i="4"/>
  <c r="D77" i="4"/>
  <c r="D18" i="4"/>
  <c r="D753" i="4"/>
  <c r="D553" i="4"/>
  <c r="D521" i="4"/>
  <c r="D505" i="4"/>
  <c r="D241" i="4"/>
  <c r="D201" i="4"/>
  <c r="D169" i="4"/>
  <c r="D105" i="4"/>
  <c r="D81" i="4"/>
  <c r="D41" i="4"/>
  <c r="D17" i="4"/>
  <c r="D657" i="4"/>
  <c r="D337" i="4"/>
  <c r="D768" i="4"/>
  <c r="D752" i="4"/>
  <c r="D672" i="4"/>
  <c r="D648" i="4"/>
  <c r="D640" i="4"/>
  <c r="D624" i="4"/>
  <c r="D576" i="4"/>
  <c r="D798" i="4"/>
  <c r="D782" i="4"/>
  <c r="D750" i="4"/>
  <c r="D726" i="4"/>
  <c r="D694" i="4"/>
  <c r="D686" i="4"/>
  <c r="D678" i="4"/>
  <c r="D654" i="4"/>
  <c r="D622" i="4"/>
  <c r="D606" i="4"/>
  <c r="D558" i="4"/>
  <c r="D534" i="4"/>
  <c r="D470" i="4"/>
  <c r="D446" i="4"/>
  <c r="D430" i="4"/>
  <c r="D398" i="4"/>
  <c r="D374" i="4"/>
  <c r="D358" i="4"/>
  <c r="D334" i="4"/>
  <c r="D805" i="4"/>
  <c r="D773" i="4"/>
  <c r="D725" i="4"/>
  <c r="D709" i="4"/>
  <c r="D685" i="4"/>
  <c r="D669" i="4"/>
  <c r="D653" i="4"/>
  <c r="D637" i="4"/>
  <c r="D629" i="4"/>
  <c r="D573" i="4"/>
  <c r="D501" i="4"/>
  <c r="D485" i="4"/>
  <c r="D469" i="4"/>
  <c r="D437" i="4"/>
  <c r="D405" i="4"/>
  <c r="D389" i="4"/>
  <c r="D317" i="4"/>
  <c r="D301" i="4"/>
  <c r="D237" i="4"/>
  <c r="D221" i="4"/>
  <c r="D213" i="4"/>
  <c r="D205" i="4"/>
  <c r="D197" i="4"/>
  <c r="D181" i="4"/>
  <c r="D157" i="4"/>
  <c r="D141" i="4"/>
  <c r="D133" i="4"/>
  <c r="D117" i="4"/>
  <c r="D109" i="4"/>
  <c r="D69" i="4"/>
  <c r="D61" i="4"/>
  <c r="D53" i="4"/>
  <c r="D45" i="4"/>
  <c r="D37" i="4"/>
  <c r="D21" i="4"/>
  <c r="D13" i="4"/>
  <c r="D5" i="4"/>
  <c r="D765" i="4"/>
  <c r="D721" i="4"/>
  <c r="D697" i="4"/>
  <c r="D673" i="4"/>
  <c r="D494" i="4"/>
  <c r="D422" i="4"/>
  <c r="D249" i="4"/>
  <c r="D806" i="4"/>
  <c r="D785" i="4"/>
  <c r="D761" i="4"/>
  <c r="D670" i="4"/>
  <c r="D589" i="4"/>
  <c r="D517" i="4"/>
  <c r="D486" i="4"/>
  <c r="D421" i="4"/>
  <c r="D349" i="4"/>
  <c r="D313" i="4"/>
  <c r="D246" i="4"/>
  <c r="D173" i="4"/>
  <c r="D93" i="4"/>
  <c r="D49" i="4"/>
  <c r="D693" i="4"/>
  <c r="D662" i="4"/>
  <c r="D585" i="4"/>
  <c r="D414" i="4"/>
  <c r="D341" i="4"/>
  <c r="D238" i="4"/>
  <c r="D165" i="4"/>
  <c r="D757" i="4"/>
  <c r="D733" i="4"/>
  <c r="D582" i="4"/>
  <c r="D541" i="4"/>
  <c r="D510" i="4"/>
  <c r="D481" i="4"/>
  <c r="D409" i="4"/>
  <c r="D305" i="4"/>
  <c r="D86" i="4"/>
  <c r="D801" i="4"/>
  <c r="D745" i="4"/>
  <c r="D713" i="4"/>
  <c r="D689" i="4"/>
  <c r="D625" i="4"/>
  <c r="D593" i="4"/>
  <c r="D577" i="4"/>
  <c r="D545" i="4"/>
  <c r="D513" i="4"/>
  <c r="D417" i="4"/>
  <c r="D377" i="4"/>
  <c r="D257" i="4"/>
  <c r="D185" i="4"/>
  <c r="D153" i="4"/>
  <c r="D121" i="4"/>
  <c r="D89" i="4"/>
  <c r="D57" i="4"/>
  <c r="D9" i="4"/>
  <c r="D800" i="4"/>
  <c r="D784" i="4"/>
  <c r="D720" i="4"/>
  <c r="D688" i="4"/>
  <c r="D656" i="4"/>
  <c r="D632" i="4"/>
  <c r="D616" i="4"/>
  <c r="D608" i="4"/>
  <c r="D584" i="4"/>
  <c r="D568" i="4"/>
  <c r="D560" i="4"/>
  <c r="D544" i="4"/>
  <c r="D536" i="4"/>
  <c r="D528" i="4"/>
  <c r="D520" i="4"/>
  <c r="D504" i="4"/>
  <c r="D496" i="4"/>
  <c r="D488" i="4"/>
  <c r="D480" i="4"/>
  <c r="D472" i="4"/>
  <c r="D456" i="4"/>
  <c r="D440" i="4"/>
  <c r="D432" i="4"/>
  <c r="D424" i="4"/>
  <c r="D416" i="4"/>
  <c r="D408" i="4"/>
  <c r="D400" i="4"/>
  <c r="D392" i="4"/>
  <c r="D384" i="4"/>
  <c r="D376" i="4"/>
  <c r="D368" i="4"/>
  <c r="D352" i="4"/>
  <c r="D344" i="4"/>
  <c r="D336" i="4"/>
  <c r="D328" i="4"/>
  <c r="D320" i="4"/>
  <c r="D312" i="4"/>
  <c r="D304" i="4"/>
  <c r="D288" i="4"/>
  <c r="D280" i="4"/>
  <c r="D272" i="4"/>
  <c r="D264" i="4"/>
  <c r="D248" i="4"/>
  <c r="D240" i="4"/>
  <c r="D232" i="4"/>
  <c r="D224" i="4"/>
  <c r="D216" i="4"/>
  <c r="D208" i="4"/>
  <c r="D200" i="4"/>
  <c r="D192" i="4"/>
  <c r="D184" i="4"/>
  <c r="D774" i="4"/>
  <c r="D729" i="4"/>
  <c r="D649" i="4"/>
  <c r="D502" i="4"/>
  <c r="D401" i="4"/>
  <c r="D225" i="4"/>
  <c r="D158" i="4"/>
  <c r="D793" i="4"/>
  <c r="D702" i="4"/>
  <c r="D605" i="4"/>
  <c r="D569" i="4"/>
  <c r="D429" i="4"/>
  <c r="D326" i="4"/>
  <c r="D253" i="4"/>
  <c r="D150" i="4"/>
  <c r="D73" i="4"/>
  <c r="D809" i="4"/>
  <c r="D777" i="4"/>
  <c r="D737" i="4"/>
  <c r="D633" i="4"/>
  <c r="D529" i="4"/>
  <c r="D465" i="4"/>
  <c r="D441" i="4"/>
  <c r="D353" i="4"/>
  <c r="D329" i="4"/>
  <c r="D297" i="4"/>
  <c r="D265" i="4"/>
  <c r="D33" i="4"/>
  <c r="D736" i="4"/>
  <c r="D664" i="4"/>
  <c r="D592" i="4"/>
  <c r="D790" i="4"/>
  <c r="D638" i="4"/>
  <c r="D614" i="4"/>
  <c r="D550" i="4"/>
  <c r="D526" i="4"/>
  <c r="D462" i="4"/>
  <c r="D382" i="4"/>
  <c r="D366" i="4"/>
  <c r="D342" i="4"/>
  <c r="D310" i="4"/>
  <c r="D302" i="4"/>
  <c r="D294" i="4"/>
  <c r="D286" i="4"/>
  <c r="D278" i="4"/>
  <c r="D270" i="4"/>
  <c r="D254" i="4"/>
  <c r="D222" i="4"/>
  <c r="D214" i="4"/>
  <c r="D206" i="4"/>
  <c r="D198" i="4"/>
  <c r="D190" i="4"/>
  <c r="D182" i="4"/>
  <c r="D166" i="4"/>
  <c r="D142" i="4"/>
  <c r="D134" i="4"/>
  <c r="D126" i="4"/>
  <c r="D118" i="4"/>
  <c r="D110" i="4"/>
  <c r="D102" i="4"/>
  <c r="D94" i="4"/>
  <c r="D78" i="4"/>
  <c r="D70" i="4"/>
  <c r="D54" i="4"/>
  <c r="D46" i="4"/>
  <c r="D38" i="4"/>
  <c r="D30" i="4"/>
  <c r="D22" i="4"/>
  <c r="D14" i="4"/>
  <c r="D6" i="4"/>
  <c r="D766" i="4"/>
  <c r="D677" i="4"/>
  <c r="D641" i="4"/>
  <c r="D598" i="4"/>
  <c r="D561" i="4"/>
  <c r="D525" i="4"/>
  <c r="D497" i="4"/>
  <c r="D393" i="4"/>
  <c r="D217" i="4"/>
  <c r="D101" i="4"/>
  <c r="D62" i="4"/>
  <c r="D769" i="4"/>
  <c r="D705" i="4"/>
  <c r="D681" i="4"/>
  <c r="D609" i="4"/>
  <c r="D537" i="4"/>
  <c r="D457" i="4"/>
  <c r="D433" i="4"/>
  <c r="D369" i="4"/>
  <c r="D345" i="4"/>
  <c r="D289" i="4"/>
  <c r="D177" i="4"/>
  <c r="D145" i="4"/>
  <c r="D129" i="4"/>
  <c r="D97" i="4"/>
  <c r="D25" i="4"/>
  <c r="D473" i="4"/>
  <c r="D704" i="4"/>
  <c r="D600" i="4"/>
  <c r="D758" i="4"/>
  <c r="D734" i="4"/>
  <c r="D718" i="4"/>
  <c r="D646" i="4"/>
  <c r="D630" i="4"/>
  <c r="D590" i="4"/>
  <c r="D566" i="4"/>
  <c r="D542" i="4"/>
  <c r="D518" i="4"/>
  <c r="D478" i="4"/>
  <c r="D454" i="4"/>
  <c r="D390" i="4"/>
  <c r="D789" i="4"/>
  <c r="D781" i="4"/>
  <c r="D749" i="4"/>
  <c r="D741" i="4"/>
  <c r="D717" i="4"/>
  <c r="D661" i="4"/>
  <c r="D645" i="4"/>
  <c r="D621" i="4"/>
  <c r="D581" i="4"/>
  <c r="D565" i="4"/>
  <c r="D557" i="4"/>
  <c r="D549" i="4"/>
  <c r="D533" i="4"/>
  <c r="D493" i="4"/>
  <c r="D477" i="4"/>
  <c r="D461" i="4"/>
  <c r="D445" i="4"/>
  <c r="D413" i="4"/>
  <c r="D397" i="4"/>
  <c r="D381" i="4"/>
  <c r="D373" i="4"/>
  <c r="D357" i="4"/>
  <c r="D309" i="4"/>
  <c r="D293" i="4"/>
  <c r="D285" i="4"/>
  <c r="D269" i="4"/>
  <c r="D229" i="4"/>
  <c r="D149" i="4"/>
  <c r="D125" i="4"/>
  <c r="D85" i="4"/>
  <c r="D742" i="4"/>
  <c r="D597" i="4"/>
  <c r="D453" i="4"/>
  <c r="D350" i="4"/>
  <c r="D318" i="4"/>
  <c r="D277" i="4"/>
  <c r="D174" i="4"/>
  <c r="D137" i="4"/>
  <c r="D168" i="4"/>
  <c r="D152" i="4"/>
  <c r="D136" i="4"/>
  <c r="D120" i="4"/>
  <c r="D104" i="4"/>
  <c r="D88" i="4"/>
  <c r="D72" i="4"/>
  <c r="D64" i="4"/>
  <c r="D56" i="4"/>
  <c r="D40" i="4"/>
  <c r="D24" i="4"/>
  <c r="D8" i="4"/>
  <c r="D796" i="4"/>
  <c r="D778" i="4"/>
  <c r="D732" i="4"/>
  <c r="D714" i="4"/>
  <c r="D676" i="4"/>
  <c r="D618" i="4"/>
  <c r="D602" i="4"/>
  <c r="D588" i="4"/>
  <c r="D671" i="4"/>
  <c r="D663" i="4"/>
  <c r="D655" i="4"/>
  <c r="D647" i="4"/>
  <c r="D639" i="4"/>
  <c r="D623" i="4"/>
  <c r="D599" i="4"/>
  <c r="D591" i="4"/>
  <c r="D583" i="4"/>
  <c r="D575" i="4"/>
  <c r="D559" i="4"/>
  <c r="D551" i="4"/>
  <c r="D543" i="4"/>
  <c r="D535" i="4"/>
  <c r="D527" i="4"/>
  <c r="D519" i="4"/>
  <c r="D511" i="4"/>
  <c r="D495" i="4"/>
  <c r="D471" i="4"/>
  <c r="D455" i="4"/>
  <c r="D447" i="4"/>
  <c r="D431" i="4"/>
  <c r="D423" i="4"/>
  <c r="D407" i="4"/>
  <c r="D391" i="4"/>
  <c r="D383" i="4"/>
  <c r="D367" i="4"/>
  <c r="D343" i="4"/>
  <c r="D327" i="4"/>
  <c r="D319" i="4"/>
  <c r="D311" i="4"/>
  <c r="D303" i="4"/>
  <c r="D279" i="4"/>
  <c r="D271" i="4"/>
  <c r="D263" i="4"/>
  <c r="D255" i="4"/>
  <c r="D239" i="4"/>
  <c r="D215" i="4"/>
  <c r="D199" i="4"/>
  <c r="D183" i="4"/>
  <c r="D167" i="4"/>
  <c r="D151" i="4"/>
  <c r="D135" i="4"/>
  <c r="D119" i="4"/>
  <c r="D111" i="4"/>
  <c r="D103" i="4"/>
  <c r="D87" i="4"/>
  <c r="D71" i="4"/>
  <c r="D55" i="4"/>
  <c r="D39" i="4"/>
  <c r="D23" i="4"/>
  <c r="D7" i="4"/>
  <c r="D1" i="4"/>
  <c r="D804" i="4"/>
  <c r="D795" i="4"/>
  <c r="D786" i="4"/>
  <c r="D767" i="4"/>
  <c r="D740" i="4"/>
  <c r="D731" i="4"/>
  <c r="D722" i="4"/>
  <c r="D703" i="4"/>
  <c r="D674" i="4"/>
  <c r="D660" i="4"/>
  <c r="D586" i="4"/>
  <c r="D572" i="4"/>
  <c r="D498" i="4"/>
  <c r="D484" i="4"/>
  <c r="D426" i="4"/>
  <c r="D396" i="4"/>
  <c r="D338" i="4"/>
  <c r="D324" i="4"/>
  <c r="D308" i="4"/>
  <c r="D250" i="4"/>
  <c r="D236" i="4"/>
  <c r="D162" i="4"/>
  <c r="D148" i="4"/>
  <c r="D74" i="4"/>
  <c r="D60" i="4"/>
  <c r="D476" i="4"/>
  <c r="D412" i="4"/>
  <c r="D348" i="4"/>
  <c r="D284" i="4"/>
  <c r="D220" i="4"/>
  <c r="D156" i="4"/>
  <c r="D92" i="4"/>
  <c r="D28" i="4"/>
  <c r="D20" i="4"/>
  <c r="D12" i="4"/>
  <c r="D4" i="4"/>
  <c r="D810" i="4"/>
  <c r="D764" i="4"/>
  <c r="D755" i="4"/>
  <c r="D746" i="4"/>
  <c r="D700" i="4"/>
  <c r="D691" i="4"/>
  <c r="D682" i="4"/>
  <c r="D610" i="4"/>
  <c r="D596" i="4"/>
  <c r="D522" i="4"/>
  <c r="D508" i="4"/>
  <c r="D434" i="4"/>
  <c r="D420" i="4"/>
  <c r="D362" i="4"/>
  <c r="D346" i="4"/>
  <c r="D332" i="4"/>
  <c r="D274" i="4"/>
  <c r="D260" i="4"/>
  <c r="D244" i="4"/>
  <c r="D186" i="4"/>
  <c r="D172" i="4"/>
  <c r="D98" i="4"/>
  <c r="D84" i="4"/>
  <c r="D668" i="4"/>
  <c r="D604" i="4"/>
  <c r="D540" i="4"/>
  <c r="D675" i="4"/>
  <c r="D667" i="4"/>
  <c r="D659" i="4"/>
  <c r="D651" i="4"/>
  <c r="D643" i="4"/>
  <c r="D635" i="4"/>
  <c r="D627" i="4"/>
  <c r="D619" i="4"/>
  <c r="D611" i="4"/>
  <c r="D603" i="4"/>
  <c r="D595" i="4"/>
  <c r="D587" i="4"/>
  <c r="D579" i="4"/>
  <c r="D571" i="4"/>
  <c r="D563" i="4"/>
  <c r="D555" i="4"/>
  <c r="D547" i="4"/>
  <c r="D539" i="4"/>
  <c r="D531" i="4"/>
  <c r="D523" i="4"/>
  <c r="D515" i="4"/>
  <c r="D507" i="4"/>
  <c r="D499" i="4"/>
  <c r="D491" i="4"/>
  <c r="D483" i="4"/>
  <c r="D475" i="4"/>
  <c r="D467" i="4"/>
  <c r="D459" i="4"/>
  <c r="D451" i="4"/>
  <c r="D443" i="4"/>
  <c r="D435" i="4"/>
  <c r="D427" i="4"/>
  <c r="D419" i="4"/>
  <c r="D411" i="4"/>
  <c r="D403" i="4"/>
  <c r="D395" i="4"/>
  <c r="D387" i="4"/>
  <c r="D379" i="4"/>
  <c r="D371" i="4"/>
  <c r="D363" i="4"/>
  <c r="D355" i="4"/>
  <c r="D347" i="4"/>
  <c r="D339" i="4"/>
  <c r="D331" i="4"/>
  <c r="D323" i="4"/>
  <c r="D315" i="4"/>
  <c r="D307" i="4"/>
  <c r="D299" i="4"/>
  <c r="D291" i="4"/>
  <c r="D283" i="4"/>
  <c r="D275" i="4"/>
  <c r="D267" i="4"/>
  <c r="D259" i="4"/>
  <c r="D251" i="4"/>
  <c r="D243" i="4"/>
  <c r="D235" i="4"/>
  <c r="D227" i="4"/>
  <c r="D219" i="4"/>
  <c r="D211" i="4"/>
  <c r="D203" i="4"/>
  <c r="D195" i="4"/>
  <c r="D187" i="4"/>
  <c r="D179" i="4"/>
  <c r="D171" i="4"/>
  <c r="D163" i="4"/>
  <c r="D155" i="4"/>
  <c r="D147" i="4"/>
  <c r="D139" i="4"/>
  <c r="D131" i="4"/>
  <c r="D123" i="4"/>
  <c r="D115" i="4"/>
  <c r="D107" i="4"/>
  <c r="D99" i="4"/>
  <c r="D91" i="4"/>
  <c r="D83" i="4"/>
  <c r="D75" i="4"/>
  <c r="D67" i="4"/>
  <c r="D59" i="4"/>
  <c r="D51" i="4"/>
  <c r="D43" i="4"/>
  <c r="D35" i="4"/>
  <c r="D27" i="4"/>
  <c r="D19" i="4"/>
  <c r="D11" i="4"/>
  <c r="D799" i="4"/>
  <c r="D772" i="4"/>
  <c r="D763" i="4"/>
  <c r="D754" i="4"/>
  <c r="D735" i="4"/>
  <c r="D708" i="4"/>
  <c r="D699" i="4"/>
  <c r="D690" i="4"/>
  <c r="D652" i="4"/>
  <c r="D594" i="4"/>
  <c r="D580" i="4"/>
  <c r="D564" i="4"/>
  <c r="D506" i="4"/>
  <c r="D492" i="4"/>
  <c r="D418" i="4"/>
  <c r="D404" i="4"/>
  <c r="D330" i="4"/>
  <c r="D316" i="4"/>
  <c r="D242" i="4"/>
  <c r="D228" i="4"/>
  <c r="D170" i="4"/>
  <c r="D154" i="4"/>
  <c r="D140" i="4"/>
  <c r="D82" i="4"/>
  <c r="D68" i="4"/>
  <c r="D52" i="4"/>
  <c r="D642" i="4"/>
  <c r="D578" i="4"/>
  <c r="D514" i="4"/>
  <c r="D450" i="4"/>
  <c r="D386" i="4"/>
  <c r="D322" i="4"/>
  <c r="D258" i="4"/>
  <c r="D194" i="4"/>
  <c r="D130" i="4"/>
  <c r="D66" i="4"/>
  <c r="D780" i="4"/>
  <c r="D771" i="4"/>
  <c r="D762" i="4"/>
  <c r="D716" i="4"/>
  <c r="D707" i="4"/>
  <c r="D698" i="4"/>
  <c r="D650" i="4"/>
  <c r="D636" i="4"/>
  <c r="D562" i="4"/>
  <c r="D548" i="4"/>
  <c r="D490" i="4"/>
  <c r="D474" i="4"/>
  <c r="D460" i="4"/>
  <c r="D402" i="4"/>
  <c r="D388" i="4"/>
  <c r="D372" i="4"/>
  <c r="D314" i="4"/>
  <c r="D300" i="4"/>
  <c r="D226" i="4"/>
  <c r="D212" i="4"/>
  <c r="D138" i="4"/>
  <c r="D124" i="4"/>
  <c r="D50" i="4"/>
  <c r="D36" i="4"/>
  <c r="E1" i="4" l="1"/>
  <c r="A2" i="3"/>
  <c r="B2" i="3"/>
  <c r="I2" i="3" s="1"/>
  <c r="A3" i="3"/>
  <c r="B3" i="3"/>
  <c r="I3" i="3" s="1"/>
  <c r="J3" i="3" s="1"/>
  <c r="A4" i="3"/>
  <c r="B4" i="3"/>
  <c r="I4" i="3" s="1"/>
  <c r="A5" i="3"/>
  <c r="B5" i="3"/>
  <c r="I5" i="3" s="1"/>
  <c r="J5" i="3" s="1"/>
  <c r="A6" i="3"/>
  <c r="B6" i="3"/>
  <c r="I6" i="3" s="1"/>
  <c r="A7" i="3"/>
  <c r="B7" i="3"/>
  <c r="I7" i="3" s="1"/>
  <c r="J7" i="3" s="1"/>
  <c r="A8" i="3"/>
  <c r="B8" i="3"/>
  <c r="I8" i="3" s="1"/>
  <c r="A9" i="3"/>
  <c r="B9" i="3"/>
  <c r="I9" i="3" s="1"/>
  <c r="J9" i="3" s="1"/>
  <c r="A10" i="3"/>
  <c r="B10" i="3"/>
  <c r="I10" i="3" s="1"/>
  <c r="A11" i="3"/>
  <c r="B11" i="3"/>
  <c r="I11" i="3" s="1"/>
  <c r="J11" i="3" s="1"/>
  <c r="A12" i="3"/>
  <c r="B12" i="3"/>
  <c r="I12" i="3" s="1"/>
  <c r="A13" i="3"/>
  <c r="B13" i="3"/>
  <c r="I13" i="3" s="1"/>
  <c r="J13" i="3" s="1"/>
  <c r="A14" i="3"/>
  <c r="B14" i="3"/>
  <c r="I14" i="3" s="1"/>
  <c r="A15" i="3"/>
  <c r="B15" i="3"/>
  <c r="I15" i="3" s="1"/>
  <c r="J15" i="3" s="1"/>
  <c r="A16" i="3"/>
  <c r="B16" i="3"/>
  <c r="I16" i="3" s="1"/>
  <c r="A17" i="3"/>
  <c r="B17" i="3"/>
  <c r="I17" i="3" s="1"/>
  <c r="K17" i="3" s="1"/>
  <c r="L17" i="3" s="1"/>
  <c r="M17" i="3" s="1"/>
  <c r="A18" i="3"/>
  <c r="B18" i="3"/>
  <c r="I18" i="3" s="1"/>
  <c r="J18" i="3" s="1"/>
  <c r="A19" i="3"/>
  <c r="B19" i="3"/>
  <c r="I19" i="3" s="1"/>
  <c r="J19" i="3" s="1"/>
  <c r="A20" i="3"/>
  <c r="B20" i="3"/>
  <c r="I20" i="3" s="1"/>
  <c r="A21" i="3"/>
  <c r="B21" i="3"/>
  <c r="I21" i="3" s="1"/>
  <c r="J21" i="3" s="1"/>
  <c r="A22" i="3"/>
  <c r="B22" i="3"/>
  <c r="I22" i="3" s="1"/>
  <c r="A23" i="3"/>
  <c r="B23" i="3"/>
  <c r="A24" i="3"/>
  <c r="B24" i="3"/>
  <c r="I24" i="3" s="1"/>
  <c r="A25" i="3"/>
  <c r="B25" i="3"/>
  <c r="I25" i="3" s="1"/>
  <c r="J25" i="3" s="1"/>
  <c r="A26" i="3"/>
  <c r="B26" i="3"/>
  <c r="I26" i="3" s="1"/>
  <c r="J26" i="3" s="1"/>
  <c r="A27" i="3"/>
  <c r="B27" i="3"/>
  <c r="A28" i="3"/>
  <c r="B28" i="3"/>
  <c r="I28" i="3" s="1"/>
  <c r="A29" i="3"/>
  <c r="B29" i="3"/>
  <c r="A30" i="3"/>
  <c r="B30" i="3"/>
  <c r="I30" i="3" s="1"/>
  <c r="J30" i="3" s="1"/>
  <c r="A31" i="3"/>
  <c r="B31" i="3"/>
  <c r="I31" i="3" s="1"/>
  <c r="J31" i="3" s="1"/>
  <c r="A32" i="3"/>
  <c r="B32" i="3"/>
  <c r="I32" i="3" s="1"/>
  <c r="J32" i="3" s="1"/>
  <c r="A33" i="3"/>
  <c r="B33" i="3"/>
  <c r="A34" i="3"/>
  <c r="B34" i="3"/>
  <c r="A35" i="3"/>
  <c r="B35" i="3"/>
  <c r="I35" i="3" s="1"/>
  <c r="J35" i="3" s="1"/>
  <c r="A36" i="3"/>
  <c r="B36" i="3"/>
  <c r="I36" i="3" s="1"/>
  <c r="J36" i="3" s="1"/>
  <c r="A37" i="3"/>
  <c r="B37" i="3"/>
  <c r="A38" i="3"/>
  <c r="B38" i="3"/>
  <c r="A39" i="3"/>
  <c r="B39" i="3"/>
  <c r="I39" i="3" s="1"/>
  <c r="J39" i="3" s="1"/>
  <c r="A40" i="3"/>
  <c r="B40" i="3"/>
  <c r="I40" i="3" s="1"/>
  <c r="J40" i="3" s="1"/>
  <c r="A41" i="3"/>
  <c r="B41" i="3"/>
  <c r="I41" i="3" s="1"/>
  <c r="A42" i="3"/>
  <c r="B42" i="3"/>
  <c r="A43" i="3"/>
  <c r="B43" i="3"/>
  <c r="I43" i="3" s="1"/>
  <c r="A44" i="3"/>
  <c r="B44" i="3"/>
  <c r="I44" i="3" s="1"/>
  <c r="J44" i="3" s="1"/>
  <c r="A45" i="3"/>
  <c r="B45" i="3"/>
  <c r="I45" i="3" s="1"/>
  <c r="A46" i="3"/>
  <c r="B46" i="3"/>
  <c r="A47" i="3"/>
  <c r="B47" i="3"/>
  <c r="I47" i="3" s="1"/>
  <c r="A48" i="3"/>
  <c r="B48" i="3"/>
  <c r="I48" i="3" s="1"/>
  <c r="J48" i="3" s="1"/>
  <c r="A49" i="3"/>
  <c r="B49" i="3"/>
  <c r="I49" i="3" s="1"/>
  <c r="A50" i="3"/>
  <c r="B50" i="3"/>
  <c r="A51" i="3"/>
  <c r="B51" i="3"/>
  <c r="I51" i="3" s="1"/>
  <c r="A52" i="3"/>
  <c r="B52" i="3"/>
  <c r="I52" i="3" s="1"/>
  <c r="A53" i="3"/>
  <c r="B53" i="3"/>
  <c r="I53" i="3" s="1"/>
  <c r="J53" i="3" s="1"/>
  <c r="A54" i="3"/>
  <c r="B54" i="3"/>
  <c r="A55" i="3"/>
  <c r="B55" i="3"/>
  <c r="I55" i="3" s="1"/>
  <c r="A56" i="3"/>
  <c r="B56" i="3"/>
  <c r="I56" i="3" s="1"/>
  <c r="A57" i="3"/>
  <c r="B57" i="3"/>
  <c r="I57" i="3" s="1"/>
  <c r="A58" i="3"/>
  <c r="B58" i="3"/>
  <c r="I58" i="3" s="1"/>
  <c r="J58" i="3" s="1"/>
  <c r="A59" i="3"/>
  <c r="B59" i="3"/>
  <c r="I59" i="3" s="1"/>
  <c r="A60" i="3"/>
  <c r="B60" i="3"/>
  <c r="I60" i="3" s="1"/>
  <c r="J60" i="3" s="1"/>
  <c r="A61" i="3"/>
  <c r="B61" i="3"/>
  <c r="I61" i="3" s="1"/>
  <c r="A62" i="3"/>
  <c r="B62" i="3"/>
  <c r="A63" i="3"/>
  <c r="B63" i="3"/>
  <c r="I63" i="3" s="1"/>
  <c r="A64" i="3"/>
  <c r="B64" i="3"/>
  <c r="I64" i="3" s="1"/>
  <c r="J64" i="3" s="1"/>
  <c r="A65" i="3"/>
  <c r="B65" i="3"/>
  <c r="I65" i="3" s="1"/>
  <c r="J65" i="3" s="1"/>
  <c r="A66" i="3"/>
  <c r="B66" i="3"/>
  <c r="I66" i="3" s="1"/>
  <c r="J66" i="3" s="1"/>
  <c r="A67" i="3"/>
  <c r="B67" i="3"/>
  <c r="I67" i="3" s="1"/>
  <c r="A68" i="3"/>
  <c r="B68" i="3"/>
  <c r="I68" i="3" s="1"/>
  <c r="A69" i="3"/>
  <c r="B69" i="3"/>
  <c r="I69" i="3" s="1"/>
  <c r="J69" i="3" s="1"/>
  <c r="A70" i="3"/>
  <c r="B70" i="3"/>
  <c r="A71" i="3"/>
  <c r="B71" i="3"/>
  <c r="I71" i="3" s="1"/>
  <c r="A72" i="3"/>
  <c r="B72" i="3"/>
  <c r="I72" i="3" s="1"/>
  <c r="A73" i="3"/>
  <c r="B73" i="3"/>
  <c r="I73" i="3" s="1"/>
  <c r="A74" i="3"/>
  <c r="B74" i="3"/>
  <c r="I74" i="3" s="1"/>
  <c r="J74" i="3" s="1"/>
  <c r="A75" i="3"/>
  <c r="B75" i="3"/>
  <c r="I75" i="3" s="1"/>
  <c r="A76" i="3"/>
  <c r="B76" i="3"/>
  <c r="I76" i="3" s="1"/>
  <c r="J76" i="3" s="1"/>
  <c r="A77" i="3"/>
  <c r="B77" i="3"/>
  <c r="A78" i="3"/>
  <c r="B78" i="3"/>
  <c r="I78" i="3" s="1"/>
  <c r="J78" i="3" s="1"/>
  <c r="A79" i="3"/>
  <c r="B79" i="3"/>
  <c r="I79" i="3" s="1"/>
  <c r="A80" i="3"/>
  <c r="B80" i="3"/>
  <c r="I80" i="3" s="1"/>
  <c r="J80" i="3" s="1"/>
  <c r="A81" i="3"/>
  <c r="B81" i="3"/>
  <c r="I81" i="3" s="1"/>
  <c r="A82" i="3"/>
  <c r="B82" i="3"/>
  <c r="I82" i="3" s="1"/>
  <c r="J82" i="3" s="1"/>
  <c r="A83" i="3"/>
  <c r="B83" i="3"/>
  <c r="A84" i="3"/>
  <c r="B84" i="3"/>
  <c r="I84" i="3" s="1"/>
  <c r="J84" i="3" s="1"/>
  <c r="A85" i="3"/>
  <c r="B85" i="3"/>
  <c r="I85" i="3" s="1"/>
  <c r="J85" i="3" s="1"/>
  <c r="A86" i="3"/>
  <c r="B86" i="3"/>
  <c r="A87" i="3"/>
  <c r="B87" i="3"/>
  <c r="I87" i="3" s="1"/>
  <c r="J87" i="3" s="1"/>
  <c r="A88" i="3"/>
  <c r="B88" i="3"/>
  <c r="I88" i="3" s="1"/>
  <c r="J88" i="3" s="1"/>
  <c r="A89" i="3"/>
  <c r="B89" i="3"/>
  <c r="I89" i="3" s="1"/>
  <c r="J89" i="3" s="1"/>
  <c r="A90" i="3"/>
  <c r="B90" i="3"/>
  <c r="I90" i="3" s="1"/>
  <c r="J90" i="3" s="1"/>
  <c r="A91" i="3"/>
  <c r="B91" i="3"/>
  <c r="A92" i="3"/>
  <c r="B92" i="3"/>
  <c r="I92" i="3" s="1"/>
  <c r="J92" i="3" s="1"/>
  <c r="A93" i="3"/>
  <c r="B93" i="3"/>
  <c r="I93" i="3" s="1"/>
  <c r="J93" i="3" s="1"/>
  <c r="A94" i="3"/>
  <c r="B94" i="3"/>
  <c r="I94" i="3" s="1"/>
  <c r="J94" i="3" s="1"/>
  <c r="A95" i="3"/>
  <c r="B95" i="3"/>
  <c r="A96" i="3"/>
  <c r="B96" i="3"/>
  <c r="I96" i="3" s="1"/>
  <c r="J96" i="3" s="1"/>
  <c r="A97" i="3"/>
  <c r="B97" i="3"/>
  <c r="A98" i="3"/>
  <c r="B98" i="3"/>
  <c r="I98" i="3" s="1"/>
  <c r="J98" i="3" s="1"/>
  <c r="A99" i="3"/>
  <c r="B99" i="3"/>
  <c r="I99" i="3" s="1"/>
  <c r="J99" i="3" s="1"/>
  <c r="A100" i="3"/>
  <c r="B100" i="3"/>
  <c r="A101" i="3"/>
  <c r="B101" i="3"/>
  <c r="I101" i="3" s="1"/>
  <c r="A102" i="3"/>
  <c r="B102" i="3"/>
  <c r="A103" i="3"/>
  <c r="B103" i="3"/>
  <c r="I103" i="3" s="1"/>
  <c r="A104" i="3"/>
  <c r="B104" i="3"/>
  <c r="I104" i="3" s="1"/>
  <c r="J104" i="3" s="1"/>
  <c r="A105" i="3"/>
  <c r="B105" i="3"/>
  <c r="I105" i="3" s="1"/>
  <c r="A106" i="3"/>
  <c r="B106" i="3"/>
  <c r="A107" i="3"/>
  <c r="B107" i="3"/>
  <c r="I107" i="3" s="1"/>
  <c r="J107" i="3" s="1"/>
  <c r="A108" i="3"/>
  <c r="B108" i="3"/>
  <c r="I108" i="3" s="1"/>
  <c r="J108" i="3" s="1"/>
  <c r="A109" i="3"/>
  <c r="B109" i="3"/>
  <c r="I109" i="3" s="1"/>
  <c r="A110" i="3"/>
  <c r="B110" i="3"/>
  <c r="A111" i="3"/>
  <c r="B111" i="3"/>
  <c r="I111" i="3" s="1"/>
  <c r="A112" i="3"/>
  <c r="B112" i="3"/>
  <c r="I112" i="3" s="1"/>
  <c r="J112" i="3" s="1"/>
  <c r="A113" i="3"/>
  <c r="B113" i="3"/>
  <c r="I113" i="3" s="1"/>
  <c r="A114" i="3"/>
  <c r="B114" i="3"/>
  <c r="A115" i="3"/>
  <c r="B115" i="3"/>
  <c r="I115" i="3" s="1"/>
  <c r="J115" i="3" s="1"/>
  <c r="A116" i="3"/>
  <c r="B116" i="3"/>
  <c r="I116" i="3" s="1"/>
  <c r="J116" i="3" s="1"/>
  <c r="A117" i="3"/>
  <c r="B117" i="3"/>
  <c r="I117" i="3" s="1"/>
  <c r="A118" i="3"/>
  <c r="B118" i="3"/>
  <c r="A119" i="3"/>
  <c r="B119" i="3"/>
  <c r="I119" i="3" s="1"/>
  <c r="J119" i="3" s="1"/>
  <c r="A120" i="3"/>
  <c r="B120" i="3"/>
  <c r="I120" i="3" s="1"/>
  <c r="J120" i="3" s="1"/>
  <c r="A121" i="3"/>
  <c r="B121" i="3"/>
  <c r="I121" i="3" s="1"/>
  <c r="A122" i="3"/>
  <c r="B122" i="3"/>
  <c r="A123" i="3"/>
  <c r="B123" i="3"/>
  <c r="I123" i="3" s="1"/>
  <c r="J123" i="3" s="1"/>
  <c r="A124" i="3"/>
  <c r="B124" i="3"/>
  <c r="I124" i="3" s="1"/>
  <c r="J124" i="3" s="1"/>
  <c r="A125" i="3"/>
  <c r="B125" i="3"/>
  <c r="I125" i="3" s="1"/>
  <c r="A126" i="3"/>
  <c r="B126" i="3"/>
  <c r="A127" i="3"/>
  <c r="B127" i="3"/>
  <c r="A128" i="3"/>
  <c r="B128" i="3"/>
  <c r="I128" i="3" s="1"/>
  <c r="J128" i="3" s="1"/>
  <c r="A129" i="3"/>
  <c r="B129" i="3"/>
  <c r="I129" i="3" s="1"/>
  <c r="A130" i="3"/>
  <c r="B130" i="3"/>
  <c r="A131" i="3"/>
  <c r="B131" i="3"/>
  <c r="I131" i="3" s="1"/>
  <c r="J131" i="3" s="1"/>
  <c r="A132" i="3"/>
  <c r="B132" i="3"/>
  <c r="I132" i="3" s="1"/>
  <c r="J132" i="3" s="1"/>
  <c r="A133" i="3"/>
  <c r="B133" i="3"/>
  <c r="I133" i="3" s="1"/>
  <c r="A134" i="3"/>
  <c r="B134" i="3"/>
  <c r="A135" i="3"/>
  <c r="B135" i="3"/>
  <c r="A136" i="3"/>
  <c r="B136" i="3"/>
  <c r="A137" i="3"/>
  <c r="B137" i="3"/>
  <c r="I137" i="3" s="1"/>
  <c r="A138" i="3"/>
  <c r="B138" i="3"/>
  <c r="A139" i="3"/>
  <c r="B139" i="3"/>
  <c r="I139" i="3" s="1"/>
  <c r="J139" i="3" s="1"/>
  <c r="A140" i="3"/>
  <c r="B140" i="3"/>
  <c r="I140" i="3" s="1"/>
  <c r="J140" i="3" s="1"/>
  <c r="A141" i="3"/>
  <c r="B141" i="3"/>
  <c r="I141" i="3" s="1"/>
  <c r="A142" i="3"/>
  <c r="B142" i="3"/>
  <c r="A143" i="3"/>
  <c r="B143" i="3"/>
  <c r="I143" i="3" s="1"/>
  <c r="J143" i="3" s="1"/>
  <c r="A144" i="3"/>
  <c r="B144" i="3"/>
  <c r="I144" i="3" s="1"/>
  <c r="J144" i="3" s="1"/>
  <c r="A145" i="3"/>
  <c r="B145" i="3"/>
  <c r="I145" i="3" s="1"/>
  <c r="A146" i="3"/>
  <c r="B146" i="3"/>
  <c r="A147" i="3"/>
  <c r="B147" i="3"/>
  <c r="I147" i="3" s="1"/>
  <c r="J147" i="3" s="1"/>
  <c r="A148" i="3"/>
  <c r="B148" i="3"/>
  <c r="I148" i="3" s="1"/>
  <c r="J148" i="3" s="1"/>
  <c r="A149" i="3"/>
  <c r="B149" i="3"/>
  <c r="I149" i="3" s="1"/>
  <c r="A150" i="3"/>
  <c r="B150" i="3"/>
  <c r="A151" i="3"/>
  <c r="B151" i="3"/>
  <c r="A152" i="3"/>
  <c r="B152" i="3"/>
  <c r="A153" i="3"/>
  <c r="B153" i="3"/>
  <c r="I153" i="3" s="1"/>
  <c r="A154" i="3"/>
  <c r="B154" i="3"/>
  <c r="A155" i="3"/>
  <c r="B155" i="3"/>
  <c r="A156" i="3"/>
  <c r="B156" i="3"/>
  <c r="I156" i="3" s="1"/>
  <c r="A157" i="3"/>
  <c r="B157" i="3"/>
  <c r="I157" i="3" s="1"/>
  <c r="A158" i="3"/>
  <c r="B158" i="3"/>
  <c r="A159" i="3"/>
  <c r="B159" i="3"/>
  <c r="I159" i="3" s="1"/>
  <c r="J159" i="3" s="1"/>
  <c r="A160" i="3"/>
  <c r="B160" i="3"/>
  <c r="I160" i="3" s="1"/>
  <c r="A161" i="3"/>
  <c r="B161" i="3"/>
  <c r="I161" i="3" s="1"/>
  <c r="J161" i="3" s="1"/>
  <c r="A162" i="3"/>
  <c r="B162" i="3"/>
  <c r="I162" i="3" s="1"/>
  <c r="J162" i="3" s="1"/>
  <c r="A163" i="3"/>
  <c r="B163" i="3"/>
  <c r="I163" i="3" s="1"/>
  <c r="J163" i="3" s="1"/>
  <c r="A164" i="3"/>
  <c r="B164" i="3"/>
  <c r="I164" i="3" s="1"/>
  <c r="A165" i="3"/>
  <c r="B165" i="3"/>
  <c r="I165" i="3" s="1"/>
  <c r="J165" i="3" s="1"/>
  <c r="A166" i="3"/>
  <c r="B166" i="3"/>
  <c r="I166" i="3" s="1"/>
  <c r="J166" i="3" s="1"/>
  <c r="A167" i="3"/>
  <c r="B167" i="3"/>
  <c r="I167" i="3" s="1"/>
  <c r="J167" i="3" s="1"/>
  <c r="A168" i="3"/>
  <c r="B168" i="3"/>
  <c r="I168" i="3" s="1"/>
  <c r="A169" i="3"/>
  <c r="B169" i="3"/>
  <c r="I169" i="3" s="1"/>
  <c r="J169" i="3" s="1"/>
  <c r="A170" i="3"/>
  <c r="B170" i="3"/>
  <c r="I170" i="3" s="1"/>
  <c r="J170" i="3" s="1"/>
  <c r="A171" i="3"/>
  <c r="B171" i="3"/>
  <c r="I171" i="3" s="1"/>
  <c r="J171" i="3" s="1"/>
  <c r="A172" i="3"/>
  <c r="B172" i="3"/>
  <c r="I172" i="3" s="1"/>
  <c r="A173" i="3"/>
  <c r="B173" i="3"/>
  <c r="I173" i="3" s="1"/>
  <c r="A174" i="3"/>
  <c r="B174" i="3"/>
  <c r="A175" i="3"/>
  <c r="B175" i="3"/>
  <c r="I175" i="3" s="1"/>
  <c r="J175" i="3" s="1"/>
  <c r="A176" i="3"/>
  <c r="B176" i="3"/>
  <c r="A177" i="3"/>
  <c r="B177" i="3"/>
  <c r="I177" i="3" s="1"/>
  <c r="J177" i="3" s="1"/>
  <c r="A178" i="3"/>
  <c r="B178" i="3"/>
  <c r="I178" i="3" s="1"/>
  <c r="J178" i="3" s="1"/>
  <c r="A179" i="3"/>
  <c r="B179" i="3"/>
  <c r="I179" i="3" s="1"/>
  <c r="J179" i="3" s="1"/>
  <c r="A180" i="3"/>
  <c r="B180" i="3"/>
  <c r="I180" i="3" s="1"/>
  <c r="J180" i="3" s="1"/>
  <c r="A181" i="3"/>
  <c r="B181" i="3"/>
  <c r="I181" i="3" s="1"/>
  <c r="J181" i="3" s="1"/>
  <c r="A182" i="3"/>
  <c r="B182" i="3"/>
  <c r="A183" i="3"/>
  <c r="B183" i="3"/>
  <c r="I183" i="3" s="1"/>
  <c r="J183" i="3" s="1"/>
  <c r="A184" i="3"/>
  <c r="B184" i="3"/>
  <c r="I184" i="3" s="1"/>
  <c r="J184" i="3" s="1"/>
  <c r="A185" i="3"/>
  <c r="B185" i="3"/>
  <c r="I185" i="3" s="1"/>
  <c r="J185" i="3" s="1"/>
  <c r="A186" i="3"/>
  <c r="B186" i="3"/>
  <c r="I186" i="3" s="1"/>
  <c r="J186" i="3" s="1"/>
  <c r="A187" i="3"/>
  <c r="B187" i="3"/>
  <c r="I187" i="3" s="1"/>
  <c r="J187" i="3" s="1"/>
  <c r="A188" i="3"/>
  <c r="B188" i="3"/>
  <c r="I188" i="3" s="1"/>
  <c r="J188" i="3" s="1"/>
  <c r="A189" i="3"/>
  <c r="B189" i="3"/>
  <c r="I189" i="3" s="1"/>
  <c r="J189" i="3" s="1"/>
  <c r="A190" i="3"/>
  <c r="B190" i="3"/>
  <c r="I190" i="3" s="1"/>
  <c r="J190" i="3" s="1"/>
  <c r="A191" i="3"/>
  <c r="B191" i="3"/>
  <c r="I191" i="3" s="1"/>
  <c r="J191" i="3" s="1"/>
  <c r="A192" i="3"/>
  <c r="B192" i="3"/>
  <c r="I192" i="3" s="1"/>
  <c r="J192" i="3" s="1"/>
  <c r="A193" i="3"/>
  <c r="B193" i="3"/>
  <c r="I193" i="3" s="1"/>
  <c r="J193" i="3" s="1"/>
  <c r="A194" i="3"/>
  <c r="B194" i="3"/>
  <c r="I194" i="3" s="1"/>
  <c r="J194" i="3" s="1"/>
  <c r="A195" i="3"/>
  <c r="B195" i="3"/>
  <c r="I195" i="3" s="1"/>
  <c r="J195" i="3" s="1"/>
  <c r="A196" i="3"/>
  <c r="B196" i="3"/>
  <c r="I196" i="3" s="1"/>
  <c r="J196" i="3" s="1"/>
  <c r="A197" i="3"/>
  <c r="B197" i="3"/>
  <c r="I197" i="3" s="1"/>
  <c r="J197" i="3" s="1"/>
  <c r="A198" i="3"/>
  <c r="B198" i="3"/>
  <c r="I198" i="3" s="1"/>
  <c r="J198" i="3" s="1"/>
  <c r="A199" i="3"/>
  <c r="B199" i="3"/>
  <c r="I199" i="3" s="1"/>
  <c r="J199" i="3" s="1"/>
  <c r="A200" i="3"/>
  <c r="B200" i="3"/>
  <c r="I200" i="3" s="1"/>
  <c r="J200" i="3" s="1"/>
  <c r="A201" i="3"/>
  <c r="B201" i="3"/>
  <c r="I201" i="3" s="1"/>
  <c r="J201" i="3" s="1"/>
  <c r="A202" i="3"/>
  <c r="B202" i="3"/>
  <c r="I202" i="3" s="1"/>
  <c r="J202" i="3" s="1"/>
  <c r="A203" i="3"/>
  <c r="B203" i="3"/>
  <c r="I203" i="3" s="1"/>
  <c r="J203" i="3" s="1"/>
  <c r="A204" i="3"/>
  <c r="B204" i="3"/>
  <c r="I204" i="3" s="1"/>
  <c r="J204" i="3" s="1"/>
  <c r="A205" i="3"/>
  <c r="B205" i="3"/>
  <c r="I205" i="3" s="1"/>
  <c r="J205" i="3" s="1"/>
  <c r="A206" i="3"/>
  <c r="B206" i="3"/>
  <c r="I206" i="3" s="1"/>
  <c r="J206" i="3" s="1"/>
  <c r="A207" i="3"/>
  <c r="B207" i="3"/>
  <c r="I207" i="3" s="1"/>
  <c r="J207" i="3" s="1"/>
  <c r="A208" i="3"/>
  <c r="B208" i="3"/>
  <c r="I208" i="3" s="1"/>
  <c r="J208" i="3" s="1"/>
  <c r="A209" i="3"/>
  <c r="B209" i="3"/>
  <c r="I209" i="3" s="1"/>
  <c r="J209" i="3" s="1"/>
  <c r="A210" i="3"/>
  <c r="B210" i="3"/>
  <c r="I210" i="3" s="1"/>
  <c r="J210" i="3" s="1"/>
  <c r="A211" i="3"/>
  <c r="B211" i="3"/>
  <c r="I211" i="3" s="1"/>
  <c r="J211" i="3" s="1"/>
  <c r="A212" i="3"/>
  <c r="B212" i="3"/>
  <c r="A213" i="3"/>
  <c r="B213" i="3"/>
  <c r="I213" i="3" s="1"/>
  <c r="J213" i="3" s="1"/>
  <c r="A214" i="3"/>
  <c r="B214" i="3"/>
  <c r="A215" i="3"/>
  <c r="B215" i="3"/>
  <c r="I215" i="3" s="1"/>
  <c r="J215" i="3" s="1"/>
  <c r="A216" i="3"/>
  <c r="B216" i="3"/>
  <c r="A217" i="3"/>
  <c r="B217" i="3"/>
  <c r="I217" i="3" s="1"/>
  <c r="J217" i="3" s="1"/>
  <c r="A218" i="3"/>
  <c r="B218" i="3"/>
  <c r="A219" i="3"/>
  <c r="B219" i="3"/>
  <c r="I219" i="3" s="1"/>
  <c r="J219" i="3" s="1"/>
  <c r="A220" i="3"/>
  <c r="B220" i="3"/>
  <c r="A221" i="3"/>
  <c r="B221" i="3"/>
  <c r="I221" i="3" s="1"/>
  <c r="J221" i="3" s="1"/>
  <c r="A222" i="3"/>
  <c r="B222" i="3"/>
  <c r="A223" i="3"/>
  <c r="B223" i="3"/>
  <c r="I223" i="3" s="1"/>
  <c r="J223" i="3" s="1"/>
  <c r="A224" i="3"/>
  <c r="B224" i="3"/>
  <c r="A225" i="3"/>
  <c r="B225" i="3"/>
  <c r="I225" i="3" s="1"/>
  <c r="J225" i="3" s="1"/>
  <c r="A226" i="3"/>
  <c r="B226" i="3"/>
  <c r="A227" i="3"/>
  <c r="B227" i="3"/>
  <c r="I227" i="3" s="1"/>
  <c r="J227" i="3" s="1"/>
  <c r="A228" i="3"/>
  <c r="B228" i="3"/>
  <c r="A229" i="3"/>
  <c r="B229" i="3"/>
  <c r="I229" i="3" s="1"/>
  <c r="J229" i="3" s="1"/>
  <c r="A230" i="3"/>
  <c r="B230" i="3"/>
  <c r="A231" i="3"/>
  <c r="B231" i="3"/>
  <c r="I231" i="3" s="1"/>
  <c r="J231" i="3" s="1"/>
  <c r="A232" i="3"/>
  <c r="B232" i="3"/>
  <c r="A233" i="3"/>
  <c r="B233" i="3"/>
  <c r="I233" i="3" s="1"/>
  <c r="J233" i="3" s="1"/>
  <c r="A234" i="3"/>
  <c r="B234" i="3"/>
  <c r="A235" i="3"/>
  <c r="B235" i="3"/>
  <c r="I235" i="3" s="1"/>
  <c r="J235" i="3" s="1"/>
  <c r="A236" i="3"/>
  <c r="B236" i="3"/>
  <c r="A237" i="3"/>
  <c r="B237" i="3"/>
  <c r="I237" i="3" s="1"/>
  <c r="J237" i="3" s="1"/>
  <c r="A238" i="3"/>
  <c r="B238" i="3"/>
  <c r="A239" i="3"/>
  <c r="B239" i="3"/>
  <c r="I239" i="3" s="1"/>
  <c r="J239" i="3" s="1"/>
  <c r="A240" i="3"/>
  <c r="B240" i="3"/>
  <c r="A241" i="3"/>
  <c r="B241" i="3"/>
  <c r="I241" i="3" s="1"/>
  <c r="J241" i="3" s="1"/>
  <c r="A242" i="3"/>
  <c r="B242" i="3"/>
  <c r="A243" i="3"/>
  <c r="B243" i="3"/>
  <c r="I243" i="3" s="1"/>
  <c r="J243" i="3" s="1"/>
  <c r="A244" i="3"/>
  <c r="B244" i="3"/>
  <c r="A245" i="3"/>
  <c r="B245" i="3"/>
  <c r="I245" i="3" s="1"/>
  <c r="J245" i="3" s="1"/>
  <c r="A246" i="3"/>
  <c r="B246" i="3"/>
  <c r="A247" i="3"/>
  <c r="B247" i="3"/>
  <c r="I247" i="3" s="1"/>
  <c r="J247" i="3" s="1"/>
  <c r="A248" i="3"/>
  <c r="B248" i="3"/>
  <c r="A249" i="3"/>
  <c r="B249" i="3"/>
  <c r="I249" i="3" s="1"/>
  <c r="J249" i="3" s="1"/>
  <c r="A250" i="3"/>
  <c r="B250" i="3"/>
  <c r="A251" i="3"/>
  <c r="B251" i="3"/>
  <c r="I251" i="3" s="1"/>
  <c r="J251" i="3" s="1"/>
  <c r="A252" i="3"/>
  <c r="B252" i="3"/>
  <c r="A253" i="3"/>
  <c r="B253" i="3"/>
  <c r="I253" i="3" s="1"/>
  <c r="J253" i="3" s="1"/>
  <c r="A254" i="3"/>
  <c r="B254" i="3"/>
  <c r="A255" i="3"/>
  <c r="B255" i="3"/>
  <c r="I255" i="3" s="1"/>
  <c r="J255" i="3" s="1"/>
  <c r="A256" i="3"/>
  <c r="B256" i="3"/>
  <c r="A257" i="3"/>
  <c r="B257" i="3"/>
  <c r="I257" i="3" s="1"/>
  <c r="J257" i="3" s="1"/>
  <c r="A258" i="3"/>
  <c r="B258" i="3"/>
  <c r="A259" i="3"/>
  <c r="B259" i="3"/>
  <c r="I259" i="3" s="1"/>
  <c r="J259" i="3" s="1"/>
  <c r="A260" i="3"/>
  <c r="B260" i="3"/>
  <c r="A261" i="3"/>
  <c r="B261" i="3"/>
  <c r="A262" i="3"/>
  <c r="B262" i="3"/>
  <c r="I262" i="3" s="1"/>
  <c r="J262" i="3" s="1"/>
  <c r="A263" i="3"/>
  <c r="B263" i="3"/>
  <c r="I263" i="3" s="1"/>
  <c r="J263" i="3" s="1"/>
  <c r="A264" i="3"/>
  <c r="B264" i="3"/>
  <c r="I264" i="3" s="1"/>
  <c r="J264" i="3" s="1"/>
  <c r="A265" i="3"/>
  <c r="B265" i="3"/>
  <c r="A266" i="3"/>
  <c r="B266" i="3"/>
  <c r="A267" i="3"/>
  <c r="B267" i="3"/>
  <c r="I267" i="3" s="1"/>
  <c r="J267" i="3" s="1"/>
  <c r="A268" i="3"/>
  <c r="B268" i="3"/>
  <c r="I268" i="3" s="1"/>
  <c r="J268" i="3" s="1"/>
  <c r="A269" i="3"/>
  <c r="B269" i="3"/>
  <c r="I269" i="3" s="1"/>
  <c r="J269" i="3" s="1"/>
  <c r="A270" i="3"/>
  <c r="B270" i="3"/>
  <c r="I270" i="3" s="1"/>
  <c r="J270" i="3" s="1"/>
  <c r="A271" i="3"/>
  <c r="B271" i="3"/>
  <c r="I271" i="3" s="1"/>
  <c r="J271" i="3" s="1"/>
  <c r="A272" i="3"/>
  <c r="B272" i="3"/>
  <c r="I272" i="3" s="1"/>
  <c r="J272" i="3" s="1"/>
  <c r="A273" i="3"/>
  <c r="B273" i="3"/>
  <c r="I273" i="3" s="1"/>
  <c r="J273" i="3" s="1"/>
  <c r="A274" i="3"/>
  <c r="B274" i="3"/>
  <c r="I274" i="3" s="1"/>
  <c r="J274" i="3" s="1"/>
  <c r="A275" i="3"/>
  <c r="B275" i="3"/>
  <c r="A276" i="3"/>
  <c r="B276" i="3"/>
  <c r="I276" i="3" s="1"/>
  <c r="J276" i="3" s="1"/>
  <c r="A277" i="3"/>
  <c r="B277" i="3"/>
  <c r="A278" i="3"/>
  <c r="B278" i="3"/>
  <c r="I278" i="3" s="1"/>
  <c r="J278" i="3" s="1"/>
  <c r="A279" i="3"/>
  <c r="B279" i="3"/>
  <c r="A280" i="3"/>
  <c r="B280" i="3"/>
  <c r="I280" i="3" s="1"/>
  <c r="J280" i="3" s="1"/>
  <c r="A281" i="3"/>
  <c r="B281" i="3"/>
  <c r="A282" i="3"/>
  <c r="B282" i="3"/>
  <c r="I282" i="3" s="1"/>
  <c r="J282" i="3" s="1"/>
  <c r="A283" i="3"/>
  <c r="B283" i="3"/>
  <c r="A284" i="3"/>
  <c r="B284" i="3"/>
  <c r="I284" i="3" s="1"/>
  <c r="J284" i="3" s="1"/>
  <c r="A285" i="3"/>
  <c r="B285" i="3"/>
  <c r="A286" i="3"/>
  <c r="B286" i="3"/>
  <c r="I286" i="3" s="1"/>
  <c r="J286" i="3" s="1"/>
  <c r="A287" i="3"/>
  <c r="B287" i="3"/>
  <c r="A288" i="3"/>
  <c r="B288" i="3"/>
  <c r="I288" i="3" s="1"/>
  <c r="J288" i="3" s="1"/>
  <c r="A289" i="3"/>
  <c r="B289" i="3"/>
  <c r="I289" i="3" s="1"/>
  <c r="J289" i="3" s="1"/>
  <c r="A290" i="3"/>
  <c r="B290" i="3"/>
  <c r="I290" i="3" s="1"/>
  <c r="J290" i="3" s="1"/>
  <c r="A291" i="3"/>
  <c r="B291" i="3"/>
  <c r="A292" i="3"/>
  <c r="B292" i="3"/>
  <c r="I292" i="3" s="1"/>
  <c r="J292" i="3" s="1"/>
  <c r="A293" i="3"/>
  <c r="B293" i="3"/>
  <c r="A294" i="3"/>
  <c r="B294" i="3"/>
  <c r="I294" i="3" s="1"/>
  <c r="J294" i="3" s="1"/>
  <c r="A295" i="3"/>
  <c r="B295" i="3"/>
  <c r="A296" i="3"/>
  <c r="B296" i="3"/>
  <c r="I296" i="3" s="1"/>
  <c r="J296" i="3" s="1"/>
  <c r="A297" i="3"/>
  <c r="B297" i="3"/>
  <c r="I297" i="3" s="1"/>
  <c r="J297" i="3" s="1"/>
  <c r="A298" i="3"/>
  <c r="B298" i="3"/>
  <c r="I298" i="3" s="1"/>
  <c r="J298" i="3" s="1"/>
  <c r="A299" i="3"/>
  <c r="B299" i="3"/>
  <c r="A300" i="3"/>
  <c r="B300" i="3"/>
  <c r="I300" i="3" s="1"/>
  <c r="J300" i="3" s="1"/>
  <c r="A301" i="3"/>
  <c r="B301" i="3"/>
  <c r="I301" i="3" s="1"/>
  <c r="J301" i="3" s="1"/>
  <c r="A302" i="3"/>
  <c r="B302" i="3"/>
  <c r="I302" i="3" s="1"/>
  <c r="J302" i="3" s="1"/>
  <c r="A303" i="3"/>
  <c r="B303" i="3"/>
  <c r="A304" i="3"/>
  <c r="B304" i="3"/>
  <c r="I304" i="3" s="1"/>
  <c r="J304" i="3" s="1"/>
  <c r="A305" i="3"/>
  <c r="B305" i="3"/>
  <c r="I305" i="3" s="1"/>
  <c r="J305" i="3" s="1"/>
  <c r="A306" i="3"/>
  <c r="B306" i="3"/>
  <c r="I306" i="3" s="1"/>
  <c r="J306" i="3" s="1"/>
  <c r="A307" i="3"/>
  <c r="B307" i="3"/>
  <c r="A308" i="3"/>
  <c r="B308" i="3"/>
  <c r="I308" i="3" s="1"/>
  <c r="J308" i="3" s="1"/>
  <c r="A309" i="3"/>
  <c r="B309" i="3"/>
  <c r="A310" i="3"/>
  <c r="B310" i="3"/>
  <c r="I310" i="3" s="1"/>
  <c r="J310" i="3" s="1"/>
  <c r="A311" i="3"/>
  <c r="B311" i="3"/>
  <c r="A312" i="3"/>
  <c r="B312" i="3"/>
  <c r="I312" i="3" s="1"/>
  <c r="J312" i="3" s="1"/>
  <c r="A313" i="3"/>
  <c r="B313" i="3"/>
  <c r="A314" i="3"/>
  <c r="B314" i="3"/>
  <c r="A315" i="3"/>
  <c r="B315" i="3"/>
  <c r="A316" i="3"/>
  <c r="B316" i="3"/>
  <c r="I316" i="3" s="1"/>
  <c r="J316" i="3" s="1"/>
  <c r="A317" i="3"/>
  <c r="B317" i="3"/>
  <c r="I317" i="3" s="1"/>
  <c r="J317" i="3" s="1"/>
  <c r="A318" i="3"/>
  <c r="B318" i="3"/>
  <c r="I318" i="3" s="1"/>
  <c r="J318" i="3" s="1"/>
  <c r="A319" i="3"/>
  <c r="B319" i="3"/>
  <c r="A320" i="3"/>
  <c r="B320" i="3"/>
  <c r="I320" i="3" s="1"/>
  <c r="J320" i="3" s="1"/>
  <c r="A321" i="3"/>
  <c r="B321" i="3"/>
  <c r="A322" i="3"/>
  <c r="B322" i="3"/>
  <c r="A323" i="3"/>
  <c r="B323" i="3"/>
  <c r="A324" i="3"/>
  <c r="B324" i="3"/>
  <c r="I324" i="3" s="1"/>
  <c r="J324" i="3" s="1"/>
  <c r="A325" i="3"/>
  <c r="B325" i="3"/>
  <c r="I325" i="3" s="1"/>
  <c r="J325" i="3" s="1"/>
  <c r="A326" i="3"/>
  <c r="B326" i="3"/>
  <c r="I326" i="3" s="1"/>
  <c r="J326" i="3" s="1"/>
  <c r="A327" i="3"/>
  <c r="B327" i="3"/>
  <c r="A328" i="3"/>
  <c r="B328" i="3"/>
  <c r="I328" i="3" s="1"/>
  <c r="J328" i="3" s="1"/>
  <c r="A329" i="3"/>
  <c r="B329" i="3"/>
  <c r="A330" i="3"/>
  <c r="B330" i="3"/>
  <c r="I330" i="3" s="1"/>
  <c r="J330" i="3" s="1"/>
  <c r="A331" i="3"/>
  <c r="B331" i="3"/>
  <c r="A332" i="3"/>
  <c r="B332" i="3"/>
  <c r="I332" i="3" s="1"/>
  <c r="J332" i="3" s="1"/>
  <c r="A333" i="3"/>
  <c r="B333" i="3"/>
  <c r="I333" i="3" s="1"/>
  <c r="J333" i="3" s="1"/>
  <c r="A334" i="3"/>
  <c r="B334" i="3"/>
  <c r="I334" i="3" s="1"/>
  <c r="J334" i="3" s="1"/>
  <c r="A335" i="3"/>
  <c r="A335" i="2" s="1"/>
  <c r="B335" i="3"/>
  <c r="A336" i="3"/>
  <c r="A336" i="2" s="1"/>
  <c r="B336" i="3"/>
  <c r="I336" i="3" s="1"/>
  <c r="J336" i="3" s="1"/>
  <c r="A337" i="3"/>
  <c r="A337" i="2" s="1"/>
  <c r="B337" i="3"/>
  <c r="I337" i="3" s="1"/>
  <c r="J337" i="3" s="1"/>
  <c r="A338" i="3"/>
  <c r="A338" i="2" s="1"/>
  <c r="B338" i="3"/>
  <c r="A339" i="3"/>
  <c r="A339" i="2" s="1"/>
  <c r="B339" i="3"/>
  <c r="A340" i="3"/>
  <c r="A340" i="2" s="1"/>
  <c r="B340" i="3"/>
  <c r="I340" i="3" s="1"/>
  <c r="J340" i="3" s="1"/>
  <c r="A341" i="3"/>
  <c r="A341" i="2" s="1"/>
  <c r="B341" i="3"/>
  <c r="A342" i="3"/>
  <c r="A342" i="2" s="1"/>
  <c r="B342" i="3"/>
  <c r="A343" i="3"/>
  <c r="A343" i="2" s="1"/>
  <c r="B343" i="3"/>
  <c r="A344" i="3"/>
  <c r="A344" i="2" s="1"/>
  <c r="B344" i="3"/>
  <c r="I344" i="3" s="1"/>
  <c r="J344" i="3" s="1"/>
  <c r="A345" i="3"/>
  <c r="A345" i="2" s="1"/>
  <c r="B345" i="3"/>
  <c r="A346" i="3"/>
  <c r="A346" i="2" s="1"/>
  <c r="B346" i="3"/>
  <c r="I346" i="3" s="1"/>
  <c r="J346" i="3" s="1"/>
  <c r="A347" i="3"/>
  <c r="A347" i="2" s="1"/>
  <c r="B347" i="3"/>
  <c r="A348" i="3"/>
  <c r="A348" i="2" s="1"/>
  <c r="B348" i="3"/>
  <c r="I348" i="3" s="1"/>
  <c r="J348" i="3" s="1"/>
  <c r="A349" i="3"/>
  <c r="A349" i="2" s="1"/>
  <c r="B349" i="3"/>
  <c r="I349" i="3" s="1"/>
  <c r="J349" i="3" s="1"/>
  <c r="A350" i="3"/>
  <c r="A350" i="2" s="1"/>
  <c r="B350" i="3"/>
  <c r="I350" i="3" s="1"/>
  <c r="J350" i="3" s="1"/>
  <c r="A351" i="3"/>
  <c r="B351" i="3"/>
  <c r="C351" i="3"/>
  <c r="E351" i="3" s="1"/>
  <c r="F351" i="3" s="1"/>
  <c r="A352" i="3"/>
  <c r="B352" i="3"/>
  <c r="I352" i="3" s="1"/>
  <c r="J352" i="3" s="1"/>
  <c r="A353" i="3"/>
  <c r="B353" i="3"/>
  <c r="I353" i="3" s="1"/>
  <c r="J353" i="3"/>
  <c r="K353" i="3"/>
  <c r="L353" i="3" s="1"/>
  <c r="A354" i="3"/>
  <c r="B354" i="3"/>
  <c r="A355" i="3"/>
  <c r="B355" i="3"/>
  <c r="C355" i="3"/>
  <c r="E355" i="3" s="1"/>
  <c r="F355" i="3" s="1"/>
  <c r="A356" i="3"/>
  <c r="B356" i="3"/>
  <c r="I356" i="3" s="1"/>
  <c r="J356" i="3" s="1"/>
  <c r="A357" i="3"/>
  <c r="B357" i="3"/>
  <c r="I357" i="3" s="1"/>
  <c r="J357" i="3"/>
  <c r="K357" i="3"/>
  <c r="L357" i="3" s="1"/>
  <c r="A358" i="3"/>
  <c r="B358" i="3"/>
  <c r="I358" i="3" s="1"/>
  <c r="J358" i="3" s="1"/>
  <c r="A359" i="3"/>
  <c r="B359" i="3"/>
  <c r="C359" i="3"/>
  <c r="E359" i="3" s="1"/>
  <c r="F359" i="3" s="1"/>
  <c r="A360" i="3"/>
  <c r="B360" i="3"/>
  <c r="I360" i="3" s="1"/>
  <c r="J360" i="3" s="1"/>
  <c r="A361" i="3"/>
  <c r="B361" i="3"/>
  <c r="I361" i="3" s="1"/>
  <c r="J361" i="3"/>
  <c r="A362" i="3"/>
  <c r="B362" i="3"/>
  <c r="I362" i="3" s="1"/>
  <c r="J362" i="3" s="1"/>
  <c r="A363" i="3"/>
  <c r="B363" i="3"/>
  <c r="A364" i="3"/>
  <c r="B364" i="3"/>
  <c r="I364" i="3"/>
  <c r="J364" i="3" s="1"/>
  <c r="A365" i="3"/>
  <c r="B365" i="3"/>
  <c r="C365" i="3"/>
  <c r="E365" i="3" s="1"/>
  <c r="D365" i="3"/>
  <c r="F365" i="3"/>
  <c r="A366" i="3"/>
  <c r="B366" i="3"/>
  <c r="I366" i="3"/>
  <c r="J366" i="3" s="1"/>
  <c r="A367" i="3"/>
  <c r="B367" i="3"/>
  <c r="A368" i="3"/>
  <c r="B368" i="3"/>
  <c r="I368" i="3" s="1"/>
  <c r="J368" i="3" s="1"/>
  <c r="A369" i="3"/>
  <c r="B369" i="3"/>
  <c r="C369" i="3"/>
  <c r="E369" i="3" s="1"/>
  <c r="F369" i="3" s="1"/>
  <c r="D369" i="3"/>
  <c r="A370" i="3"/>
  <c r="B370" i="3"/>
  <c r="A371" i="3"/>
  <c r="B371" i="3"/>
  <c r="A372" i="3"/>
  <c r="B372" i="3"/>
  <c r="I372" i="3"/>
  <c r="J372" i="3" s="1"/>
  <c r="A373" i="3"/>
  <c r="B373" i="3"/>
  <c r="I373" i="3" s="1"/>
  <c r="J373" i="3" s="1"/>
  <c r="K373" i="3"/>
  <c r="L373" i="3" s="1"/>
  <c r="A374" i="3"/>
  <c r="B374" i="3"/>
  <c r="A375" i="3"/>
  <c r="B375" i="3"/>
  <c r="A376" i="3"/>
  <c r="B376" i="3"/>
  <c r="I376" i="3" s="1"/>
  <c r="J376" i="3" s="1"/>
  <c r="A377" i="3"/>
  <c r="B377" i="3"/>
  <c r="I377" i="3" s="1"/>
  <c r="C377" i="3"/>
  <c r="E377" i="3" s="1"/>
  <c r="F377" i="3" s="1"/>
  <c r="J377" i="3"/>
  <c r="K377" i="3"/>
  <c r="L377" i="3" s="1"/>
  <c r="A378" i="3"/>
  <c r="B378" i="3"/>
  <c r="I378" i="3" s="1"/>
  <c r="J378" i="3" s="1"/>
  <c r="A379" i="3"/>
  <c r="B379" i="3"/>
  <c r="A380" i="3"/>
  <c r="B380" i="3"/>
  <c r="I380" i="3"/>
  <c r="J380" i="3" s="1"/>
  <c r="A381" i="3"/>
  <c r="B381" i="3"/>
  <c r="I381" i="3" s="1"/>
  <c r="C381" i="3"/>
  <c r="J381" i="3"/>
  <c r="K381" i="3"/>
  <c r="L381" i="3" s="1"/>
  <c r="A382" i="3"/>
  <c r="B382" i="3"/>
  <c r="I382" i="3"/>
  <c r="J382" i="3" s="1"/>
  <c r="A383" i="3"/>
  <c r="B383" i="3"/>
  <c r="A384" i="3"/>
  <c r="B384" i="3"/>
  <c r="I384" i="3" s="1"/>
  <c r="J384" i="3" s="1"/>
  <c r="A385" i="3"/>
  <c r="B385" i="3"/>
  <c r="I385" i="3" s="1"/>
  <c r="J385" i="3"/>
  <c r="K385" i="3"/>
  <c r="L385" i="3" s="1"/>
  <c r="A386" i="3"/>
  <c r="B386" i="3"/>
  <c r="A387" i="3"/>
  <c r="B387" i="3"/>
  <c r="A388" i="3"/>
  <c r="B388" i="3"/>
  <c r="I388" i="3"/>
  <c r="J388" i="3" s="1"/>
  <c r="A389" i="3"/>
  <c r="B389" i="3"/>
  <c r="I389" i="3" s="1"/>
  <c r="J389" i="3" s="1"/>
  <c r="C389" i="3"/>
  <c r="E389" i="3" s="1"/>
  <c r="F389" i="3" s="1"/>
  <c r="D389" i="3"/>
  <c r="K389" i="3"/>
  <c r="L389" i="3" s="1"/>
  <c r="A390" i="3"/>
  <c r="B390" i="3"/>
  <c r="I390" i="3" s="1"/>
  <c r="J390" i="3" s="1"/>
  <c r="A391" i="3"/>
  <c r="B391" i="3"/>
  <c r="A392" i="3"/>
  <c r="B392" i="3"/>
  <c r="I392" i="3" s="1"/>
  <c r="J392" i="3" s="1"/>
  <c r="A393" i="3"/>
  <c r="B393" i="3"/>
  <c r="A394" i="3"/>
  <c r="B394" i="3"/>
  <c r="I394" i="3"/>
  <c r="J394" i="3" s="1"/>
  <c r="A395" i="3"/>
  <c r="B395" i="3"/>
  <c r="A396" i="3"/>
  <c r="B396" i="3"/>
  <c r="I396" i="3"/>
  <c r="J396" i="3" s="1"/>
  <c r="A397" i="3"/>
  <c r="B397" i="3"/>
  <c r="C397" i="3"/>
  <c r="A398" i="3"/>
  <c r="B398" i="3"/>
  <c r="I398" i="3"/>
  <c r="J398" i="3" s="1"/>
  <c r="A399" i="3"/>
  <c r="B399" i="3"/>
  <c r="C399" i="3"/>
  <c r="E399" i="3" s="1"/>
  <c r="F399" i="3" s="1"/>
  <c r="A400" i="3"/>
  <c r="B400" i="3"/>
  <c r="I400" i="3" s="1"/>
  <c r="J400" i="3" s="1"/>
  <c r="A401" i="3"/>
  <c r="B401" i="3"/>
  <c r="A402" i="3"/>
  <c r="B402" i="3"/>
  <c r="A403" i="3"/>
  <c r="B403" i="3"/>
  <c r="C403" i="3"/>
  <c r="E403" i="3" s="1"/>
  <c r="F403" i="3" s="1"/>
  <c r="A404" i="3"/>
  <c r="B404" i="3"/>
  <c r="I404" i="3"/>
  <c r="J404" i="3" s="1"/>
  <c r="A405" i="3"/>
  <c r="B405" i="3"/>
  <c r="C405" i="3"/>
  <c r="A406" i="3"/>
  <c r="B406" i="3"/>
  <c r="A407" i="3"/>
  <c r="B407" i="3"/>
  <c r="A408" i="3"/>
  <c r="B408" i="3"/>
  <c r="I408" i="3" s="1"/>
  <c r="J408" i="3" s="1"/>
  <c r="A409" i="3"/>
  <c r="B409" i="3"/>
  <c r="I409" i="3" s="1"/>
  <c r="J409" i="3"/>
  <c r="K409" i="3"/>
  <c r="L409" i="3" s="1"/>
  <c r="A410" i="3"/>
  <c r="B410" i="3"/>
  <c r="A411" i="3"/>
  <c r="B411" i="3"/>
  <c r="A412" i="3"/>
  <c r="B412" i="3"/>
  <c r="I412" i="3" s="1"/>
  <c r="J412" i="3" s="1"/>
  <c r="A413" i="3"/>
  <c r="B413" i="3"/>
  <c r="I413" i="3" s="1"/>
  <c r="J413" i="3" s="1"/>
  <c r="C413" i="3"/>
  <c r="E413" i="3" s="1"/>
  <c r="F413" i="3" s="1"/>
  <c r="D413" i="3"/>
  <c r="K413" i="3"/>
  <c r="L413" i="3" s="1"/>
  <c r="A414" i="3"/>
  <c r="B414" i="3"/>
  <c r="A415" i="3"/>
  <c r="B415" i="3"/>
  <c r="A416" i="3"/>
  <c r="B416" i="3"/>
  <c r="I416" i="3"/>
  <c r="J416" i="3"/>
  <c r="A417" i="3"/>
  <c r="B417" i="3"/>
  <c r="C417" i="3"/>
  <c r="A418" i="3"/>
  <c r="B418" i="3"/>
  <c r="A419" i="3"/>
  <c r="B419" i="3"/>
  <c r="A420" i="3"/>
  <c r="B420" i="3"/>
  <c r="I420" i="3" s="1"/>
  <c r="J420" i="3" s="1"/>
  <c r="A421" i="3"/>
  <c r="B421" i="3"/>
  <c r="I421" i="3" s="1"/>
  <c r="J421" i="3"/>
  <c r="K421" i="3"/>
  <c r="L421" i="3" s="1"/>
  <c r="A422" i="3"/>
  <c r="B422" i="3"/>
  <c r="A423" i="3"/>
  <c r="B423" i="3"/>
  <c r="C423" i="3"/>
  <c r="A424" i="3"/>
  <c r="B424" i="3"/>
  <c r="I424" i="3" s="1"/>
  <c r="J424" i="3" s="1"/>
  <c r="A425" i="3"/>
  <c r="B425" i="3"/>
  <c r="I425" i="3" s="1"/>
  <c r="C425" i="3"/>
  <c r="J425" i="3"/>
  <c r="K425" i="3"/>
  <c r="L425" i="3" s="1"/>
  <c r="A426" i="3"/>
  <c r="B426" i="3"/>
  <c r="A427" i="3"/>
  <c r="B427" i="3"/>
  <c r="A428" i="3"/>
  <c r="B428" i="3"/>
  <c r="I428" i="3" s="1"/>
  <c r="J428" i="3"/>
  <c r="A429" i="3"/>
  <c r="B429" i="3"/>
  <c r="I429" i="3" s="1"/>
  <c r="C429" i="3"/>
  <c r="J429" i="3"/>
  <c r="A430" i="3"/>
  <c r="B430" i="3"/>
  <c r="A431" i="3"/>
  <c r="B431" i="3"/>
  <c r="C431" i="3"/>
  <c r="A432" i="3"/>
  <c r="B432" i="3"/>
  <c r="I432" i="3"/>
  <c r="J432" i="3" s="1"/>
  <c r="A433" i="3"/>
  <c r="B433" i="3"/>
  <c r="I433" i="3" s="1"/>
  <c r="J433" i="3"/>
  <c r="K433" i="3"/>
  <c r="L433" i="3" s="1"/>
  <c r="A434" i="3"/>
  <c r="B434" i="3"/>
  <c r="A435" i="3"/>
  <c r="B435" i="3"/>
  <c r="A436" i="3"/>
  <c r="B436" i="3"/>
  <c r="I436" i="3"/>
  <c r="J436" i="3"/>
  <c r="A437" i="3"/>
  <c r="B437" i="3"/>
  <c r="I437" i="3" s="1"/>
  <c r="J437" i="3"/>
  <c r="K437" i="3"/>
  <c r="L437" i="3" s="1"/>
  <c r="A438" i="3"/>
  <c r="B438" i="3"/>
  <c r="A439" i="3"/>
  <c r="B439" i="3"/>
  <c r="C439" i="3"/>
  <c r="A440" i="3"/>
  <c r="B440" i="3"/>
  <c r="I440" i="3"/>
  <c r="J440" i="3" s="1"/>
  <c r="A441" i="3"/>
  <c r="B441" i="3"/>
  <c r="I441" i="3" s="1"/>
  <c r="C441" i="3"/>
  <c r="J441" i="3"/>
  <c r="K441" i="3"/>
  <c r="L441" i="3" s="1"/>
  <c r="A442" i="3"/>
  <c r="B442" i="3"/>
  <c r="A443" i="3"/>
  <c r="B443" i="3"/>
  <c r="C443" i="3"/>
  <c r="A444" i="3"/>
  <c r="B444" i="3"/>
  <c r="I444" i="3" s="1"/>
  <c r="J444" i="3" s="1"/>
  <c r="A445" i="3"/>
  <c r="B445" i="3"/>
  <c r="I445" i="3" s="1"/>
  <c r="J445" i="3" s="1"/>
  <c r="C445" i="3"/>
  <c r="E445" i="3" s="1"/>
  <c r="D445" i="3"/>
  <c r="F445" i="3"/>
  <c r="K445" i="3"/>
  <c r="L445" i="3" s="1"/>
  <c r="A446" i="3"/>
  <c r="B446" i="3"/>
  <c r="A447" i="3"/>
  <c r="B447" i="3"/>
  <c r="C447" i="3"/>
  <c r="A448" i="3"/>
  <c r="B448" i="3"/>
  <c r="I448" i="3" s="1"/>
  <c r="J448" i="3" s="1"/>
  <c r="A449" i="3"/>
  <c r="B449" i="3"/>
  <c r="I449" i="3" s="1"/>
  <c r="J449" i="3" s="1"/>
  <c r="C449" i="3"/>
  <c r="E449" i="3" s="1"/>
  <c r="D449" i="3"/>
  <c r="H449" i="3" s="1"/>
  <c r="F449" i="3"/>
  <c r="K449" i="3"/>
  <c r="L449" i="3" s="1"/>
  <c r="A450" i="3"/>
  <c r="B450" i="3"/>
  <c r="A451" i="3"/>
  <c r="B451" i="3"/>
  <c r="C451" i="3"/>
  <c r="A452" i="3"/>
  <c r="B452" i="3"/>
  <c r="I452" i="3"/>
  <c r="J452" i="3"/>
  <c r="A453" i="3"/>
  <c r="B453" i="3"/>
  <c r="C453" i="3"/>
  <c r="A454" i="3"/>
  <c r="B454" i="3"/>
  <c r="A455" i="3"/>
  <c r="B455" i="3"/>
  <c r="A456" i="3"/>
  <c r="B456" i="3"/>
  <c r="I456" i="3" s="1"/>
  <c r="J456" i="3" s="1"/>
  <c r="A457" i="3"/>
  <c r="B457" i="3"/>
  <c r="I457" i="3" s="1"/>
  <c r="J457" i="3"/>
  <c r="K457" i="3"/>
  <c r="L457" i="3" s="1"/>
  <c r="A458" i="3"/>
  <c r="B458" i="3"/>
  <c r="A459" i="3"/>
  <c r="B459" i="3"/>
  <c r="A460" i="3"/>
  <c r="B460" i="3"/>
  <c r="I460" i="3" s="1"/>
  <c r="J460" i="3"/>
  <c r="A461" i="3"/>
  <c r="B461" i="3"/>
  <c r="C461" i="3"/>
  <c r="A462" i="3"/>
  <c r="B462" i="3"/>
  <c r="A463" i="3"/>
  <c r="B463" i="3"/>
  <c r="C463" i="3"/>
  <c r="A464" i="3"/>
  <c r="B464" i="3"/>
  <c r="I464" i="3" s="1"/>
  <c r="J464" i="3"/>
  <c r="A465" i="3"/>
  <c r="B465" i="3"/>
  <c r="C465" i="3"/>
  <c r="E465" i="3" s="1"/>
  <c r="F465" i="3" s="1"/>
  <c r="D465" i="3"/>
  <c r="H465" i="3" s="1"/>
  <c r="A466" i="3"/>
  <c r="B466" i="3"/>
  <c r="A467" i="3"/>
  <c r="B467" i="3"/>
  <c r="A468" i="3"/>
  <c r="B468" i="3"/>
  <c r="I468" i="3"/>
  <c r="J468" i="3" s="1"/>
  <c r="A469" i="3"/>
  <c r="B469" i="3"/>
  <c r="A470" i="3"/>
  <c r="B470" i="3"/>
  <c r="A471" i="3"/>
  <c r="B471" i="3"/>
  <c r="C471" i="3"/>
  <c r="A472" i="3"/>
  <c r="B472" i="3"/>
  <c r="I472" i="3"/>
  <c r="J472" i="3" s="1"/>
  <c r="A473" i="3"/>
  <c r="B473" i="3"/>
  <c r="C473" i="3"/>
  <c r="A474" i="3"/>
  <c r="B474" i="3"/>
  <c r="A475" i="3"/>
  <c r="B475" i="3"/>
  <c r="A476" i="3"/>
  <c r="B476" i="3"/>
  <c r="I476" i="3"/>
  <c r="J476" i="3" s="1"/>
  <c r="A477" i="3"/>
  <c r="B477" i="3"/>
  <c r="I477" i="3"/>
  <c r="J477" i="3" s="1"/>
  <c r="A478" i="3"/>
  <c r="B478" i="3"/>
  <c r="I478" i="3" s="1"/>
  <c r="C478" i="3"/>
  <c r="J478" i="3"/>
  <c r="K478" i="3"/>
  <c r="L478" i="3" s="1"/>
  <c r="A479" i="3"/>
  <c r="B479" i="3"/>
  <c r="I479" i="3" s="1"/>
  <c r="J479" i="3" s="1"/>
  <c r="A480" i="3"/>
  <c r="B480" i="3"/>
  <c r="C480" i="3"/>
  <c r="A481" i="3"/>
  <c r="B481" i="3"/>
  <c r="I481" i="3" s="1"/>
  <c r="J481" i="3" s="1"/>
  <c r="A482" i="3"/>
  <c r="B482" i="3"/>
  <c r="I482" i="3" s="1"/>
  <c r="J482" i="3" s="1"/>
  <c r="C482" i="3"/>
  <c r="K482" i="3"/>
  <c r="L482" i="3" s="1"/>
  <c r="A483" i="3"/>
  <c r="B483" i="3"/>
  <c r="I483" i="3" s="1"/>
  <c r="J483" i="3" s="1"/>
  <c r="A484" i="3"/>
  <c r="B484" i="3"/>
  <c r="I484" i="3" s="1"/>
  <c r="J484" i="3"/>
  <c r="K484" i="3"/>
  <c r="L484" i="3" s="1"/>
  <c r="A485" i="3"/>
  <c r="B485" i="3"/>
  <c r="I485" i="3" s="1"/>
  <c r="J485" i="3" s="1"/>
  <c r="A486" i="3"/>
  <c r="B486" i="3"/>
  <c r="I486" i="3" s="1"/>
  <c r="C486" i="3"/>
  <c r="J486" i="3"/>
  <c r="K486" i="3"/>
  <c r="L486" i="3" s="1"/>
  <c r="A487" i="3"/>
  <c r="B487" i="3"/>
  <c r="I487" i="3" s="1"/>
  <c r="J487" i="3" s="1"/>
  <c r="A488" i="3"/>
  <c r="B488" i="3"/>
  <c r="I488" i="3" s="1"/>
  <c r="J488" i="3" s="1"/>
  <c r="C488" i="3"/>
  <c r="K488" i="3"/>
  <c r="L488" i="3" s="1"/>
  <c r="A489" i="3"/>
  <c r="B489" i="3"/>
  <c r="I489" i="3" s="1"/>
  <c r="J489" i="3" s="1"/>
  <c r="A490" i="3"/>
  <c r="B490" i="3"/>
  <c r="A491" i="3"/>
  <c r="B491" i="3"/>
  <c r="I491" i="3"/>
  <c r="J491" i="3" s="1"/>
  <c r="A492" i="3"/>
  <c r="B492" i="3"/>
  <c r="A493" i="3"/>
  <c r="B493" i="3"/>
  <c r="I493" i="3"/>
  <c r="J493" i="3" s="1"/>
  <c r="A494" i="3"/>
  <c r="B494" i="3"/>
  <c r="A495" i="3"/>
  <c r="B495" i="3"/>
  <c r="I495" i="3"/>
  <c r="J495" i="3" s="1"/>
  <c r="A496" i="3"/>
  <c r="B496" i="3"/>
  <c r="C496" i="3"/>
  <c r="A497" i="3"/>
  <c r="B497" i="3"/>
  <c r="I497" i="3"/>
  <c r="J497" i="3" s="1"/>
  <c r="A498" i="3"/>
  <c r="B498" i="3"/>
  <c r="I498" i="3" s="1"/>
  <c r="J498" i="3" s="1"/>
  <c r="A499" i="3"/>
  <c r="B499" i="3"/>
  <c r="I499" i="3"/>
  <c r="J499" i="3" s="1"/>
  <c r="A500" i="3"/>
  <c r="B500" i="3"/>
  <c r="I500" i="3" s="1"/>
  <c r="J500" i="3"/>
  <c r="A501" i="3"/>
  <c r="B501" i="3"/>
  <c r="I501" i="3"/>
  <c r="J501" i="3" s="1"/>
  <c r="A502" i="3"/>
  <c r="B502" i="3"/>
  <c r="I502" i="3" s="1"/>
  <c r="C502" i="3"/>
  <c r="J502" i="3"/>
  <c r="K502" i="3"/>
  <c r="L502" i="3" s="1"/>
  <c r="A503" i="3"/>
  <c r="B503" i="3"/>
  <c r="I503" i="3" s="1"/>
  <c r="J503" i="3" s="1"/>
  <c r="A504" i="3"/>
  <c r="B504" i="3"/>
  <c r="C504" i="3"/>
  <c r="A505" i="3"/>
  <c r="B505" i="3"/>
  <c r="I505" i="3" s="1"/>
  <c r="J505" i="3" s="1"/>
  <c r="A506" i="3"/>
  <c r="B506" i="3"/>
  <c r="A507" i="3"/>
  <c r="B507" i="3"/>
  <c r="I507" i="3"/>
  <c r="J507" i="3" s="1"/>
  <c r="A508" i="3"/>
  <c r="B508" i="3"/>
  <c r="C508" i="3"/>
  <c r="A509" i="3"/>
  <c r="B509" i="3"/>
  <c r="I509" i="3" s="1"/>
  <c r="J509" i="3" s="1"/>
  <c r="A510" i="3"/>
  <c r="B510" i="3"/>
  <c r="I510" i="3" s="1"/>
  <c r="J510" i="3" s="1"/>
  <c r="K510" i="3"/>
  <c r="L510" i="3" s="1"/>
  <c r="A511" i="3"/>
  <c r="B511" i="3"/>
  <c r="I511" i="3"/>
  <c r="J511" i="3" s="1"/>
  <c r="A512" i="3"/>
  <c r="B512" i="3"/>
  <c r="I512" i="3" s="1"/>
  <c r="J512" i="3"/>
  <c r="K512" i="3"/>
  <c r="L512" i="3" s="1"/>
  <c r="A513" i="3"/>
  <c r="B513" i="3"/>
  <c r="I513" i="3"/>
  <c r="J513" i="3" s="1"/>
  <c r="A514" i="3"/>
  <c r="B514" i="3"/>
  <c r="I514" i="3" s="1"/>
  <c r="C514" i="3"/>
  <c r="J514" i="3"/>
  <c r="K514" i="3"/>
  <c r="L514" i="3" s="1"/>
  <c r="A515" i="3"/>
  <c r="B515" i="3"/>
  <c r="I515" i="3" s="1"/>
  <c r="J515" i="3" s="1"/>
  <c r="A516" i="3"/>
  <c r="B516" i="3"/>
  <c r="I516" i="3" s="1"/>
  <c r="C516" i="3"/>
  <c r="J516" i="3"/>
  <c r="K516" i="3"/>
  <c r="L516" i="3" s="1"/>
  <c r="A517" i="3"/>
  <c r="B517" i="3"/>
  <c r="I517" i="3" s="1"/>
  <c r="J517" i="3" s="1"/>
  <c r="A518" i="3"/>
  <c r="B518" i="3"/>
  <c r="I518" i="3" s="1"/>
  <c r="J518" i="3"/>
  <c r="K518" i="3"/>
  <c r="L518" i="3" s="1"/>
  <c r="A519" i="3"/>
  <c r="B519" i="3"/>
  <c r="I519" i="3"/>
  <c r="J519" i="3" s="1"/>
  <c r="A520" i="3"/>
  <c r="B520" i="3"/>
  <c r="I520" i="3" s="1"/>
  <c r="J520" i="3"/>
  <c r="K520" i="3"/>
  <c r="L520" i="3" s="1"/>
  <c r="A521" i="3"/>
  <c r="B521" i="3"/>
  <c r="I521" i="3"/>
  <c r="J521" i="3" s="1"/>
  <c r="A522" i="3"/>
  <c r="B522" i="3"/>
  <c r="C522" i="3"/>
  <c r="A523" i="3"/>
  <c r="B523" i="3"/>
  <c r="I523" i="3" s="1"/>
  <c r="J523" i="3" s="1"/>
  <c r="A524" i="3"/>
  <c r="B524" i="3"/>
  <c r="C524" i="3"/>
  <c r="A525" i="3"/>
  <c r="B525" i="3"/>
  <c r="I525" i="3" s="1"/>
  <c r="J525" i="3" s="1"/>
  <c r="A526" i="3"/>
  <c r="B526" i="3"/>
  <c r="I526" i="3" s="1"/>
  <c r="J526" i="3" s="1"/>
  <c r="K526" i="3"/>
  <c r="L526" i="3" s="1"/>
  <c r="A527" i="3"/>
  <c r="B527" i="3"/>
  <c r="I527" i="3"/>
  <c r="J527" i="3" s="1"/>
  <c r="A528" i="3"/>
  <c r="B528" i="3"/>
  <c r="I528" i="3" s="1"/>
  <c r="J528" i="3"/>
  <c r="K528" i="3"/>
  <c r="L528" i="3" s="1"/>
  <c r="A529" i="3"/>
  <c r="B529" i="3"/>
  <c r="I529" i="3"/>
  <c r="J529" i="3" s="1"/>
  <c r="A530" i="3"/>
  <c r="B530" i="3"/>
  <c r="I530" i="3" s="1"/>
  <c r="C530" i="3"/>
  <c r="J530" i="3"/>
  <c r="K530" i="3"/>
  <c r="L530" i="3" s="1"/>
  <c r="A531" i="3"/>
  <c r="B531" i="3"/>
  <c r="I531" i="3" s="1"/>
  <c r="J531" i="3" s="1"/>
  <c r="A532" i="3"/>
  <c r="B532" i="3"/>
  <c r="I532" i="3" s="1"/>
  <c r="J532" i="3" s="1"/>
  <c r="C532" i="3"/>
  <c r="A533" i="3"/>
  <c r="B533" i="3"/>
  <c r="I533" i="3" s="1"/>
  <c r="J533" i="3" s="1"/>
  <c r="A534" i="3"/>
  <c r="B534" i="3"/>
  <c r="I534" i="3" s="1"/>
  <c r="J534" i="3" s="1"/>
  <c r="A535" i="3"/>
  <c r="B535" i="3"/>
  <c r="I535" i="3"/>
  <c r="J535" i="3" s="1"/>
  <c r="A536" i="3"/>
  <c r="B536" i="3"/>
  <c r="I536" i="3" s="1"/>
  <c r="J536" i="3" s="1"/>
  <c r="C536" i="3"/>
  <c r="A537" i="3"/>
  <c r="B537" i="3"/>
  <c r="I537" i="3"/>
  <c r="J537" i="3" s="1"/>
  <c r="A538" i="3"/>
  <c r="B538" i="3"/>
  <c r="A539" i="3"/>
  <c r="B539" i="3"/>
  <c r="I539" i="3" s="1"/>
  <c r="J539" i="3" s="1"/>
  <c r="A540" i="3"/>
  <c r="B540" i="3"/>
  <c r="A541" i="3"/>
  <c r="B541" i="3"/>
  <c r="I541" i="3"/>
  <c r="J541" i="3" s="1"/>
  <c r="A542" i="3"/>
  <c r="B542" i="3"/>
  <c r="I542" i="3" s="1"/>
  <c r="J542" i="3" s="1"/>
  <c r="K542" i="3"/>
  <c r="L542" i="3" s="1"/>
  <c r="A543" i="3"/>
  <c r="B543" i="3"/>
  <c r="I543" i="3"/>
  <c r="J543" i="3" s="1"/>
  <c r="A544" i="3"/>
  <c r="B544" i="3"/>
  <c r="I544" i="3" s="1"/>
  <c r="J544" i="3"/>
  <c r="K544" i="3"/>
  <c r="L544" i="3" s="1"/>
  <c r="A545" i="3"/>
  <c r="B545" i="3"/>
  <c r="I545" i="3"/>
  <c r="J545" i="3" s="1"/>
  <c r="A546" i="3"/>
  <c r="B546" i="3"/>
  <c r="I546" i="3" s="1"/>
  <c r="C546" i="3"/>
  <c r="J546" i="3"/>
  <c r="K546" i="3"/>
  <c r="L546" i="3" s="1"/>
  <c r="A547" i="3"/>
  <c r="B547" i="3"/>
  <c r="I547" i="3" s="1"/>
  <c r="J547" i="3" s="1"/>
  <c r="A548" i="3"/>
  <c r="B548" i="3"/>
  <c r="C548" i="3"/>
  <c r="A549" i="3"/>
  <c r="B549" i="3"/>
  <c r="I549" i="3" s="1"/>
  <c r="J549" i="3" s="1"/>
  <c r="A550" i="3"/>
  <c r="B550" i="3"/>
  <c r="I550" i="3" s="1"/>
  <c r="J550" i="3" s="1"/>
  <c r="C550" i="3"/>
  <c r="K550" i="3"/>
  <c r="L550" i="3" s="1"/>
  <c r="A551" i="3"/>
  <c r="B551" i="3"/>
  <c r="I551" i="3"/>
  <c r="J551" i="3" s="1"/>
  <c r="A552" i="3"/>
  <c r="B552" i="3"/>
  <c r="I552" i="3" s="1"/>
  <c r="J552" i="3" s="1"/>
  <c r="C552" i="3"/>
  <c r="K552" i="3"/>
  <c r="L552" i="3" s="1"/>
  <c r="A553" i="3"/>
  <c r="B553" i="3"/>
  <c r="I553" i="3"/>
  <c r="J553" i="3" s="1"/>
  <c r="A554" i="3"/>
  <c r="B554" i="3"/>
  <c r="A555" i="3"/>
  <c r="B555" i="3"/>
  <c r="I555" i="3"/>
  <c r="J555" i="3" s="1"/>
  <c r="A556" i="3"/>
  <c r="B556" i="3"/>
  <c r="I556" i="3" s="1"/>
  <c r="J556" i="3" s="1"/>
  <c r="A557" i="3"/>
  <c r="B557" i="3"/>
  <c r="I557" i="3"/>
  <c r="J557" i="3" s="1"/>
  <c r="A558" i="3"/>
  <c r="B558" i="3"/>
  <c r="I558" i="3" s="1"/>
  <c r="J558" i="3" s="1"/>
  <c r="K558" i="3"/>
  <c r="L558" i="3" s="1"/>
  <c r="A559" i="3"/>
  <c r="B559" i="3"/>
  <c r="I559" i="3"/>
  <c r="J559" i="3" s="1"/>
  <c r="A560" i="3"/>
  <c r="B560" i="3"/>
  <c r="I560" i="3" s="1"/>
  <c r="J560" i="3"/>
  <c r="K560" i="3"/>
  <c r="L560" i="3" s="1"/>
  <c r="A561" i="3"/>
  <c r="B561" i="3"/>
  <c r="I561" i="3"/>
  <c r="J561" i="3" s="1"/>
  <c r="A562" i="3"/>
  <c r="B562" i="3"/>
  <c r="I562" i="3" s="1"/>
  <c r="J562" i="3" s="1"/>
  <c r="C562" i="3"/>
  <c r="A563" i="3"/>
  <c r="B563" i="3"/>
  <c r="I563" i="3" s="1"/>
  <c r="J563" i="3" s="1"/>
  <c r="A564" i="3"/>
  <c r="B564" i="3"/>
  <c r="I564" i="3" s="1"/>
  <c r="J564" i="3" s="1"/>
  <c r="A565" i="3"/>
  <c r="B565" i="3"/>
  <c r="I565" i="3"/>
  <c r="J565" i="3" s="1"/>
  <c r="A566" i="3"/>
  <c r="B566" i="3"/>
  <c r="I566" i="3" s="1"/>
  <c r="J566" i="3" s="1"/>
  <c r="C566" i="3"/>
  <c r="A567" i="3"/>
  <c r="B567" i="3"/>
  <c r="I567" i="3"/>
  <c r="J567" i="3" s="1"/>
  <c r="A568" i="3"/>
  <c r="B568" i="3"/>
  <c r="I568" i="3" s="1"/>
  <c r="J568" i="3" s="1"/>
  <c r="K568" i="3"/>
  <c r="L568" i="3" s="1"/>
  <c r="A569" i="3"/>
  <c r="B569" i="3"/>
  <c r="I569" i="3" s="1"/>
  <c r="J569" i="3" s="1"/>
  <c r="A570" i="3"/>
  <c r="B570" i="3"/>
  <c r="A571" i="3"/>
  <c r="B571" i="3"/>
  <c r="I571" i="3" s="1"/>
  <c r="J571" i="3" s="1"/>
  <c r="A572" i="3"/>
  <c r="B572" i="3"/>
  <c r="I572" i="3" s="1"/>
  <c r="J572" i="3" s="1"/>
  <c r="K572" i="3"/>
  <c r="L572" i="3" s="1"/>
  <c r="A573" i="3"/>
  <c r="B573" i="3"/>
  <c r="I573" i="3" s="1"/>
  <c r="J573" i="3" s="1"/>
  <c r="A574" i="3"/>
  <c r="B574" i="3"/>
  <c r="I574" i="3" s="1"/>
  <c r="J574" i="3"/>
  <c r="K574" i="3"/>
  <c r="L574" i="3" s="1"/>
  <c r="A575" i="3"/>
  <c r="B575" i="3"/>
  <c r="I575" i="3" s="1"/>
  <c r="J575" i="3" s="1"/>
  <c r="A576" i="3"/>
  <c r="B576" i="3"/>
  <c r="I576" i="3" s="1"/>
  <c r="J576" i="3"/>
  <c r="K576" i="3"/>
  <c r="L576" i="3" s="1"/>
  <c r="A577" i="3"/>
  <c r="B577" i="3"/>
  <c r="I577" i="3" s="1"/>
  <c r="J577" i="3" s="1"/>
  <c r="A578" i="3"/>
  <c r="B578" i="3"/>
  <c r="I578" i="3" s="1"/>
  <c r="C578" i="3"/>
  <c r="J578" i="3"/>
  <c r="K578" i="3"/>
  <c r="L578" i="3" s="1"/>
  <c r="A579" i="3"/>
  <c r="B579" i="3"/>
  <c r="I579" i="3" s="1"/>
  <c r="J579" i="3" s="1"/>
  <c r="A580" i="3"/>
  <c r="B580" i="3"/>
  <c r="I580" i="3" s="1"/>
  <c r="C580" i="3"/>
  <c r="J580" i="3"/>
  <c r="K580" i="3"/>
  <c r="L580" i="3" s="1"/>
  <c r="A581" i="3"/>
  <c r="B581" i="3"/>
  <c r="I581" i="3"/>
  <c r="J581" i="3" s="1"/>
  <c r="A582" i="3"/>
  <c r="B582" i="3"/>
  <c r="I582" i="3" s="1"/>
  <c r="C582" i="3"/>
  <c r="J582" i="3"/>
  <c r="K582" i="3"/>
  <c r="L582" i="3" s="1"/>
  <c r="A583" i="3"/>
  <c r="B583" i="3"/>
  <c r="I583" i="3"/>
  <c r="J583" i="3" s="1"/>
  <c r="A584" i="3"/>
  <c r="B584" i="3"/>
  <c r="I584" i="3" s="1"/>
  <c r="C584" i="3"/>
  <c r="J584" i="3"/>
  <c r="A585" i="3"/>
  <c r="B585" i="3"/>
  <c r="I585" i="3" s="1"/>
  <c r="J585" i="3" s="1"/>
  <c r="A586" i="3"/>
  <c r="B586" i="3"/>
  <c r="C586" i="3"/>
  <c r="A587" i="3"/>
  <c r="B587" i="3"/>
  <c r="I587" i="3" s="1"/>
  <c r="J587" i="3" s="1"/>
  <c r="A588" i="3"/>
  <c r="B588" i="3"/>
  <c r="I588" i="3" s="1"/>
  <c r="J588" i="3" s="1"/>
  <c r="A589" i="3"/>
  <c r="B589" i="3"/>
  <c r="I589" i="3" s="1"/>
  <c r="J589" i="3" s="1"/>
  <c r="A590" i="3"/>
  <c r="B590" i="3"/>
  <c r="I590" i="3" s="1"/>
  <c r="J590" i="3"/>
  <c r="K590" i="3"/>
  <c r="L590" i="3" s="1"/>
  <c r="A591" i="3"/>
  <c r="B591" i="3"/>
  <c r="I591" i="3" s="1"/>
  <c r="J591" i="3" s="1"/>
  <c r="A592" i="3"/>
  <c r="B592" i="3"/>
  <c r="I592" i="3" s="1"/>
  <c r="C592" i="3"/>
  <c r="J592" i="3"/>
  <c r="K592" i="3"/>
  <c r="L592" i="3" s="1"/>
  <c r="A593" i="3"/>
  <c r="B593" i="3"/>
  <c r="I593" i="3"/>
  <c r="J593" i="3" s="1"/>
  <c r="A594" i="3"/>
  <c r="B594" i="3"/>
  <c r="I594" i="3" s="1"/>
  <c r="J594" i="3" s="1"/>
  <c r="C594" i="3"/>
  <c r="A595" i="3"/>
  <c r="B595" i="3"/>
  <c r="I595" i="3"/>
  <c r="J595" i="3" s="1"/>
  <c r="A596" i="3"/>
  <c r="B596" i="3"/>
  <c r="A597" i="3"/>
  <c r="B597" i="3"/>
  <c r="I597" i="3" s="1"/>
  <c r="J597" i="3" s="1"/>
  <c r="A598" i="3"/>
  <c r="B598" i="3"/>
  <c r="I598" i="3" s="1"/>
  <c r="J598" i="3" s="1"/>
  <c r="C598" i="3"/>
  <c r="A599" i="3"/>
  <c r="B599" i="3"/>
  <c r="I599" i="3"/>
  <c r="J599" i="3" s="1"/>
  <c r="A600" i="3"/>
  <c r="B600" i="3"/>
  <c r="I600" i="3" s="1"/>
  <c r="J600" i="3" s="1"/>
  <c r="K600" i="3"/>
  <c r="L600" i="3" s="1"/>
  <c r="A601" i="3"/>
  <c r="B601" i="3"/>
  <c r="I601" i="3" s="1"/>
  <c r="J601" i="3" s="1"/>
  <c r="A602" i="3"/>
  <c r="B602" i="3"/>
  <c r="I602" i="3" s="1"/>
  <c r="J602" i="3"/>
  <c r="K602" i="3"/>
  <c r="L602" i="3" s="1"/>
  <c r="A603" i="3"/>
  <c r="B603" i="3"/>
  <c r="I603" i="3"/>
  <c r="J603" i="3" s="1"/>
  <c r="A604" i="3"/>
  <c r="B604" i="3"/>
  <c r="I604" i="3" s="1"/>
  <c r="C604" i="3"/>
  <c r="J604" i="3"/>
  <c r="K604" i="3"/>
  <c r="L604" i="3" s="1"/>
  <c r="A605" i="3"/>
  <c r="B605" i="3"/>
  <c r="I605" i="3" s="1"/>
  <c r="J605" i="3" s="1"/>
  <c r="A606" i="3"/>
  <c r="B606" i="3"/>
  <c r="I606" i="3" s="1"/>
  <c r="J606" i="3" s="1"/>
  <c r="C606" i="3"/>
  <c r="A607" i="3"/>
  <c r="B607" i="3"/>
  <c r="I607" i="3" s="1"/>
  <c r="J607" i="3" s="1"/>
  <c r="A608" i="3"/>
  <c r="B608" i="3"/>
  <c r="A609" i="3"/>
  <c r="B609" i="3"/>
  <c r="I609" i="3"/>
  <c r="J609" i="3" s="1"/>
  <c r="A610" i="3"/>
  <c r="B610" i="3"/>
  <c r="I610" i="3" s="1"/>
  <c r="J610" i="3" s="1"/>
  <c r="A611" i="3"/>
  <c r="B611" i="3"/>
  <c r="I611" i="3"/>
  <c r="J611" i="3" s="1"/>
  <c r="A612" i="3"/>
  <c r="B612" i="3"/>
  <c r="A613" i="3"/>
  <c r="B613" i="3"/>
  <c r="I613" i="3" s="1"/>
  <c r="J613" i="3" s="1"/>
  <c r="A614" i="3"/>
  <c r="B614" i="3"/>
  <c r="I614" i="3" s="1"/>
  <c r="J614" i="3" s="1"/>
  <c r="C614" i="3"/>
  <c r="A615" i="3"/>
  <c r="B615" i="3"/>
  <c r="I615" i="3" s="1"/>
  <c r="J615" i="3" s="1"/>
  <c r="A616" i="3"/>
  <c r="B616" i="3"/>
  <c r="I616" i="3" s="1"/>
  <c r="J616" i="3" s="1"/>
  <c r="K616" i="3"/>
  <c r="L616" i="3" s="1"/>
  <c r="A617" i="3"/>
  <c r="B617" i="3"/>
  <c r="I617" i="3" s="1"/>
  <c r="J617" i="3" s="1"/>
  <c r="A618" i="3"/>
  <c r="B618" i="3"/>
  <c r="I618" i="3" s="1"/>
  <c r="J618" i="3"/>
  <c r="K618" i="3"/>
  <c r="L618" i="3" s="1"/>
  <c r="A619" i="3"/>
  <c r="B619" i="3"/>
  <c r="I619" i="3" s="1"/>
  <c r="J619" i="3" s="1"/>
  <c r="A620" i="3"/>
  <c r="B620" i="3"/>
  <c r="I620" i="3" s="1"/>
  <c r="C620" i="3"/>
  <c r="J620" i="3"/>
  <c r="K620" i="3"/>
  <c r="L620" i="3" s="1"/>
  <c r="A621" i="3"/>
  <c r="B621" i="3"/>
  <c r="I621" i="3" s="1"/>
  <c r="J621" i="3" s="1"/>
  <c r="A622" i="3"/>
  <c r="B622" i="3"/>
  <c r="I622" i="3" s="1"/>
  <c r="J622" i="3" s="1"/>
  <c r="C622" i="3"/>
  <c r="K622" i="3"/>
  <c r="L622" i="3" s="1"/>
  <c r="A623" i="3"/>
  <c r="B623" i="3"/>
  <c r="I623" i="3" s="1"/>
  <c r="J623" i="3" s="1"/>
  <c r="A624" i="3"/>
  <c r="B624" i="3"/>
  <c r="C624" i="3"/>
  <c r="A625" i="3"/>
  <c r="B625" i="3"/>
  <c r="I625" i="3"/>
  <c r="J625" i="3" s="1"/>
  <c r="A626" i="3"/>
  <c r="B626" i="3"/>
  <c r="I626" i="3" s="1"/>
  <c r="J626" i="3" s="1"/>
  <c r="K626" i="3"/>
  <c r="L626" i="3" s="1"/>
  <c r="A627" i="3"/>
  <c r="C627" i="3" s="1"/>
  <c r="B627" i="3"/>
  <c r="D627" i="3"/>
  <c r="I627" i="3"/>
  <c r="J627" i="3" s="1"/>
  <c r="A628" i="3"/>
  <c r="C628" i="3" s="1"/>
  <c r="B628" i="3"/>
  <c r="A629" i="3"/>
  <c r="C629" i="3" s="1"/>
  <c r="B629" i="3"/>
  <c r="D629" i="3"/>
  <c r="I629" i="3"/>
  <c r="J629" i="3" s="1"/>
  <c r="A630" i="3"/>
  <c r="C630" i="3" s="1"/>
  <c r="B630" i="3"/>
  <c r="I630" i="3" s="1"/>
  <c r="J630" i="3" s="1"/>
  <c r="A631" i="3"/>
  <c r="C631" i="3" s="1"/>
  <c r="D631" i="3" s="1"/>
  <c r="B631" i="3"/>
  <c r="I631" i="3" s="1"/>
  <c r="J631" i="3" s="1"/>
  <c r="A632" i="3"/>
  <c r="C632" i="3" s="1"/>
  <c r="B632" i="3"/>
  <c r="I632" i="3" s="1"/>
  <c r="J632" i="3" s="1"/>
  <c r="K632" i="3"/>
  <c r="L632" i="3" s="1"/>
  <c r="A633" i="3"/>
  <c r="C633" i="3" s="1"/>
  <c r="B633" i="3"/>
  <c r="I633" i="3" s="1"/>
  <c r="J633" i="3" s="1"/>
  <c r="D633" i="3"/>
  <c r="A634" i="3"/>
  <c r="C634" i="3" s="1"/>
  <c r="B634" i="3"/>
  <c r="I634" i="3" s="1"/>
  <c r="J634" i="3"/>
  <c r="K634" i="3"/>
  <c r="L634" i="3" s="1"/>
  <c r="A635" i="3"/>
  <c r="C635" i="3" s="1"/>
  <c r="D635" i="3" s="1"/>
  <c r="B635" i="3"/>
  <c r="I635" i="3"/>
  <c r="J635" i="3" s="1"/>
  <c r="A636" i="3"/>
  <c r="B636" i="3"/>
  <c r="I636" i="3" s="1"/>
  <c r="C636" i="3"/>
  <c r="J636" i="3"/>
  <c r="K636" i="3"/>
  <c r="L636" i="3" s="1"/>
  <c r="A637" i="3"/>
  <c r="C637" i="3" s="1"/>
  <c r="D637" i="3" s="1"/>
  <c r="B637" i="3"/>
  <c r="I637" i="3" s="1"/>
  <c r="J637" i="3" s="1"/>
  <c r="A638" i="3"/>
  <c r="B638" i="3"/>
  <c r="I638" i="3" s="1"/>
  <c r="C638" i="3"/>
  <c r="J638" i="3"/>
  <c r="K638" i="3"/>
  <c r="L638" i="3" s="1"/>
  <c r="A639" i="3"/>
  <c r="C639" i="3" s="1"/>
  <c r="D639" i="3" s="1"/>
  <c r="B639" i="3"/>
  <c r="I639" i="3" s="1"/>
  <c r="J639" i="3" s="1"/>
  <c r="A640" i="3"/>
  <c r="C640" i="3" s="1"/>
  <c r="B640" i="3"/>
  <c r="A641" i="3"/>
  <c r="C641" i="3" s="1"/>
  <c r="D641" i="3" s="1"/>
  <c r="B641" i="3"/>
  <c r="I641" i="3"/>
  <c r="J641" i="3" s="1"/>
  <c r="A642" i="3"/>
  <c r="B642" i="3"/>
  <c r="I642" i="3" s="1"/>
  <c r="J642" i="3" s="1"/>
  <c r="C642" i="3"/>
  <c r="A643" i="3"/>
  <c r="C643" i="3" s="1"/>
  <c r="B643" i="3"/>
  <c r="D643" i="3"/>
  <c r="I643" i="3"/>
  <c r="J643" i="3" s="1"/>
  <c r="A644" i="3"/>
  <c r="C644" i="3" s="1"/>
  <c r="B644" i="3"/>
  <c r="A645" i="3"/>
  <c r="C645" i="3" s="1"/>
  <c r="B645" i="3"/>
  <c r="D645" i="3"/>
  <c r="I645" i="3"/>
  <c r="J645" i="3" s="1"/>
  <c r="A646" i="3"/>
  <c r="C646" i="3" s="1"/>
  <c r="B646" i="3"/>
  <c r="I646" i="3" s="1"/>
  <c r="J646" i="3" s="1"/>
  <c r="A647" i="3"/>
  <c r="C647" i="3" s="1"/>
  <c r="D647" i="3" s="1"/>
  <c r="B647" i="3"/>
  <c r="I647" i="3"/>
  <c r="J647" i="3" s="1"/>
  <c r="A648" i="3"/>
  <c r="C648" i="3" s="1"/>
  <c r="B648" i="3"/>
  <c r="I648" i="3" s="1"/>
  <c r="J648" i="3" s="1"/>
  <c r="A649" i="3"/>
  <c r="C649" i="3" s="1"/>
  <c r="D649" i="3" s="1"/>
  <c r="B649" i="3"/>
  <c r="I649" i="3" s="1"/>
  <c r="J649" i="3" s="1"/>
  <c r="A650" i="3"/>
  <c r="C650" i="3" s="1"/>
  <c r="B650" i="3"/>
  <c r="I650" i="3" s="1"/>
  <c r="J650" i="3"/>
  <c r="K650" i="3"/>
  <c r="L650" i="3" s="1"/>
  <c r="A651" i="3"/>
  <c r="C651" i="3" s="1"/>
  <c r="D651" i="3" s="1"/>
  <c r="B651" i="3"/>
  <c r="I651" i="3" s="1"/>
  <c r="J651" i="3" s="1"/>
  <c r="A652" i="3"/>
  <c r="B652" i="3"/>
  <c r="I652" i="3" s="1"/>
  <c r="C652" i="3"/>
  <c r="J652" i="3"/>
  <c r="K652" i="3"/>
  <c r="L652" i="3" s="1"/>
  <c r="A653" i="3"/>
  <c r="C653" i="3" s="1"/>
  <c r="B653" i="3"/>
  <c r="I653" i="3" s="1"/>
  <c r="J653" i="3" s="1"/>
  <c r="D653" i="3"/>
  <c r="A654" i="3"/>
  <c r="B654" i="3"/>
  <c r="I654" i="3" s="1"/>
  <c r="C654" i="3"/>
  <c r="J654" i="3"/>
  <c r="K654" i="3"/>
  <c r="L654" i="3" s="1"/>
  <c r="A655" i="3"/>
  <c r="C655" i="3" s="1"/>
  <c r="D655" i="3" s="1"/>
  <c r="B655" i="3"/>
  <c r="I655" i="3" s="1"/>
  <c r="J655" i="3" s="1"/>
  <c r="A656" i="3"/>
  <c r="C656" i="3" s="1"/>
  <c r="B656" i="3"/>
  <c r="A657" i="3"/>
  <c r="C657" i="3" s="1"/>
  <c r="D657" i="3" s="1"/>
  <c r="B657" i="3"/>
  <c r="I657" i="3"/>
  <c r="J657" i="3" s="1"/>
  <c r="A658" i="3"/>
  <c r="C658" i="3" s="1"/>
  <c r="B658" i="3"/>
  <c r="I658" i="3" s="1"/>
  <c r="J658" i="3" s="1"/>
  <c r="A659" i="3"/>
  <c r="C659" i="3" s="1"/>
  <c r="B659" i="3"/>
  <c r="D659" i="3"/>
  <c r="I659" i="3"/>
  <c r="J659" i="3" s="1"/>
  <c r="A660" i="3"/>
  <c r="C660" i="3" s="1"/>
  <c r="B660" i="3"/>
  <c r="A661" i="3"/>
  <c r="C661" i="3" s="1"/>
  <c r="B661" i="3"/>
  <c r="D661" i="3"/>
  <c r="I661" i="3"/>
  <c r="J661" i="3" s="1"/>
  <c r="A662" i="3"/>
  <c r="B662" i="3"/>
  <c r="I662" i="3" s="1"/>
  <c r="J662" i="3" s="1"/>
  <c r="C662" i="3"/>
  <c r="A663" i="3"/>
  <c r="C663" i="3" s="1"/>
  <c r="B663" i="3"/>
  <c r="D663" i="3"/>
  <c r="I663" i="3"/>
  <c r="J663" i="3" s="1"/>
  <c r="A664" i="3"/>
  <c r="C664" i="3" s="1"/>
  <c r="B664" i="3"/>
  <c r="I664" i="3" s="1"/>
  <c r="J664" i="3" s="1"/>
  <c r="K664" i="3"/>
  <c r="L664" i="3" s="1"/>
  <c r="A665" i="3"/>
  <c r="C665" i="3" s="1"/>
  <c r="D665" i="3" s="1"/>
  <c r="B665" i="3"/>
  <c r="I665" i="3" s="1"/>
  <c r="J665" i="3" s="1"/>
  <c r="A666" i="3"/>
  <c r="C666" i="3" s="1"/>
  <c r="B666" i="3"/>
  <c r="I666" i="3" s="1"/>
  <c r="J666" i="3"/>
  <c r="K666" i="3"/>
  <c r="L666" i="3" s="1"/>
  <c r="A667" i="3"/>
  <c r="C667" i="3" s="1"/>
  <c r="D667" i="3" s="1"/>
  <c r="B667" i="3"/>
  <c r="I667" i="3" s="1"/>
  <c r="J667" i="3" s="1"/>
  <c r="A668" i="3"/>
  <c r="B668" i="3"/>
  <c r="I668" i="3" s="1"/>
  <c r="C668" i="3"/>
  <c r="J668" i="3"/>
  <c r="K668" i="3"/>
  <c r="L668" i="3" s="1"/>
  <c r="A669" i="3"/>
  <c r="C669" i="3" s="1"/>
  <c r="D669" i="3" s="1"/>
  <c r="B669" i="3"/>
  <c r="I669" i="3" s="1"/>
  <c r="J669" i="3" s="1"/>
  <c r="A670" i="3"/>
  <c r="B670" i="3"/>
  <c r="I670" i="3" s="1"/>
  <c r="C670" i="3"/>
  <c r="J670" i="3"/>
  <c r="A671" i="3"/>
  <c r="C671" i="3" s="1"/>
  <c r="D671" i="3" s="1"/>
  <c r="B671" i="3"/>
  <c r="I671" i="3" s="1"/>
  <c r="J671" i="3" s="1"/>
  <c r="A672" i="3"/>
  <c r="B672" i="3"/>
  <c r="C672" i="3"/>
  <c r="A673" i="3"/>
  <c r="C673" i="3" s="1"/>
  <c r="D673" i="3" s="1"/>
  <c r="B673" i="3"/>
  <c r="I673" i="3"/>
  <c r="J673" i="3" s="1"/>
  <c r="A674" i="3"/>
  <c r="C674" i="3" s="1"/>
  <c r="B674" i="3"/>
  <c r="I674" i="3" s="1"/>
  <c r="J674" i="3" s="1"/>
  <c r="K674" i="3"/>
  <c r="L674" i="3" s="1"/>
  <c r="A675" i="3"/>
  <c r="C675" i="3" s="1"/>
  <c r="B675" i="3"/>
  <c r="D675" i="3"/>
  <c r="I675" i="3"/>
  <c r="J675" i="3" s="1"/>
  <c r="A676" i="3"/>
  <c r="C676" i="3" s="1"/>
  <c r="B676" i="3"/>
  <c r="A677" i="3"/>
  <c r="C677" i="3" s="1"/>
  <c r="B677" i="3"/>
  <c r="I677" i="3" s="1"/>
  <c r="J677" i="3" s="1"/>
  <c r="D677" i="3"/>
  <c r="A678" i="3"/>
  <c r="C678" i="3" s="1"/>
  <c r="B678" i="3"/>
  <c r="A679" i="3"/>
  <c r="C679" i="3" s="1"/>
  <c r="B679" i="3"/>
  <c r="I679" i="3" s="1"/>
  <c r="J679" i="3" s="1"/>
  <c r="D679" i="3"/>
  <c r="A680" i="3"/>
  <c r="C680" i="3" s="1"/>
  <c r="B680" i="3"/>
  <c r="I680" i="3" s="1"/>
  <c r="J680" i="3" s="1"/>
  <c r="A681" i="3"/>
  <c r="C681" i="3" s="1"/>
  <c r="B681" i="3"/>
  <c r="D681" i="3"/>
  <c r="I681" i="3"/>
  <c r="J681" i="3" s="1"/>
  <c r="A682" i="3"/>
  <c r="C682" i="3" s="1"/>
  <c r="B682" i="3"/>
  <c r="I682" i="3" s="1"/>
  <c r="J682" i="3"/>
  <c r="K682" i="3"/>
  <c r="L682" i="3" s="1"/>
  <c r="A683" i="3"/>
  <c r="C683" i="3" s="1"/>
  <c r="B683" i="3"/>
  <c r="D683" i="3"/>
  <c r="I683" i="3"/>
  <c r="J683" i="3" s="1"/>
  <c r="A684" i="3"/>
  <c r="B684" i="3"/>
  <c r="I684" i="3" s="1"/>
  <c r="C684" i="3"/>
  <c r="J684" i="3"/>
  <c r="K684" i="3"/>
  <c r="L684" i="3" s="1"/>
  <c r="A685" i="3"/>
  <c r="C685" i="3" s="1"/>
  <c r="B685" i="3"/>
  <c r="I685" i="3" s="1"/>
  <c r="J685" i="3" s="1"/>
  <c r="D685" i="3"/>
  <c r="A686" i="3"/>
  <c r="B686" i="3"/>
  <c r="I686" i="3" s="1"/>
  <c r="J686" i="3" s="1"/>
  <c r="C686" i="3"/>
  <c r="A687" i="3"/>
  <c r="C687" i="3" s="1"/>
  <c r="D687" i="3" s="1"/>
  <c r="B687" i="3"/>
  <c r="I687" i="3" s="1"/>
  <c r="J687" i="3" s="1"/>
  <c r="A688" i="3"/>
  <c r="C688" i="3" s="1"/>
  <c r="B688" i="3"/>
  <c r="I688" i="3" s="1"/>
  <c r="J688" i="3"/>
  <c r="K688" i="3"/>
  <c r="L688" i="3" s="1"/>
  <c r="A689" i="3"/>
  <c r="C689" i="3" s="1"/>
  <c r="D689" i="3" s="1"/>
  <c r="B689" i="3"/>
  <c r="I689" i="3"/>
  <c r="J689" i="3" s="1"/>
  <c r="A690" i="3"/>
  <c r="C690" i="3" s="1"/>
  <c r="B690" i="3"/>
  <c r="I690" i="3" s="1"/>
  <c r="J690" i="3"/>
  <c r="K690" i="3"/>
  <c r="L690" i="3" s="1"/>
  <c r="A691" i="3"/>
  <c r="C691" i="3" s="1"/>
  <c r="B691" i="3"/>
  <c r="D691" i="3"/>
  <c r="I691" i="3"/>
  <c r="J691" i="3" s="1"/>
  <c r="A692" i="3"/>
  <c r="B692" i="3"/>
  <c r="C692" i="3"/>
  <c r="A693" i="3"/>
  <c r="C693" i="3" s="1"/>
  <c r="B693" i="3"/>
  <c r="D693" i="3"/>
  <c r="I693" i="3"/>
  <c r="J693" i="3" s="1"/>
  <c r="A694" i="3"/>
  <c r="B694" i="3"/>
  <c r="C694" i="3"/>
  <c r="A695" i="3"/>
  <c r="C695" i="3" s="1"/>
  <c r="B695" i="3"/>
  <c r="D695" i="3"/>
  <c r="I695" i="3"/>
  <c r="J695" i="3" s="1"/>
  <c r="A696" i="3"/>
  <c r="C696" i="3" s="1"/>
  <c r="B696" i="3"/>
  <c r="I696" i="3" s="1"/>
  <c r="J696" i="3" s="1"/>
  <c r="K696" i="3"/>
  <c r="L696" i="3" s="1"/>
  <c r="A697" i="3"/>
  <c r="C697" i="3" s="1"/>
  <c r="D697" i="3" s="1"/>
  <c r="B697" i="3"/>
  <c r="I697" i="3"/>
  <c r="J697" i="3" s="1"/>
  <c r="A698" i="3"/>
  <c r="C698" i="3" s="1"/>
  <c r="B698" i="3"/>
  <c r="I698" i="3" s="1"/>
  <c r="J698" i="3"/>
  <c r="K698" i="3"/>
  <c r="L698" i="3" s="1"/>
  <c r="A699" i="3"/>
  <c r="C699" i="3" s="1"/>
  <c r="D699" i="3" s="1"/>
  <c r="B699" i="3"/>
  <c r="I699" i="3"/>
  <c r="J699" i="3" s="1"/>
  <c r="A700" i="3"/>
  <c r="B700" i="3"/>
  <c r="I700" i="3" s="1"/>
  <c r="C700" i="3"/>
  <c r="J700" i="3"/>
  <c r="K700" i="3"/>
  <c r="L700" i="3" s="1"/>
  <c r="A701" i="3"/>
  <c r="C701" i="3" s="1"/>
  <c r="B701" i="3"/>
  <c r="I701" i="3" s="1"/>
  <c r="J701" i="3" s="1"/>
  <c r="D701" i="3"/>
  <c r="A702" i="3"/>
  <c r="B702" i="3"/>
  <c r="I702" i="3" s="1"/>
  <c r="J702" i="3" s="1"/>
  <c r="C702" i="3"/>
  <c r="A703" i="3"/>
  <c r="C703" i="3" s="1"/>
  <c r="D703" i="3" s="1"/>
  <c r="B703" i="3"/>
  <c r="I703" i="3" s="1"/>
  <c r="J703" i="3" s="1"/>
  <c r="A704" i="3"/>
  <c r="B704" i="3"/>
  <c r="I704" i="3" s="1"/>
  <c r="J704" i="3" s="1"/>
  <c r="C704" i="3"/>
  <c r="A705" i="3"/>
  <c r="C705" i="3" s="1"/>
  <c r="D705" i="3" s="1"/>
  <c r="B705" i="3"/>
  <c r="I705" i="3"/>
  <c r="J705" i="3" s="1"/>
  <c r="A706" i="3"/>
  <c r="B706" i="3"/>
  <c r="I706" i="3" s="1"/>
  <c r="J706" i="3" s="1"/>
  <c r="C706" i="3"/>
  <c r="A707" i="3"/>
  <c r="C707" i="3" s="1"/>
  <c r="B707" i="3"/>
  <c r="D707" i="3"/>
  <c r="I707" i="3"/>
  <c r="J707" i="3" s="1"/>
  <c r="A708" i="3"/>
  <c r="C708" i="3" s="1"/>
  <c r="B708" i="3"/>
  <c r="A709" i="3"/>
  <c r="C709" i="3" s="1"/>
  <c r="B709" i="3"/>
  <c r="D709" i="3"/>
  <c r="I709" i="3"/>
  <c r="J709" i="3" s="1"/>
  <c r="A710" i="3"/>
  <c r="C710" i="3" s="1"/>
  <c r="B710" i="3"/>
  <c r="A711" i="3"/>
  <c r="C711" i="3" s="1"/>
  <c r="D711" i="3" s="1"/>
  <c r="B711" i="3"/>
  <c r="I711" i="3" s="1"/>
  <c r="J711" i="3" s="1"/>
  <c r="A712" i="3"/>
  <c r="C712" i="3" s="1"/>
  <c r="B712" i="3"/>
  <c r="I712" i="3" s="1"/>
  <c r="J712" i="3" s="1"/>
  <c r="K712" i="3"/>
  <c r="L712" i="3" s="1"/>
  <c r="A713" i="3"/>
  <c r="C713" i="3" s="1"/>
  <c r="B713" i="3"/>
  <c r="I713" i="3" s="1"/>
  <c r="J713" i="3" s="1"/>
  <c r="D713" i="3"/>
  <c r="A714" i="3"/>
  <c r="C714" i="3" s="1"/>
  <c r="B714" i="3"/>
  <c r="I714" i="3" s="1"/>
  <c r="J714" i="3"/>
  <c r="K714" i="3"/>
  <c r="L714" i="3" s="1"/>
  <c r="A715" i="3"/>
  <c r="C715" i="3" s="1"/>
  <c r="B715" i="3"/>
  <c r="I715" i="3" s="1"/>
  <c r="J715" i="3" s="1"/>
  <c r="D715" i="3"/>
  <c r="A716" i="3"/>
  <c r="B716" i="3"/>
  <c r="I716" i="3" s="1"/>
  <c r="C716" i="3"/>
  <c r="J716" i="3"/>
  <c r="K716" i="3"/>
  <c r="L716" i="3" s="1"/>
  <c r="A717" i="3"/>
  <c r="C717" i="3" s="1"/>
  <c r="D717" i="3" s="1"/>
  <c r="B717" i="3"/>
  <c r="I717" i="3" s="1"/>
  <c r="J717" i="3" s="1"/>
  <c r="A718" i="3"/>
  <c r="B718" i="3"/>
  <c r="I718" i="3" s="1"/>
  <c r="C718" i="3"/>
  <c r="J718" i="3"/>
  <c r="A719" i="3"/>
  <c r="C719" i="3" s="1"/>
  <c r="D719" i="3" s="1"/>
  <c r="B719" i="3"/>
  <c r="I719" i="3" s="1"/>
  <c r="J719" i="3" s="1"/>
  <c r="A720" i="3"/>
  <c r="B720" i="3"/>
  <c r="I720" i="3" s="1"/>
  <c r="C720" i="3"/>
  <c r="J720" i="3"/>
  <c r="K720" i="3"/>
  <c r="L720" i="3" s="1"/>
  <c r="A721" i="3"/>
  <c r="C721" i="3" s="1"/>
  <c r="D721" i="3" s="1"/>
  <c r="B721" i="3"/>
  <c r="I721" i="3"/>
  <c r="J721" i="3" s="1"/>
  <c r="A722" i="3"/>
  <c r="B722" i="3"/>
  <c r="I722" i="3" s="1"/>
  <c r="C722" i="3"/>
  <c r="J722" i="3"/>
  <c r="K722" i="3"/>
  <c r="L722" i="3" s="1"/>
  <c r="A723" i="3"/>
  <c r="C723" i="3" s="1"/>
  <c r="B723" i="3"/>
  <c r="D723" i="3"/>
  <c r="I723" i="3"/>
  <c r="J723" i="3" s="1"/>
  <c r="A724" i="3"/>
  <c r="B724" i="3"/>
  <c r="C724" i="3"/>
  <c r="A725" i="3"/>
  <c r="C725" i="3" s="1"/>
  <c r="B725" i="3"/>
  <c r="I725" i="3" s="1"/>
  <c r="J725" i="3" s="1"/>
  <c r="D725" i="3"/>
  <c r="A726" i="3"/>
  <c r="B726" i="3"/>
  <c r="C726" i="3"/>
  <c r="A727" i="3"/>
  <c r="C727" i="3" s="1"/>
  <c r="D727" i="3" s="1"/>
  <c r="B727" i="3"/>
  <c r="I727" i="3"/>
  <c r="J727" i="3" s="1"/>
  <c r="A728" i="3"/>
  <c r="C728" i="3" s="1"/>
  <c r="B728" i="3"/>
  <c r="I728" i="3" s="1"/>
  <c r="J728" i="3" s="1"/>
  <c r="K728" i="3"/>
  <c r="L728" i="3" s="1"/>
  <c r="A729" i="3"/>
  <c r="C729" i="3" s="1"/>
  <c r="D729" i="3" s="1"/>
  <c r="B729" i="3"/>
  <c r="I729" i="3" s="1"/>
  <c r="J729" i="3" s="1"/>
  <c r="A730" i="3"/>
  <c r="C730" i="3" s="1"/>
  <c r="B730" i="3"/>
  <c r="I730" i="3" s="1"/>
  <c r="J730" i="3"/>
  <c r="K730" i="3"/>
  <c r="L730" i="3" s="1"/>
  <c r="A731" i="3"/>
  <c r="C731" i="3" s="1"/>
  <c r="D731" i="3" s="1"/>
  <c r="B731" i="3"/>
  <c r="I731" i="3" s="1"/>
  <c r="J731" i="3" s="1"/>
  <c r="A732" i="3"/>
  <c r="B732" i="3"/>
  <c r="I732" i="3" s="1"/>
  <c r="C732" i="3"/>
  <c r="J732" i="3"/>
  <c r="K732" i="3"/>
  <c r="L732" i="3" s="1"/>
  <c r="A733" i="3"/>
  <c r="C733" i="3" s="1"/>
  <c r="D733" i="3" s="1"/>
  <c r="B733" i="3"/>
  <c r="I733" i="3" s="1"/>
  <c r="J733" i="3" s="1"/>
  <c r="A734" i="3"/>
  <c r="B734" i="3"/>
  <c r="I734" i="3" s="1"/>
  <c r="C734" i="3"/>
  <c r="J734" i="3"/>
  <c r="K734" i="3"/>
  <c r="L734" i="3" s="1"/>
  <c r="A735" i="3"/>
  <c r="C735" i="3" s="1"/>
  <c r="D735" i="3" s="1"/>
  <c r="B735" i="3"/>
  <c r="I735" i="3" s="1"/>
  <c r="J735" i="3" s="1"/>
  <c r="B1" i="3"/>
  <c r="I1" i="3" s="1"/>
  <c r="K1" i="3" s="1"/>
  <c r="L1" i="3" s="1"/>
  <c r="M1" i="3" s="1"/>
  <c r="A1" i="3"/>
  <c r="C232" i="3" l="1"/>
  <c r="C299" i="3"/>
  <c r="E299" i="3" s="1"/>
  <c r="F299" i="3" s="1"/>
  <c r="G299" i="3" s="1"/>
  <c r="K184" i="3"/>
  <c r="L184" i="3" s="1"/>
  <c r="M184" i="3" s="1"/>
  <c r="N184" i="3" s="1"/>
  <c r="C220" i="3"/>
  <c r="E220" i="3" s="1"/>
  <c r="F220" i="3" s="1"/>
  <c r="G220" i="3" s="1"/>
  <c r="C182" i="3"/>
  <c r="D182" i="3" s="1"/>
  <c r="C303" i="3"/>
  <c r="E303" i="3" s="1"/>
  <c r="F303" i="3" s="1"/>
  <c r="G303" i="3" s="1"/>
  <c r="C248" i="3"/>
  <c r="E248" i="3" s="1"/>
  <c r="F248" i="3" s="1"/>
  <c r="G248" i="3" s="1"/>
  <c r="C327" i="3"/>
  <c r="E327" i="3" s="1"/>
  <c r="F327" i="3" s="1"/>
  <c r="G327" i="3" s="1"/>
  <c r="C297" i="3"/>
  <c r="E297" i="3" s="1"/>
  <c r="F297" i="3" s="1"/>
  <c r="G297" i="3" s="1"/>
  <c r="C291" i="3"/>
  <c r="E291" i="3" s="1"/>
  <c r="F291" i="3" s="1"/>
  <c r="G291" i="3" s="1"/>
  <c r="C277" i="3"/>
  <c r="E277" i="3" s="1"/>
  <c r="F277" i="3" s="1"/>
  <c r="G277" i="3" s="1"/>
  <c r="C244" i="3"/>
  <c r="E244" i="3" s="1"/>
  <c r="F244" i="3" s="1"/>
  <c r="G244" i="3" s="1"/>
  <c r="C200" i="3"/>
  <c r="D200" i="3" s="1"/>
  <c r="C164" i="3"/>
  <c r="D164" i="3" s="1"/>
  <c r="C148" i="3"/>
  <c r="D148" i="3" s="1"/>
  <c r="C313" i="3"/>
  <c r="E313" i="3" s="1"/>
  <c r="F313" i="3" s="1"/>
  <c r="G313" i="3" s="1"/>
  <c r="C214" i="3"/>
  <c r="D214" i="3" s="1"/>
  <c r="C1" i="3"/>
  <c r="D1" i="3" s="1"/>
  <c r="C307" i="3"/>
  <c r="E307" i="3" s="1"/>
  <c r="F307" i="3" s="1"/>
  <c r="G307" i="3" s="1"/>
  <c r="C234" i="3"/>
  <c r="C321" i="3"/>
  <c r="E321" i="3" s="1"/>
  <c r="F321" i="3" s="1"/>
  <c r="C206" i="3"/>
  <c r="K166" i="3"/>
  <c r="L166" i="3" s="1"/>
  <c r="M166" i="3" s="1"/>
  <c r="N166" i="3" s="1"/>
  <c r="K165" i="3"/>
  <c r="L165" i="3" s="1"/>
  <c r="M165" i="3" s="1"/>
  <c r="N165" i="3" s="1"/>
  <c r="K333" i="3"/>
  <c r="L333" i="3" s="1"/>
  <c r="M333" i="3" s="1"/>
  <c r="N333" i="3" s="1"/>
  <c r="K289" i="3"/>
  <c r="L289" i="3" s="1"/>
  <c r="M289" i="3" s="1"/>
  <c r="N289" i="3" s="1"/>
  <c r="K180" i="3"/>
  <c r="L180" i="3" s="1"/>
  <c r="M180" i="3" s="1"/>
  <c r="N180" i="3" s="1"/>
  <c r="K325" i="3"/>
  <c r="L325" i="3" s="1"/>
  <c r="M325" i="3" s="1"/>
  <c r="N325" i="3" s="1"/>
  <c r="K169" i="3"/>
  <c r="L169" i="3" s="1"/>
  <c r="M169" i="3" s="1"/>
  <c r="N169" i="3" s="1"/>
  <c r="C339" i="3"/>
  <c r="K178" i="3"/>
  <c r="L178" i="3" s="1"/>
  <c r="M178" i="3" s="1"/>
  <c r="N178" i="3" s="1"/>
  <c r="C279" i="3"/>
  <c r="E279" i="3" s="1"/>
  <c r="F279" i="3" s="1"/>
  <c r="G279" i="3" s="1"/>
  <c r="C236" i="3"/>
  <c r="C202" i="3"/>
  <c r="E202" i="3" s="1"/>
  <c r="F202" i="3" s="1"/>
  <c r="G202" i="3" s="1"/>
  <c r="I176" i="3"/>
  <c r="J176" i="3" s="1"/>
  <c r="K172" i="3"/>
  <c r="L172" i="3" s="1"/>
  <c r="M172" i="3" s="1"/>
  <c r="J172" i="3"/>
  <c r="C347" i="3"/>
  <c r="E347" i="3" s="1"/>
  <c r="F347" i="3" s="1"/>
  <c r="G347" i="3" s="1"/>
  <c r="C228" i="3"/>
  <c r="C252" i="3"/>
  <c r="C329" i="3"/>
  <c r="E329" i="3" s="1"/>
  <c r="F329" i="3" s="1"/>
  <c r="G329" i="3" s="1"/>
  <c r="C238" i="3"/>
  <c r="E238" i="3" s="1"/>
  <c r="F238" i="3" s="1"/>
  <c r="G238" i="3" s="1"/>
  <c r="C224" i="3"/>
  <c r="C198" i="3"/>
  <c r="E198" i="3" s="1"/>
  <c r="F198" i="3" s="1"/>
  <c r="G198" i="3" s="1"/>
  <c r="C180" i="3"/>
  <c r="E180" i="3" s="1"/>
  <c r="F180" i="3" s="1"/>
  <c r="G180" i="3" s="1"/>
  <c r="K349" i="3"/>
  <c r="L349" i="3" s="1"/>
  <c r="M349" i="3" s="1"/>
  <c r="N349" i="3" s="1"/>
  <c r="I293" i="3"/>
  <c r="C190" i="3"/>
  <c r="D190" i="3" s="1"/>
  <c r="C184" i="3"/>
  <c r="E184" i="3" s="1"/>
  <c r="F184" i="3" s="1"/>
  <c r="G184" i="3" s="1"/>
  <c r="C335" i="3"/>
  <c r="E335" i="3" s="1"/>
  <c r="F335" i="3" s="1"/>
  <c r="G335" i="3" s="1"/>
  <c r="C309" i="3"/>
  <c r="C305" i="3"/>
  <c r="D305" i="3" s="1"/>
  <c r="K301" i="3"/>
  <c r="L301" i="3" s="1"/>
  <c r="M301" i="3" s="1"/>
  <c r="N301" i="3" s="1"/>
  <c r="K297" i="3"/>
  <c r="L297" i="3" s="1"/>
  <c r="M297" i="3" s="1"/>
  <c r="N297" i="3" s="1"/>
  <c r="C285" i="3"/>
  <c r="C258" i="3"/>
  <c r="E258" i="3" s="1"/>
  <c r="F258" i="3" s="1"/>
  <c r="G258" i="3" s="1"/>
  <c r="C230" i="3"/>
  <c r="E230" i="3" s="1"/>
  <c r="F230" i="3" s="1"/>
  <c r="G230" i="3" s="1"/>
  <c r="C226" i="3"/>
  <c r="E226" i="3" s="1"/>
  <c r="F226" i="3" s="1"/>
  <c r="G226" i="3" s="1"/>
  <c r="C222" i="3"/>
  <c r="C218" i="3"/>
  <c r="C204" i="3"/>
  <c r="E204" i="3" s="1"/>
  <c r="F204" i="3" s="1"/>
  <c r="G204" i="3" s="1"/>
  <c r="C186" i="3"/>
  <c r="D186" i="3" s="1"/>
  <c r="C175" i="3"/>
  <c r="E175" i="3" s="1"/>
  <c r="F175" i="3" s="1"/>
  <c r="G175" i="3" s="1"/>
  <c r="C171" i="3"/>
  <c r="E171" i="3" s="1"/>
  <c r="F171" i="3" s="1"/>
  <c r="G171" i="3" s="1"/>
  <c r="C167" i="3"/>
  <c r="D167" i="3" s="1"/>
  <c r="C159" i="3"/>
  <c r="D159" i="3" s="1"/>
  <c r="C152" i="3"/>
  <c r="E152" i="3" s="1"/>
  <c r="F152" i="3" s="1"/>
  <c r="G152" i="3" s="1"/>
  <c r="K78" i="3"/>
  <c r="L78" i="3" s="1"/>
  <c r="M78" i="3" s="1"/>
  <c r="N78" i="3" s="1"/>
  <c r="C127" i="3"/>
  <c r="E127" i="3" s="1"/>
  <c r="F127" i="3" s="1"/>
  <c r="G127" i="3" s="1"/>
  <c r="C128" i="3"/>
  <c r="D128" i="3" s="1"/>
  <c r="C75" i="3"/>
  <c r="E75" i="3" s="1"/>
  <c r="F75" i="3" s="1"/>
  <c r="G75" i="3" s="1"/>
  <c r="C67" i="3"/>
  <c r="E67" i="3" s="1"/>
  <c r="F67" i="3" s="1"/>
  <c r="G67" i="3" s="1"/>
  <c r="C63" i="3"/>
  <c r="E63" i="3" s="1"/>
  <c r="F63" i="3" s="1"/>
  <c r="G63" i="3" s="1"/>
  <c r="C36" i="3"/>
  <c r="D36" i="3" s="1"/>
  <c r="C55" i="3"/>
  <c r="E55" i="3" s="1"/>
  <c r="F55" i="3" s="1"/>
  <c r="G55" i="3" s="1"/>
  <c r="C51" i="3"/>
  <c r="E51" i="3" s="1"/>
  <c r="F51" i="3" s="1"/>
  <c r="G51" i="3" s="1"/>
  <c r="C43" i="3"/>
  <c r="E43" i="3" s="1"/>
  <c r="F43" i="3" s="1"/>
  <c r="G43" i="3" s="1"/>
  <c r="C32" i="3"/>
  <c r="D32" i="3" s="1"/>
  <c r="C20" i="3"/>
  <c r="E20" i="3" s="1"/>
  <c r="F20" i="3" s="1"/>
  <c r="G20" i="3" s="1"/>
  <c r="C97" i="3"/>
  <c r="E97" i="3" s="1"/>
  <c r="F97" i="3" s="1"/>
  <c r="G97" i="3" s="1"/>
  <c r="C93" i="3"/>
  <c r="E93" i="3" s="1"/>
  <c r="F93" i="3" s="1"/>
  <c r="G93" i="3" s="1"/>
  <c r="C78" i="3"/>
  <c r="D78" i="3" s="1"/>
  <c r="C4" i="3"/>
  <c r="D4" i="3" s="1"/>
  <c r="C136" i="3"/>
  <c r="D136" i="3" s="1"/>
  <c r="C132" i="3"/>
  <c r="E132" i="3" s="1"/>
  <c r="F132" i="3" s="1"/>
  <c r="G132" i="3" s="1"/>
  <c r="K87" i="3"/>
  <c r="L87" i="3" s="1"/>
  <c r="M87" i="3" s="1"/>
  <c r="N87" i="3" s="1"/>
  <c r="K60" i="3"/>
  <c r="L60" i="3" s="1"/>
  <c r="M60" i="3" s="1"/>
  <c r="N60" i="3" s="1"/>
  <c r="C85" i="3"/>
  <c r="E85" i="3" s="1"/>
  <c r="F85" i="3" s="1"/>
  <c r="G85" i="3" s="1"/>
  <c r="C11" i="3"/>
  <c r="E11" i="3" s="1"/>
  <c r="F11" i="3" s="1"/>
  <c r="G11" i="3" s="1"/>
  <c r="C116" i="3"/>
  <c r="D116" i="3" s="1"/>
  <c r="C123" i="3"/>
  <c r="D123" i="3" s="1"/>
  <c r="C119" i="3"/>
  <c r="E119" i="3" s="1"/>
  <c r="F119" i="3" s="1"/>
  <c r="G119" i="3" s="1"/>
  <c r="C115" i="3"/>
  <c r="D115" i="3" s="1"/>
  <c r="C111" i="3"/>
  <c r="D111" i="3" s="1"/>
  <c r="C103" i="3"/>
  <c r="E103" i="3" s="1"/>
  <c r="F103" i="3" s="1"/>
  <c r="G103" i="3" s="1"/>
  <c r="C95" i="3"/>
  <c r="D95" i="3" s="1"/>
  <c r="C91" i="3"/>
  <c r="E91" i="3" s="1"/>
  <c r="F91" i="3" s="1"/>
  <c r="G91" i="3" s="1"/>
  <c r="C40" i="3"/>
  <c r="E40" i="3" s="1"/>
  <c r="F40" i="3" s="1"/>
  <c r="G40" i="3" s="1"/>
  <c r="C46" i="3"/>
  <c r="D46" i="3" s="1"/>
  <c r="C15" i="3"/>
  <c r="E15" i="3" s="1"/>
  <c r="F15" i="3" s="1"/>
  <c r="G15" i="3" s="1"/>
  <c r="C7" i="3"/>
  <c r="E7" i="3" s="1"/>
  <c r="F7" i="3" s="1"/>
  <c r="G7" i="3" s="1"/>
  <c r="C108" i="3"/>
  <c r="D108" i="3" s="1"/>
  <c r="C38" i="3"/>
  <c r="D38" i="3" s="1"/>
  <c r="C3" i="3"/>
  <c r="D3" i="3" s="1"/>
  <c r="C83" i="3"/>
  <c r="D83" i="3" s="1"/>
  <c r="C56" i="3"/>
  <c r="E56" i="3" s="1"/>
  <c r="F56" i="3" s="1"/>
  <c r="G56" i="3" s="1"/>
  <c r="C25" i="3"/>
  <c r="D25" i="3" s="1"/>
  <c r="C17" i="3"/>
  <c r="D17" i="3" s="1"/>
  <c r="C13" i="3"/>
  <c r="E13" i="3" s="1"/>
  <c r="F13" i="3" s="1"/>
  <c r="G13" i="3" s="1"/>
  <c r="C9" i="3"/>
  <c r="D9" i="3" s="1"/>
  <c r="C5" i="3"/>
  <c r="E5" i="3" s="1"/>
  <c r="F5" i="3" s="1"/>
  <c r="G5" i="3" s="1"/>
  <c r="K85" i="3"/>
  <c r="L85" i="3" s="1"/>
  <c r="M85" i="3" s="1"/>
  <c r="N85" i="3" s="1"/>
  <c r="K139" i="3"/>
  <c r="L139" i="3" s="1"/>
  <c r="M139" i="3" s="1"/>
  <c r="N139" i="3" s="1"/>
  <c r="K44" i="3"/>
  <c r="L44" i="3" s="1"/>
  <c r="M44" i="3" s="1"/>
  <c r="N44" i="3" s="1"/>
  <c r="K119" i="3"/>
  <c r="L119" i="3" s="1"/>
  <c r="M119" i="3" s="1"/>
  <c r="N119" i="3" s="1"/>
  <c r="K93" i="3"/>
  <c r="L93" i="3" s="1"/>
  <c r="M93" i="3" s="1"/>
  <c r="N93" i="3" s="1"/>
  <c r="K65" i="3"/>
  <c r="L65" i="3" s="1"/>
  <c r="M65" i="3" s="1"/>
  <c r="N65" i="3" s="1"/>
  <c r="K89" i="3"/>
  <c r="L89" i="3" s="1"/>
  <c r="M89" i="3" s="1"/>
  <c r="N89" i="3" s="1"/>
  <c r="K107" i="3"/>
  <c r="L107" i="3" s="1"/>
  <c r="M107" i="3" s="1"/>
  <c r="N107" i="3" s="1"/>
  <c r="K64" i="3"/>
  <c r="L64" i="3" s="1"/>
  <c r="M64" i="3" s="1"/>
  <c r="N64" i="3" s="1"/>
  <c r="K30" i="3"/>
  <c r="L30" i="3" s="1"/>
  <c r="M30" i="3" s="1"/>
  <c r="N30" i="3" s="1"/>
  <c r="K32" i="3"/>
  <c r="L32" i="3" s="1"/>
  <c r="M32" i="3" s="1"/>
  <c r="N32" i="3" s="1"/>
  <c r="J17" i="3"/>
  <c r="N17" i="3" s="1"/>
  <c r="J49" i="3"/>
  <c r="K49" i="3"/>
  <c r="L49" i="3" s="1"/>
  <c r="M49" i="3" s="1"/>
  <c r="K76" i="3"/>
  <c r="L76" i="3" s="1"/>
  <c r="M76" i="3" s="1"/>
  <c r="N76" i="3" s="1"/>
  <c r="K21" i="3"/>
  <c r="L21" i="3" s="1"/>
  <c r="M21" i="3" s="1"/>
  <c r="N21" i="3" s="1"/>
  <c r="K123" i="3"/>
  <c r="L123" i="3" s="1"/>
  <c r="M123" i="3" s="1"/>
  <c r="N123" i="3" s="1"/>
  <c r="K25" i="3"/>
  <c r="L25" i="3" s="1"/>
  <c r="M25" i="3" s="1"/>
  <c r="N25" i="3" s="1"/>
  <c r="K36" i="3"/>
  <c r="L36" i="3" s="1"/>
  <c r="M36" i="3" s="1"/>
  <c r="N36" i="3" s="1"/>
  <c r="K40" i="3"/>
  <c r="L40" i="3" s="1"/>
  <c r="M40" i="3" s="1"/>
  <c r="N40" i="3" s="1"/>
  <c r="I612" i="3"/>
  <c r="C599" i="3"/>
  <c r="D599" i="3" s="1"/>
  <c r="C590" i="3"/>
  <c r="E590" i="3" s="1"/>
  <c r="F590" i="3" s="1"/>
  <c r="C506" i="3"/>
  <c r="C464" i="3"/>
  <c r="D464" i="3" s="1"/>
  <c r="C621" i="3"/>
  <c r="D621" i="3" s="1"/>
  <c r="C619" i="3"/>
  <c r="D619" i="3" s="1"/>
  <c r="C601" i="3"/>
  <c r="D601" i="3" s="1"/>
  <c r="I596" i="3"/>
  <c r="K706" i="3"/>
  <c r="L706" i="3" s="1"/>
  <c r="K704" i="3"/>
  <c r="L704" i="3" s="1"/>
  <c r="I694" i="3"/>
  <c r="J694" i="3" s="1"/>
  <c r="K694" i="3"/>
  <c r="L694" i="3" s="1"/>
  <c r="I692" i="3"/>
  <c r="J692" i="3" s="1"/>
  <c r="K692" i="3"/>
  <c r="L692" i="3" s="1"/>
  <c r="I644" i="3"/>
  <c r="C626" i="3"/>
  <c r="I624" i="3"/>
  <c r="J624" i="3" s="1"/>
  <c r="K624" i="3"/>
  <c r="L624" i="3" s="1"/>
  <c r="K610" i="3"/>
  <c r="L610" i="3" s="1"/>
  <c r="C608" i="3"/>
  <c r="C602" i="3"/>
  <c r="C575" i="3"/>
  <c r="D575" i="3" s="1"/>
  <c r="C570" i="3"/>
  <c r="E570" i="3" s="1"/>
  <c r="F570" i="3" s="1"/>
  <c r="C565" i="3"/>
  <c r="C558" i="3"/>
  <c r="C535" i="3"/>
  <c r="D535" i="3" s="1"/>
  <c r="C526" i="3"/>
  <c r="C507" i="3"/>
  <c r="D507" i="3" s="1"/>
  <c r="C500" i="3"/>
  <c r="I490" i="3"/>
  <c r="J490" i="3" s="1"/>
  <c r="K490" i="3"/>
  <c r="L490" i="3" s="1"/>
  <c r="C467" i="3"/>
  <c r="E464" i="3"/>
  <c r="F464" i="3" s="1"/>
  <c r="C459" i="3"/>
  <c r="C452" i="3"/>
  <c r="D452" i="3" s="1"/>
  <c r="E452" i="3"/>
  <c r="F452" i="3" s="1"/>
  <c r="H452" i="3" s="1"/>
  <c r="C416" i="3"/>
  <c r="D416" i="3" s="1"/>
  <c r="E416" i="3"/>
  <c r="F416" i="3" s="1"/>
  <c r="I401" i="3"/>
  <c r="J401" i="3" s="1"/>
  <c r="K401" i="3"/>
  <c r="L401" i="3" s="1"/>
  <c r="C387" i="3"/>
  <c r="E387" i="3" s="1"/>
  <c r="F387" i="3" s="1"/>
  <c r="C363" i="3"/>
  <c r="E363" i="3" s="1"/>
  <c r="F363" i="3" s="1"/>
  <c r="C281" i="3"/>
  <c r="I261" i="3"/>
  <c r="C135" i="3"/>
  <c r="E135" i="3" s="1"/>
  <c r="F135" i="3" s="1"/>
  <c r="G135" i="3" s="1"/>
  <c r="K718" i="3"/>
  <c r="L718" i="3" s="1"/>
  <c r="K670" i="3"/>
  <c r="L670" i="3" s="1"/>
  <c r="K648" i="3"/>
  <c r="L648" i="3" s="1"/>
  <c r="I628" i="3"/>
  <c r="J628" i="3" s="1"/>
  <c r="K628" i="3"/>
  <c r="L628" i="3" s="1"/>
  <c r="C615" i="3"/>
  <c r="D615" i="3" s="1"/>
  <c r="C610" i="3"/>
  <c r="I608" i="3"/>
  <c r="J608" i="3" s="1"/>
  <c r="K608" i="3"/>
  <c r="L608" i="3" s="1"/>
  <c r="K594" i="3"/>
  <c r="L594" i="3" s="1"/>
  <c r="K584" i="3"/>
  <c r="L584" i="3" s="1"/>
  <c r="C583" i="3"/>
  <c r="D583" i="3" s="1"/>
  <c r="C581" i="3"/>
  <c r="D581" i="3" s="1"/>
  <c r="C579" i="3"/>
  <c r="D579" i="3" s="1"/>
  <c r="C577" i="3"/>
  <c r="D577" i="3" s="1"/>
  <c r="C564" i="3"/>
  <c r="E564" i="3" s="1"/>
  <c r="F564" i="3" s="1"/>
  <c r="C560" i="3"/>
  <c r="C534" i="3"/>
  <c r="I506" i="3"/>
  <c r="J506" i="3" s="1"/>
  <c r="C490" i="3"/>
  <c r="E490" i="3" s="1"/>
  <c r="F490" i="3" s="1"/>
  <c r="C487" i="3"/>
  <c r="D487" i="3" s="1"/>
  <c r="C485" i="3"/>
  <c r="C469" i="3"/>
  <c r="E461" i="3"/>
  <c r="F461" i="3" s="1"/>
  <c r="D461" i="3"/>
  <c r="C384" i="3"/>
  <c r="D384" i="3" s="1"/>
  <c r="C371" i="3"/>
  <c r="E371" i="3" s="1"/>
  <c r="F371" i="3" s="1"/>
  <c r="C368" i="3"/>
  <c r="D368" i="3" s="1"/>
  <c r="I329" i="3"/>
  <c r="J329" i="3" s="1"/>
  <c r="D321" i="3"/>
  <c r="C319" i="3"/>
  <c r="E319" i="3" s="1"/>
  <c r="F319" i="3" s="1"/>
  <c r="G319" i="3" s="1"/>
  <c r="C261" i="3"/>
  <c r="C208" i="3"/>
  <c r="D208" i="3" s="1"/>
  <c r="C109" i="3"/>
  <c r="K99" i="3"/>
  <c r="L99" i="3" s="1"/>
  <c r="M99" i="3" s="1"/>
  <c r="N99" i="3" s="1"/>
  <c r="I97" i="3"/>
  <c r="J97" i="3" s="1"/>
  <c r="J81" i="3"/>
  <c r="K81" i="3"/>
  <c r="L81" i="3" s="1"/>
  <c r="M81" i="3" s="1"/>
  <c r="C30" i="3"/>
  <c r="D30" i="3" s="1"/>
  <c r="I710" i="3"/>
  <c r="J710" i="3" s="1"/>
  <c r="C567" i="3"/>
  <c r="D567" i="3" s="1"/>
  <c r="I548" i="3"/>
  <c r="J548" i="3" s="1"/>
  <c r="K548" i="3"/>
  <c r="L548" i="3" s="1"/>
  <c r="C509" i="3"/>
  <c r="D509" i="3" s="1"/>
  <c r="I152" i="3"/>
  <c r="J152" i="3" s="1"/>
  <c r="C525" i="3"/>
  <c r="D525" i="3" s="1"/>
  <c r="C140" i="3"/>
  <c r="D140" i="3" s="1"/>
  <c r="C24" i="3"/>
  <c r="E24" i="3" s="1"/>
  <c r="F24" i="3" s="1"/>
  <c r="G24" i="3" s="1"/>
  <c r="C605" i="3"/>
  <c r="D605" i="3" s="1"/>
  <c r="C603" i="3"/>
  <c r="D603" i="3" s="1"/>
  <c r="C596" i="3"/>
  <c r="C574" i="3"/>
  <c r="E574" i="3" s="1"/>
  <c r="F574" i="3" s="1"/>
  <c r="C289" i="3"/>
  <c r="C283" i="3"/>
  <c r="E283" i="3" s="1"/>
  <c r="F283" i="3" s="1"/>
  <c r="G283" i="3" s="1"/>
  <c r="K148" i="3"/>
  <c r="L148" i="3" s="1"/>
  <c r="M148" i="3" s="1"/>
  <c r="N148" i="3" s="1"/>
  <c r="K686" i="3"/>
  <c r="L686" i="3" s="1"/>
  <c r="I672" i="3"/>
  <c r="J672" i="3" s="1"/>
  <c r="K672" i="3"/>
  <c r="L672" i="3" s="1"/>
  <c r="K658" i="3"/>
  <c r="L658" i="3" s="1"/>
  <c r="C625" i="3"/>
  <c r="D625" i="3" s="1"/>
  <c r="K606" i="3"/>
  <c r="L606" i="3" s="1"/>
  <c r="K588" i="3"/>
  <c r="L588" i="3" s="1"/>
  <c r="I586" i="3"/>
  <c r="C576" i="3"/>
  <c r="C571" i="3"/>
  <c r="D571" i="3" s="1"/>
  <c r="K556" i="3"/>
  <c r="L556" i="3" s="1"/>
  <c r="I554" i="3"/>
  <c r="I538" i="3"/>
  <c r="J538" i="3" s="1"/>
  <c r="K538" i="3"/>
  <c r="L538" i="3" s="1"/>
  <c r="C533" i="3"/>
  <c r="D533" i="3" s="1"/>
  <c r="C529" i="3"/>
  <c r="D529" i="3" s="1"/>
  <c r="C527" i="3"/>
  <c r="D527" i="3" s="1"/>
  <c r="C517" i="3"/>
  <c r="D517" i="3" s="1"/>
  <c r="C515" i="3"/>
  <c r="D515" i="3" s="1"/>
  <c r="C513" i="3"/>
  <c r="D513" i="3" s="1"/>
  <c r="C498" i="3"/>
  <c r="C494" i="3"/>
  <c r="C477" i="3"/>
  <c r="D477" i="3" s="1"/>
  <c r="E441" i="3"/>
  <c r="F441" i="3" s="1"/>
  <c r="D441" i="3"/>
  <c r="H441" i="3" s="1"/>
  <c r="I405" i="3"/>
  <c r="I345" i="3"/>
  <c r="C336" i="3"/>
  <c r="D336" i="3" s="1"/>
  <c r="C323" i="3"/>
  <c r="E323" i="3" s="1"/>
  <c r="F323" i="3" s="1"/>
  <c r="G323" i="3" s="1"/>
  <c r="K317" i="3"/>
  <c r="L317" i="3" s="1"/>
  <c r="M317" i="3" s="1"/>
  <c r="N317" i="3" s="1"/>
  <c r="C88" i="3"/>
  <c r="D88" i="3" s="1"/>
  <c r="C33" i="3"/>
  <c r="I708" i="3"/>
  <c r="C617" i="3"/>
  <c r="D617" i="3" s="1"/>
  <c r="I492" i="3"/>
  <c r="J492" i="3" s="1"/>
  <c r="K492" i="3"/>
  <c r="L492" i="3" s="1"/>
  <c r="C518" i="3"/>
  <c r="C492" i="3"/>
  <c r="I417" i="3"/>
  <c r="I726" i="3"/>
  <c r="J726" i="3" s="1"/>
  <c r="K726" i="3"/>
  <c r="L726" i="3" s="1"/>
  <c r="C435" i="3"/>
  <c r="D435" i="3" s="1"/>
  <c r="C420" i="3"/>
  <c r="C240" i="3"/>
  <c r="C235" i="3"/>
  <c r="D235" i="3" s="1"/>
  <c r="I151" i="3"/>
  <c r="J151" i="3" s="1"/>
  <c r="K680" i="3"/>
  <c r="L680" i="3" s="1"/>
  <c r="I678" i="3"/>
  <c r="J678" i="3" s="1"/>
  <c r="K678" i="3"/>
  <c r="L678" i="3" s="1"/>
  <c r="I676" i="3"/>
  <c r="I656" i="3"/>
  <c r="J656" i="3" s="1"/>
  <c r="K656" i="3"/>
  <c r="L656" i="3" s="1"/>
  <c r="K642" i="3"/>
  <c r="L642" i="3" s="1"/>
  <c r="C609" i="3"/>
  <c r="D609" i="3" s="1"/>
  <c r="C588" i="3"/>
  <c r="E588" i="3" s="1"/>
  <c r="F588" i="3" s="1"/>
  <c r="C563" i="3"/>
  <c r="D563" i="3" s="1"/>
  <c r="C554" i="3"/>
  <c r="K532" i="3"/>
  <c r="L532" i="3" s="1"/>
  <c r="C481" i="3"/>
  <c r="D481" i="3" s="1"/>
  <c r="E473" i="3"/>
  <c r="F473" i="3" s="1"/>
  <c r="H473" i="3" s="1"/>
  <c r="D473" i="3"/>
  <c r="C460" i="3"/>
  <c r="D460" i="3" s="1"/>
  <c r="E460" i="3"/>
  <c r="F460" i="3" s="1"/>
  <c r="C448" i="3"/>
  <c r="C419" i="3"/>
  <c r="C408" i="3"/>
  <c r="D408" i="3" s="1"/>
  <c r="C380" i="3"/>
  <c r="D380" i="3" s="1"/>
  <c r="D377" i="3"/>
  <c r="H377" i="3" s="1"/>
  <c r="C375" i="3"/>
  <c r="E375" i="3" s="1"/>
  <c r="F375" i="3" s="1"/>
  <c r="C345" i="3"/>
  <c r="I341" i="3"/>
  <c r="C311" i="3"/>
  <c r="E311" i="3" s="1"/>
  <c r="F311" i="3" s="1"/>
  <c r="G311" i="3" s="1"/>
  <c r="C251" i="3"/>
  <c r="D251" i="3" s="1"/>
  <c r="C239" i="3"/>
  <c r="D239" i="3" s="1"/>
  <c r="C196" i="3"/>
  <c r="D196" i="3" s="1"/>
  <c r="C77" i="3"/>
  <c r="D77" i="3" s="1"/>
  <c r="C572" i="3"/>
  <c r="C542" i="3"/>
  <c r="E542" i="3" s="1"/>
  <c r="F542" i="3" s="1"/>
  <c r="I461" i="3"/>
  <c r="J461" i="3" s="1"/>
  <c r="K461" i="3"/>
  <c r="L461" i="3" s="1"/>
  <c r="C433" i="3"/>
  <c r="C415" i="3"/>
  <c r="E397" i="3"/>
  <c r="F397" i="3" s="1"/>
  <c r="D397" i="3"/>
  <c r="H397" i="3" s="1"/>
  <c r="J111" i="3"/>
  <c r="K111" i="3"/>
  <c r="L111" i="3" s="1"/>
  <c r="M111" i="3" s="1"/>
  <c r="C612" i="3"/>
  <c r="D612" i="3" s="1"/>
  <c r="C544" i="3"/>
  <c r="I397" i="3"/>
  <c r="J397" i="3" s="1"/>
  <c r="K397" i="3"/>
  <c r="L397" i="3" s="1"/>
  <c r="C367" i="3"/>
  <c r="E367" i="3" s="1"/>
  <c r="F367" i="3" s="1"/>
  <c r="C331" i="3"/>
  <c r="E331" i="3" s="1"/>
  <c r="F331" i="3" s="1"/>
  <c r="G331" i="3" s="1"/>
  <c r="C270" i="3"/>
  <c r="D270" i="3" s="1"/>
  <c r="E232" i="3"/>
  <c r="F232" i="3" s="1"/>
  <c r="G232" i="3" s="1"/>
  <c r="D232" i="3"/>
  <c r="C143" i="3"/>
  <c r="E143" i="3" s="1"/>
  <c r="F143" i="3" s="1"/>
  <c r="G143" i="3" s="1"/>
  <c r="C19" i="3"/>
  <c r="E19" i="3" s="1"/>
  <c r="F19" i="3" s="1"/>
  <c r="G19" i="3" s="1"/>
  <c r="I724" i="3"/>
  <c r="J724" i="3" s="1"/>
  <c r="K724" i="3"/>
  <c r="L724" i="3" s="1"/>
  <c r="C531" i="3"/>
  <c r="D531" i="3" s="1"/>
  <c r="C520" i="3"/>
  <c r="E520" i="3" s="1"/>
  <c r="F520" i="3" s="1"/>
  <c r="C511" i="3"/>
  <c r="D511" i="3" s="1"/>
  <c r="I508" i="3"/>
  <c r="I494" i="3"/>
  <c r="J494" i="3" s="1"/>
  <c r="C444" i="3"/>
  <c r="D444" i="3" s="1"/>
  <c r="E444" i="3"/>
  <c r="F444" i="3" s="1"/>
  <c r="K702" i="3"/>
  <c r="L702" i="3" s="1"/>
  <c r="I660" i="3"/>
  <c r="J660" i="3" s="1"/>
  <c r="K660" i="3"/>
  <c r="L660" i="3" s="1"/>
  <c r="I640" i="3"/>
  <c r="J640" i="3" s="1"/>
  <c r="K640" i="3"/>
  <c r="L640" i="3" s="1"/>
  <c r="C618" i="3"/>
  <c r="C593" i="3"/>
  <c r="C573" i="3"/>
  <c r="D573" i="3" s="1"/>
  <c r="C556" i="3"/>
  <c r="I540" i="3"/>
  <c r="C519" i="3"/>
  <c r="D519" i="3" s="1"/>
  <c r="I504" i="3"/>
  <c r="C483" i="3"/>
  <c r="D483" i="3" s="1"/>
  <c r="I473" i="3"/>
  <c r="J473" i="3" s="1"/>
  <c r="C457" i="3"/>
  <c r="C385" i="3"/>
  <c r="C352" i="3"/>
  <c r="C341" i="3"/>
  <c r="C265" i="3"/>
  <c r="C168" i="3"/>
  <c r="E168" i="3" s="1"/>
  <c r="F168" i="3" s="1"/>
  <c r="G168" i="3" s="1"/>
  <c r="C160" i="3"/>
  <c r="D160" i="3" s="1"/>
  <c r="C66" i="3"/>
  <c r="D66" i="3" s="1"/>
  <c r="C623" i="3"/>
  <c r="D623" i="3" s="1"/>
  <c r="C607" i="3"/>
  <c r="D607" i="3" s="1"/>
  <c r="C591" i="3"/>
  <c r="D591" i="3" s="1"/>
  <c r="C589" i="3"/>
  <c r="D589" i="3" s="1"/>
  <c r="C587" i="3"/>
  <c r="D587" i="3" s="1"/>
  <c r="C528" i="3"/>
  <c r="I496" i="3"/>
  <c r="I469" i="3"/>
  <c r="J469" i="3" s="1"/>
  <c r="E417" i="3"/>
  <c r="F417" i="3" s="1"/>
  <c r="D417" i="3"/>
  <c r="C409" i="3"/>
  <c r="E405" i="3"/>
  <c r="F405" i="3" s="1"/>
  <c r="D405" i="3"/>
  <c r="C401" i="3"/>
  <c r="C395" i="3"/>
  <c r="E395" i="3" s="1"/>
  <c r="F395" i="3" s="1"/>
  <c r="I365" i="3"/>
  <c r="J365" i="3" s="1"/>
  <c r="K365" i="3"/>
  <c r="L365" i="3" s="1"/>
  <c r="C360" i="3"/>
  <c r="D360" i="3" s="1"/>
  <c r="E360" i="3"/>
  <c r="F360" i="3" s="1"/>
  <c r="C325" i="3"/>
  <c r="C320" i="3"/>
  <c r="D320" i="3" s="1"/>
  <c r="C293" i="3"/>
  <c r="I281" i="3"/>
  <c r="J281" i="3" s="1"/>
  <c r="C192" i="3"/>
  <c r="D192" i="3" s="1"/>
  <c r="I155" i="3"/>
  <c r="J155" i="3" s="1"/>
  <c r="C62" i="3"/>
  <c r="D62" i="3" s="1"/>
  <c r="I29" i="3"/>
  <c r="J29" i="3" s="1"/>
  <c r="K26" i="3"/>
  <c r="L26" i="3" s="1"/>
  <c r="M26" i="3" s="1"/>
  <c r="N26" i="3" s="1"/>
  <c r="C489" i="3"/>
  <c r="I480" i="3"/>
  <c r="J480" i="3" s="1"/>
  <c r="C476" i="3"/>
  <c r="D476" i="3" s="1"/>
  <c r="E476" i="3"/>
  <c r="F476" i="3" s="1"/>
  <c r="C468" i="3"/>
  <c r="D468" i="3" s="1"/>
  <c r="E468" i="3"/>
  <c r="F468" i="3" s="1"/>
  <c r="I465" i="3"/>
  <c r="J465" i="3" s="1"/>
  <c r="E453" i="3"/>
  <c r="F453" i="3" s="1"/>
  <c r="D453" i="3"/>
  <c r="H453" i="3" s="1"/>
  <c r="C407" i="3"/>
  <c r="E407" i="3" s="1"/>
  <c r="F407" i="3" s="1"/>
  <c r="C391" i="3"/>
  <c r="E391" i="3" s="1"/>
  <c r="F391" i="3" s="1"/>
  <c r="E381" i="3"/>
  <c r="F381" i="3" s="1"/>
  <c r="D381" i="3"/>
  <c r="C379" i="3"/>
  <c r="E379" i="3" s="1"/>
  <c r="F379" i="3" s="1"/>
  <c r="C372" i="3"/>
  <c r="D372" i="3" s="1"/>
  <c r="E372" i="3"/>
  <c r="F372" i="3" s="1"/>
  <c r="I369" i="3"/>
  <c r="J369" i="3" s="1"/>
  <c r="C242" i="3"/>
  <c r="E242" i="3" s="1"/>
  <c r="F242" i="3" s="1"/>
  <c r="G242" i="3" s="1"/>
  <c r="C177" i="3"/>
  <c r="D177" i="3" s="1"/>
  <c r="I127" i="3"/>
  <c r="J127" i="3" s="1"/>
  <c r="C47" i="3"/>
  <c r="E47" i="3" s="1"/>
  <c r="F47" i="3" s="1"/>
  <c r="G47" i="3" s="1"/>
  <c r="K662" i="3"/>
  <c r="L662" i="3" s="1"/>
  <c r="K646" i="3"/>
  <c r="L646" i="3" s="1"/>
  <c r="K630" i="3"/>
  <c r="L630" i="3" s="1"/>
  <c r="K614" i="3"/>
  <c r="L614" i="3" s="1"/>
  <c r="C613" i="3"/>
  <c r="D613" i="3" s="1"/>
  <c r="K598" i="3"/>
  <c r="L598" i="3" s="1"/>
  <c r="C597" i="3"/>
  <c r="D597" i="3" s="1"/>
  <c r="K566" i="3"/>
  <c r="L566" i="3" s="1"/>
  <c r="K564" i="3"/>
  <c r="L564" i="3" s="1"/>
  <c r="K562" i="3"/>
  <c r="L562" i="3" s="1"/>
  <c r="C561" i="3"/>
  <c r="C549" i="3"/>
  <c r="D549" i="3" s="1"/>
  <c r="C547" i="3"/>
  <c r="D547" i="3" s="1"/>
  <c r="C541" i="3"/>
  <c r="D541" i="3" s="1"/>
  <c r="K536" i="3"/>
  <c r="L536" i="3" s="1"/>
  <c r="K534" i="3"/>
  <c r="L534" i="3" s="1"/>
  <c r="I524" i="3"/>
  <c r="J524" i="3" s="1"/>
  <c r="K524" i="3"/>
  <c r="L524" i="3" s="1"/>
  <c r="I522" i="3"/>
  <c r="J522" i="3" s="1"/>
  <c r="K522" i="3"/>
  <c r="L522" i="3" s="1"/>
  <c r="C510" i="3"/>
  <c r="E510" i="3" s="1"/>
  <c r="F510" i="3" s="1"/>
  <c r="C505" i="3"/>
  <c r="D505" i="3" s="1"/>
  <c r="C493" i="3"/>
  <c r="D493" i="3" s="1"/>
  <c r="C491" i="3"/>
  <c r="D491" i="3" s="1"/>
  <c r="C456" i="3"/>
  <c r="D456" i="3" s="1"/>
  <c r="I453" i="3"/>
  <c r="J453" i="3" s="1"/>
  <c r="C412" i="3"/>
  <c r="D412" i="3" s="1"/>
  <c r="I393" i="3"/>
  <c r="J393" i="3" s="1"/>
  <c r="C361" i="3"/>
  <c r="C324" i="3"/>
  <c r="I313" i="3"/>
  <c r="J313" i="3" s="1"/>
  <c r="C210" i="3"/>
  <c r="D210" i="3" s="1"/>
  <c r="C172" i="3"/>
  <c r="D172" i="3" s="1"/>
  <c r="C616" i="3"/>
  <c r="C611" i="3"/>
  <c r="D611" i="3" s="1"/>
  <c r="C600" i="3"/>
  <c r="C595" i="3"/>
  <c r="D595" i="3" s="1"/>
  <c r="I570" i="3"/>
  <c r="J570" i="3" s="1"/>
  <c r="K570" i="3"/>
  <c r="L570" i="3" s="1"/>
  <c r="C568" i="3"/>
  <c r="E568" i="3" s="1"/>
  <c r="F568" i="3" s="1"/>
  <c r="C559" i="3"/>
  <c r="D559" i="3" s="1"/>
  <c r="C557" i="3"/>
  <c r="D557" i="3" s="1"/>
  <c r="C555" i="3"/>
  <c r="D555" i="3" s="1"/>
  <c r="C551" i="3"/>
  <c r="D551" i="3" s="1"/>
  <c r="C545" i="3"/>
  <c r="C543" i="3"/>
  <c r="D543" i="3" s="1"/>
  <c r="C540" i="3"/>
  <c r="C538" i="3"/>
  <c r="C512" i="3"/>
  <c r="K500" i="3"/>
  <c r="L500" i="3" s="1"/>
  <c r="K498" i="3"/>
  <c r="L498" i="3" s="1"/>
  <c r="C475" i="3"/>
  <c r="E429" i="3"/>
  <c r="F429" i="3" s="1"/>
  <c r="D429" i="3"/>
  <c r="C411" i="3"/>
  <c r="C396" i="3"/>
  <c r="D396" i="3" s="1"/>
  <c r="C393" i="3"/>
  <c r="C356" i="3"/>
  <c r="C343" i="3"/>
  <c r="E343" i="3" s="1"/>
  <c r="F343" i="3" s="1"/>
  <c r="G343" i="3" s="1"/>
  <c r="C337" i="3"/>
  <c r="C333" i="3"/>
  <c r="C328" i="3"/>
  <c r="C315" i="3"/>
  <c r="E315" i="3" s="1"/>
  <c r="F315" i="3" s="1"/>
  <c r="G315" i="3" s="1"/>
  <c r="C263" i="3"/>
  <c r="C223" i="3"/>
  <c r="D223" i="3" s="1"/>
  <c r="C185" i="3"/>
  <c r="D185" i="3" s="1"/>
  <c r="I135" i="3"/>
  <c r="J135" i="3" s="1"/>
  <c r="C98" i="3"/>
  <c r="D98" i="3" s="1"/>
  <c r="I83" i="3"/>
  <c r="J83" i="3" s="1"/>
  <c r="C60" i="3"/>
  <c r="D60" i="3" s="1"/>
  <c r="C455" i="3"/>
  <c r="C440" i="3"/>
  <c r="C432" i="3"/>
  <c r="C428" i="3"/>
  <c r="E425" i="3"/>
  <c r="F425" i="3" s="1"/>
  <c r="D425" i="3"/>
  <c r="C421" i="3"/>
  <c r="C388" i="3"/>
  <c r="C383" i="3"/>
  <c r="E383" i="3" s="1"/>
  <c r="F383" i="3" s="1"/>
  <c r="C373" i="3"/>
  <c r="C353" i="3"/>
  <c r="C349" i="3"/>
  <c r="C332" i="3"/>
  <c r="D332" i="3" s="1"/>
  <c r="C317" i="3"/>
  <c r="I285" i="3"/>
  <c r="J285" i="3" s="1"/>
  <c r="C275" i="3"/>
  <c r="E275" i="3" s="1"/>
  <c r="F275" i="3" s="1"/>
  <c r="G275" i="3" s="1"/>
  <c r="C273" i="3"/>
  <c r="C271" i="3"/>
  <c r="E271" i="3" s="1"/>
  <c r="F271" i="3" s="1"/>
  <c r="G271" i="3" s="1"/>
  <c r="C267" i="3"/>
  <c r="D267" i="3" s="1"/>
  <c r="C260" i="3"/>
  <c r="D260" i="3" s="1"/>
  <c r="C212" i="3"/>
  <c r="E212" i="3" s="1"/>
  <c r="F212" i="3" s="1"/>
  <c r="G212" i="3" s="1"/>
  <c r="C207" i="3"/>
  <c r="C194" i="3"/>
  <c r="E194" i="3" s="1"/>
  <c r="F194" i="3" s="1"/>
  <c r="G194" i="3" s="1"/>
  <c r="C176" i="3"/>
  <c r="D176" i="3" s="1"/>
  <c r="K161" i="3"/>
  <c r="L161" i="3" s="1"/>
  <c r="M161" i="3" s="1"/>
  <c r="N161" i="3" s="1"/>
  <c r="K156" i="3"/>
  <c r="L156" i="3" s="1"/>
  <c r="M156" i="3" s="1"/>
  <c r="J156" i="3"/>
  <c r="C151" i="3"/>
  <c r="E151" i="3" s="1"/>
  <c r="F151" i="3" s="1"/>
  <c r="G151" i="3" s="1"/>
  <c r="C113" i="3"/>
  <c r="D113" i="3" s="1"/>
  <c r="C90" i="3"/>
  <c r="C64" i="3"/>
  <c r="D64" i="3" s="1"/>
  <c r="C255" i="3"/>
  <c r="D255" i="3" s="1"/>
  <c r="C243" i="3"/>
  <c r="D243" i="3" s="1"/>
  <c r="C227" i="3"/>
  <c r="D227" i="3" s="1"/>
  <c r="C215" i="3"/>
  <c r="D215" i="3" s="1"/>
  <c r="C178" i="3"/>
  <c r="E178" i="3" s="1"/>
  <c r="F178" i="3" s="1"/>
  <c r="G178" i="3" s="1"/>
  <c r="C71" i="3"/>
  <c r="E71" i="3" s="1"/>
  <c r="F71" i="3" s="1"/>
  <c r="G71" i="3" s="1"/>
  <c r="I50" i="3"/>
  <c r="J50" i="3" s="1"/>
  <c r="I46" i="3"/>
  <c r="J46" i="3" s="1"/>
  <c r="C539" i="3"/>
  <c r="D539" i="3" s="1"/>
  <c r="C523" i="3"/>
  <c r="D523" i="3" s="1"/>
  <c r="C503" i="3"/>
  <c r="D503" i="3" s="1"/>
  <c r="C484" i="3"/>
  <c r="C427" i="3"/>
  <c r="C344" i="3"/>
  <c r="C340" i="3"/>
  <c r="I321" i="3"/>
  <c r="J321" i="3" s="1"/>
  <c r="C287" i="3"/>
  <c r="E287" i="3" s="1"/>
  <c r="F287" i="3" s="1"/>
  <c r="G287" i="3" s="1"/>
  <c r="I277" i="3"/>
  <c r="C231" i="3"/>
  <c r="D231" i="3" s="1"/>
  <c r="C199" i="3"/>
  <c r="D199" i="3" s="1"/>
  <c r="K164" i="3"/>
  <c r="L164" i="3" s="1"/>
  <c r="M164" i="3" s="1"/>
  <c r="J164" i="3"/>
  <c r="K144" i="3"/>
  <c r="L144" i="3" s="1"/>
  <c r="M144" i="3" s="1"/>
  <c r="N144" i="3" s="1"/>
  <c r="C104" i="3"/>
  <c r="C82" i="3"/>
  <c r="D82" i="3" s="1"/>
  <c r="I70" i="3"/>
  <c r="J70" i="3" s="1"/>
  <c r="C585" i="3"/>
  <c r="D585" i="3" s="1"/>
  <c r="C569" i="3"/>
  <c r="D569" i="3" s="1"/>
  <c r="C553" i="3"/>
  <c r="C537" i="3"/>
  <c r="D537" i="3" s="1"/>
  <c r="C521" i="3"/>
  <c r="D521" i="3" s="1"/>
  <c r="C501" i="3"/>
  <c r="D501" i="3" s="1"/>
  <c r="C499" i="3"/>
  <c r="D499" i="3" s="1"/>
  <c r="H499" i="3" s="1"/>
  <c r="C497" i="3"/>
  <c r="D497" i="3" s="1"/>
  <c r="C437" i="3"/>
  <c r="C357" i="3"/>
  <c r="I309" i="3"/>
  <c r="J309" i="3" s="1"/>
  <c r="C266" i="3"/>
  <c r="C247" i="3"/>
  <c r="D247" i="3" s="1"/>
  <c r="C219" i="3"/>
  <c r="D219" i="3" s="1"/>
  <c r="C201" i="3"/>
  <c r="D201" i="3" s="1"/>
  <c r="K168" i="3"/>
  <c r="L168" i="3" s="1"/>
  <c r="M168" i="3" s="1"/>
  <c r="J168" i="3"/>
  <c r="C147" i="3"/>
  <c r="D147" i="3" s="1"/>
  <c r="C125" i="3"/>
  <c r="D125" i="3" s="1"/>
  <c r="C120" i="3"/>
  <c r="D120" i="3" s="1"/>
  <c r="K115" i="3"/>
  <c r="L115" i="3" s="1"/>
  <c r="M115" i="3" s="1"/>
  <c r="N115" i="3" s="1"/>
  <c r="C94" i="3"/>
  <c r="I77" i="3"/>
  <c r="J77" i="3" s="1"/>
  <c r="K48" i="3"/>
  <c r="L48" i="3" s="1"/>
  <c r="M48" i="3" s="1"/>
  <c r="N48" i="3" s="1"/>
  <c r="C424" i="3"/>
  <c r="C404" i="3"/>
  <c r="C400" i="3"/>
  <c r="D400" i="3" s="1"/>
  <c r="C376" i="3"/>
  <c r="C348" i="3"/>
  <c r="D348" i="3" s="1"/>
  <c r="C301" i="3"/>
  <c r="C295" i="3"/>
  <c r="E295" i="3" s="1"/>
  <c r="F295" i="3" s="1"/>
  <c r="G295" i="3" s="1"/>
  <c r="C269" i="3"/>
  <c r="C268" i="3"/>
  <c r="C259" i="3"/>
  <c r="D259" i="3" s="1"/>
  <c r="C256" i="3"/>
  <c r="C254" i="3"/>
  <c r="E254" i="3" s="1"/>
  <c r="F254" i="3" s="1"/>
  <c r="G254" i="3" s="1"/>
  <c r="C250" i="3"/>
  <c r="C246" i="3"/>
  <c r="K211" i="3"/>
  <c r="L211" i="3" s="1"/>
  <c r="M211" i="3" s="1"/>
  <c r="N211" i="3" s="1"/>
  <c r="C209" i="3"/>
  <c r="C191" i="3"/>
  <c r="I182" i="3"/>
  <c r="K131" i="3"/>
  <c r="L131" i="3" s="1"/>
  <c r="M131" i="3" s="1"/>
  <c r="N131" i="3" s="1"/>
  <c r="C124" i="3"/>
  <c r="C99" i="3"/>
  <c r="I95" i="3"/>
  <c r="J95" i="3" s="1"/>
  <c r="I91" i="3"/>
  <c r="J91" i="3" s="1"/>
  <c r="C87" i="3"/>
  <c r="D87" i="3" s="1"/>
  <c r="C48" i="3"/>
  <c r="D48" i="3" s="1"/>
  <c r="C23" i="3"/>
  <c r="E23" i="3" s="1"/>
  <c r="F23" i="3" s="1"/>
  <c r="G23" i="3" s="1"/>
  <c r="C216" i="3"/>
  <c r="C193" i="3"/>
  <c r="C188" i="3"/>
  <c r="D188" i="3" s="1"/>
  <c r="K170" i="3"/>
  <c r="L170" i="3" s="1"/>
  <c r="M170" i="3" s="1"/>
  <c r="N170" i="3" s="1"/>
  <c r="C169" i="3"/>
  <c r="C156" i="3"/>
  <c r="D156" i="3" s="1"/>
  <c r="K143" i="3"/>
  <c r="L143" i="3" s="1"/>
  <c r="M143" i="3" s="1"/>
  <c r="N143" i="3" s="1"/>
  <c r="I136" i="3"/>
  <c r="C131" i="3"/>
  <c r="D131" i="3" s="1"/>
  <c r="C112" i="3"/>
  <c r="C81" i="3"/>
  <c r="C61" i="3"/>
  <c r="K56" i="3"/>
  <c r="L56" i="3" s="1"/>
  <c r="M56" i="3" s="1"/>
  <c r="J56" i="3"/>
  <c r="I54" i="3"/>
  <c r="C35" i="3"/>
  <c r="D35" i="3" s="1"/>
  <c r="C28" i="3"/>
  <c r="E28" i="3" s="1"/>
  <c r="F28" i="3" s="1"/>
  <c r="G28" i="3" s="1"/>
  <c r="J22" i="3"/>
  <c r="K22" i="3"/>
  <c r="L22" i="3" s="1"/>
  <c r="M22" i="3" s="1"/>
  <c r="C18" i="3"/>
  <c r="D18" i="3" s="1"/>
  <c r="J103" i="3"/>
  <c r="K103" i="3"/>
  <c r="L103" i="3" s="1"/>
  <c r="M103" i="3" s="1"/>
  <c r="C89" i="3"/>
  <c r="E89" i="3" s="1"/>
  <c r="F89" i="3" s="1"/>
  <c r="G89" i="3" s="1"/>
  <c r="C65" i="3"/>
  <c r="D65" i="3" s="1"/>
  <c r="C59" i="3"/>
  <c r="C39" i="3"/>
  <c r="D39" i="3" s="1"/>
  <c r="C495" i="3"/>
  <c r="D495" i="3" s="1"/>
  <c r="C479" i="3"/>
  <c r="D479" i="3" s="1"/>
  <c r="C472" i="3"/>
  <c r="C436" i="3"/>
  <c r="K429" i="3"/>
  <c r="L429" i="3" s="1"/>
  <c r="C392" i="3"/>
  <c r="C364" i="3"/>
  <c r="D364" i="3" s="1"/>
  <c r="K361" i="3"/>
  <c r="L361" i="3" s="1"/>
  <c r="K337" i="3"/>
  <c r="L337" i="3" s="1"/>
  <c r="M337" i="3" s="1"/>
  <c r="N337" i="3" s="1"/>
  <c r="K305" i="3"/>
  <c r="L305" i="3" s="1"/>
  <c r="M305" i="3" s="1"/>
  <c r="N305" i="3" s="1"/>
  <c r="K273" i="3"/>
  <c r="L273" i="3" s="1"/>
  <c r="M273" i="3" s="1"/>
  <c r="N273" i="3" s="1"/>
  <c r="K147" i="3"/>
  <c r="L147" i="3" s="1"/>
  <c r="M147" i="3" s="1"/>
  <c r="N147" i="3" s="1"/>
  <c r="K140" i="3"/>
  <c r="L140" i="3" s="1"/>
  <c r="M140" i="3" s="1"/>
  <c r="N140" i="3" s="1"/>
  <c r="C100" i="3"/>
  <c r="C86" i="3"/>
  <c r="D86" i="3" s="1"/>
  <c r="K80" i="3"/>
  <c r="L80" i="3" s="1"/>
  <c r="M80" i="3" s="1"/>
  <c r="N80" i="3" s="1"/>
  <c r="K66" i="3"/>
  <c r="L66" i="3" s="1"/>
  <c r="M66" i="3" s="1"/>
  <c r="N66" i="3" s="1"/>
  <c r="I34" i="3"/>
  <c r="J34" i="3" s="1"/>
  <c r="C27" i="3"/>
  <c r="E27" i="3" s="1"/>
  <c r="F27" i="3" s="1"/>
  <c r="G27" i="3" s="1"/>
  <c r="C129" i="3"/>
  <c r="D129" i="3" s="1"/>
  <c r="K18" i="3"/>
  <c r="L18" i="3" s="1"/>
  <c r="M18" i="3" s="1"/>
  <c r="N18" i="3" s="1"/>
  <c r="C84" i="3"/>
  <c r="C69" i="3"/>
  <c r="C10" i="3"/>
  <c r="C262" i="3"/>
  <c r="D262" i="3" s="1"/>
  <c r="C181" i="3"/>
  <c r="C165" i="3"/>
  <c r="D165" i="3" s="1"/>
  <c r="C163" i="3"/>
  <c r="C155" i="3"/>
  <c r="D155" i="3" s="1"/>
  <c r="C144" i="3"/>
  <c r="C139" i="3"/>
  <c r="D139" i="3" s="1"/>
  <c r="C107" i="3"/>
  <c r="E107" i="3" s="1"/>
  <c r="F107" i="3" s="1"/>
  <c r="G107" i="3" s="1"/>
  <c r="C79" i="3"/>
  <c r="E79" i="3" s="1"/>
  <c r="F79" i="3" s="1"/>
  <c r="G79" i="3" s="1"/>
  <c r="C76" i="3"/>
  <c r="D76" i="3" s="1"/>
  <c r="C72" i="3"/>
  <c r="D72" i="3" s="1"/>
  <c r="C50" i="3"/>
  <c r="D50" i="3" s="1"/>
  <c r="C49" i="3"/>
  <c r="D49" i="3" s="1"/>
  <c r="C44" i="3"/>
  <c r="C34" i="3"/>
  <c r="E34" i="3" s="1"/>
  <c r="F34" i="3" s="1"/>
  <c r="G34" i="3" s="1"/>
  <c r="C31" i="3"/>
  <c r="D31" i="3" s="1"/>
  <c r="C21" i="3"/>
  <c r="D21" i="3" s="1"/>
  <c r="C12" i="3"/>
  <c r="D12" i="3" s="1"/>
  <c r="C45" i="3"/>
  <c r="K3" i="3"/>
  <c r="L3" i="3" s="1"/>
  <c r="M3" i="3" s="1"/>
  <c r="N3" i="3" s="1"/>
  <c r="H491" i="3"/>
  <c r="H689" i="3"/>
  <c r="H617" i="3"/>
  <c r="H611" i="3"/>
  <c r="H729" i="3"/>
  <c r="H665" i="3"/>
  <c r="H695" i="3"/>
  <c r="D734" i="3"/>
  <c r="H734" i="3" s="1"/>
  <c r="E734" i="3"/>
  <c r="F734" i="3" s="1"/>
  <c r="D730" i="3"/>
  <c r="E730" i="3"/>
  <c r="F730" i="3" s="1"/>
  <c r="D726" i="3"/>
  <c r="H726" i="3" s="1"/>
  <c r="E726" i="3"/>
  <c r="F726" i="3" s="1"/>
  <c r="D722" i="3"/>
  <c r="E722" i="3"/>
  <c r="F722" i="3" s="1"/>
  <c r="D718" i="3"/>
  <c r="H718" i="3" s="1"/>
  <c r="E718" i="3"/>
  <c r="F718" i="3" s="1"/>
  <c r="D714" i="3"/>
  <c r="E714" i="3"/>
  <c r="F714" i="3" s="1"/>
  <c r="D712" i="3"/>
  <c r="H712" i="3" s="1"/>
  <c r="E712" i="3"/>
  <c r="F712" i="3" s="1"/>
  <c r="D706" i="3"/>
  <c r="E706" i="3"/>
  <c r="F706" i="3" s="1"/>
  <c r="D704" i="3"/>
  <c r="H704" i="3" s="1"/>
  <c r="E704" i="3"/>
  <c r="F704" i="3" s="1"/>
  <c r="D700" i="3"/>
  <c r="E700" i="3"/>
  <c r="F700" i="3" s="1"/>
  <c r="D696" i="3"/>
  <c r="H696" i="3" s="1"/>
  <c r="E696" i="3"/>
  <c r="F696" i="3" s="1"/>
  <c r="D692" i="3"/>
  <c r="E692" i="3"/>
  <c r="F692" i="3" s="1"/>
  <c r="D688" i="3"/>
  <c r="H688" i="3" s="1"/>
  <c r="E688" i="3"/>
  <c r="F688" i="3" s="1"/>
  <c r="D684" i="3"/>
  <c r="E684" i="3"/>
  <c r="F684" i="3" s="1"/>
  <c r="D680" i="3"/>
  <c r="H680" i="3" s="1"/>
  <c r="E680" i="3"/>
  <c r="F680" i="3" s="1"/>
  <c r="D676" i="3"/>
  <c r="E676" i="3"/>
  <c r="F676" i="3" s="1"/>
  <c r="D672" i="3"/>
  <c r="H672" i="3" s="1"/>
  <c r="E672" i="3"/>
  <c r="F672" i="3" s="1"/>
  <c r="D668" i="3"/>
  <c r="E668" i="3"/>
  <c r="F668" i="3" s="1"/>
  <c r="D664" i="3"/>
  <c r="H664" i="3" s="1"/>
  <c r="E664" i="3"/>
  <c r="F664" i="3" s="1"/>
  <c r="D660" i="3"/>
  <c r="E660" i="3"/>
  <c r="F660" i="3" s="1"/>
  <c r="D656" i="3"/>
  <c r="H656" i="3" s="1"/>
  <c r="E656" i="3"/>
  <c r="F656" i="3" s="1"/>
  <c r="D652" i="3"/>
  <c r="E652" i="3"/>
  <c r="F652" i="3" s="1"/>
  <c r="D648" i="3"/>
  <c r="H648" i="3" s="1"/>
  <c r="E648" i="3"/>
  <c r="F648" i="3" s="1"/>
  <c r="D644" i="3"/>
  <c r="E644" i="3"/>
  <c r="F644" i="3" s="1"/>
  <c r="D640" i="3"/>
  <c r="H640" i="3" s="1"/>
  <c r="E640" i="3"/>
  <c r="F640" i="3" s="1"/>
  <c r="D636" i="3"/>
  <c r="E636" i="3"/>
  <c r="F636" i="3" s="1"/>
  <c r="D632" i="3"/>
  <c r="H632" i="3" s="1"/>
  <c r="E632" i="3"/>
  <c r="F632" i="3" s="1"/>
  <c r="D628" i="3"/>
  <c r="E628" i="3"/>
  <c r="F628" i="3" s="1"/>
  <c r="D626" i="3"/>
  <c r="H626" i="3" s="1"/>
  <c r="E626" i="3"/>
  <c r="F626" i="3" s="1"/>
  <c r="D620" i="3"/>
  <c r="E620" i="3"/>
  <c r="F620" i="3" s="1"/>
  <c r="D618" i="3"/>
  <c r="H618" i="3" s="1"/>
  <c r="E618" i="3"/>
  <c r="F618" i="3" s="1"/>
  <c r="D608" i="3"/>
  <c r="H608" i="3" s="1"/>
  <c r="E608" i="3"/>
  <c r="F608" i="3" s="1"/>
  <c r="D604" i="3"/>
  <c r="E604" i="3"/>
  <c r="F604" i="3" s="1"/>
  <c r="D600" i="3"/>
  <c r="H600" i="3" s="1"/>
  <c r="E600" i="3"/>
  <c r="F600" i="3" s="1"/>
  <c r="D598" i="3"/>
  <c r="E598" i="3"/>
  <c r="F598" i="3" s="1"/>
  <c r="D592" i="3"/>
  <c r="H592" i="3" s="1"/>
  <c r="E592" i="3"/>
  <c r="F592" i="3" s="1"/>
  <c r="D584" i="3"/>
  <c r="H584" i="3" s="1"/>
  <c r="E584" i="3"/>
  <c r="F584" i="3" s="1"/>
  <c r="D582" i="3"/>
  <c r="E582" i="3"/>
  <c r="F582" i="3" s="1"/>
  <c r="D578" i="3"/>
  <c r="H578" i="3" s="1"/>
  <c r="E578" i="3"/>
  <c r="F578" i="3" s="1"/>
  <c r="D574" i="3"/>
  <c r="D568" i="3"/>
  <c r="H568" i="3" s="1"/>
  <c r="D566" i="3"/>
  <c r="E566" i="3"/>
  <c r="F566" i="3" s="1"/>
  <c r="D562" i="3"/>
  <c r="H562" i="3" s="1"/>
  <c r="E562" i="3"/>
  <c r="F562" i="3" s="1"/>
  <c r="D558" i="3"/>
  <c r="E558" i="3"/>
  <c r="F558" i="3" s="1"/>
  <c r="D554" i="3"/>
  <c r="H554" i="3" s="1"/>
  <c r="E554" i="3"/>
  <c r="F554" i="3" s="1"/>
  <c r="D550" i="3"/>
  <c r="E550" i="3"/>
  <c r="F550" i="3" s="1"/>
  <c r="D546" i="3"/>
  <c r="H546" i="3" s="1"/>
  <c r="E546" i="3"/>
  <c r="F546" i="3" s="1"/>
  <c r="D542" i="3"/>
  <c r="D538" i="3"/>
  <c r="H538" i="3" s="1"/>
  <c r="E538" i="3"/>
  <c r="F538" i="3" s="1"/>
  <c r="D534" i="3"/>
  <c r="E534" i="3"/>
  <c r="F534" i="3" s="1"/>
  <c r="D530" i="3"/>
  <c r="H530" i="3" s="1"/>
  <c r="E530" i="3"/>
  <c r="F530" i="3" s="1"/>
  <c r="D526" i="3"/>
  <c r="E526" i="3"/>
  <c r="F526" i="3" s="1"/>
  <c r="D522" i="3"/>
  <c r="H522" i="3" s="1"/>
  <c r="E522" i="3"/>
  <c r="F522" i="3" s="1"/>
  <c r="D518" i="3"/>
  <c r="E518" i="3"/>
  <c r="F518" i="3" s="1"/>
  <c r="D514" i="3"/>
  <c r="H514" i="3" s="1"/>
  <c r="E514" i="3"/>
  <c r="F514" i="3" s="1"/>
  <c r="D506" i="3"/>
  <c r="H506" i="3" s="1"/>
  <c r="E506" i="3"/>
  <c r="F506" i="3" s="1"/>
  <c r="D502" i="3"/>
  <c r="E502" i="3"/>
  <c r="F502" i="3" s="1"/>
  <c r="D498" i="3"/>
  <c r="H498" i="3" s="1"/>
  <c r="E498" i="3"/>
  <c r="F498" i="3" s="1"/>
  <c r="D494" i="3"/>
  <c r="E494" i="3"/>
  <c r="F494" i="3" s="1"/>
  <c r="D486" i="3"/>
  <c r="E486" i="3"/>
  <c r="F486" i="3" s="1"/>
  <c r="D482" i="3"/>
  <c r="H482" i="3" s="1"/>
  <c r="E482" i="3"/>
  <c r="F482" i="3" s="1"/>
  <c r="D478" i="3"/>
  <c r="E478" i="3"/>
  <c r="F478" i="3" s="1"/>
  <c r="K470" i="3"/>
  <c r="L470" i="3" s="1"/>
  <c r="I470" i="3"/>
  <c r="J470" i="3" s="1"/>
  <c r="E467" i="3"/>
  <c r="F467" i="3" s="1"/>
  <c r="D467" i="3"/>
  <c r="H467" i="3" s="1"/>
  <c r="C466" i="3"/>
  <c r="D466" i="3" s="1"/>
  <c r="I463" i="3"/>
  <c r="J463" i="3" s="1"/>
  <c r="K463" i="3"/>
  <c r="L463" i="3" s="1"/>
  <c r="C434" i="3"/>
  <c r="D434" i="3" s="1"/>
  <c r="I431" i="3"/>
  <c r="K406" i="3"/>
  <c r="L406" i="3" s="1"/>
  <c r="I406" i="3"/>
  <c r="J406" i="3" s="1"/>
  <c r="I403" i="3"/>
  <c r="I371" i="3"/>
  <c r="I339" i="3"/>
  <c r="J339" i="3" s="1"/>
  <c r="C312" i="3"/>
  <c r="D312" i="3" s="1"/>
  <c r="I311" i="3"/>
  <c r="J311" i="3" s="1"/>
  <c r="C296" i="3"/>
  <c r="D296" i="3" s="1"/>
  <c r="I295" i="3"/>
  <c r="J295" i="3" s="1"/>
  <c r="C280" i="3"/>
  <c r="D280" i="3" s="1"/>
  <c r="I279" i="3"/>
  <c r="J279" i="3" s="1"/>
  <c r="I232" i="3"/>
  <c r="J232" i="3" s="1"/>
  <c r="C225" i="3"/>
  <c r="C203" i="3"/>
  <c r="D203" i="3" s="1"/>
  <c r="J149" i="3"/>
  <c r="K149" i="3"/>
  <c r="L149" i="3" s="1"/>
  <c r="M149" i="3" s="1"/>
  <c r="C137" i="3"/>
  <c r="D137" i="3" s="1"/>
  <c r="J101" i="3"/>
  <c r="K101" i="3"/>
  <c r="L101" i="3" s="1"/>
  <c r="M101" i="3" s="1"/>
  <c r="C2" i="3"/>
  <c r="D2" i="3" s="1"/>
  <c r="K721" i="3"/>
  <c r="L721" i="3" s="1"/>
  <c r="K719" i="3"/>
  <c r="L719" i="3" s="1"/>
  <c r="K717" i="3"/>
  <c r="L717" i="3" s="1"/>
  <c r="K715" i="3"/>
  <c r="L715" i="3" s="1"/>
  <c r="K713" i="3"/>
  <c r="L713" i="3" s="1"/>
  <c r="K711" i="3"/>
  <c r="L711" i="3" s="1"/>
  <c r="K709" i="3"/>
  <c r="L709" i="3" s="1"/>
  <c r="K707" i="3"/>
  <c r="L707" i="3" s="1"/>
  <c r="K705" i="3"/>
  <c r="L705" i="3" s="1"/>
  <c r="K703" i="3"/>
  <c r="L703" i="3" s="1"/>
  <c r="K701" i="3"/>
  <c r="L701" i="3" s="1"/>
  <c r="K699" i="3"/>
  <c r="L699" i="3" s="1"/>
  <c r="K697" i="3"/>
  <c r="L697" i="3" s="1"/>
  <c r="K695" i="3"/>
  <c r="L695" i="3" s="1"/>
  <c r="K693" i="3"/>
  <c r="L693" i="3" s="1"/>
  <c r="K691" i="3"/>
  <c r="L691" i="3" s="1"/>
  <c r="K689" i="3"/>
  <c r="L689" i="3" s="1"/>
  <c r="K687" i="3"/>
  <c r="L687" i="3" s="1"/>
  <c r="K685" i="3"/>
  <c r="L685" i="3" s="1"/>
  <c r="K683" i="3"/>
  <c r="L683" i="3" s="1"/>
  <c r="K681" i="3"/>
  <c r="L681" i="3" s="1"/>
  <c r="K679" i="3"/>
  <c r="L679" i="3" s="1"/>
  <c r="K677" i="3"/>
  <c r="L677" i="3" s="1"/>
  <c r="K675" i="3"/>
  <c r="L675" i="3" s="1"/>
  <c r="K673" i="3"/>
  <c r="L673" i="3" s="1"/>
  <c r="K671" i="3"/>
  <c r="L671" i="3" s="1"/>
  <c r="K669" i="3"/>
  <c r="L669" i="3" s="1"/>
  <c r="K667" i="3"/>
  <c r="L667" i="3" s="1"/>
  <c r="K665" i="3"/>
  <c r="L665" i="3" s="1"/>
  <c r="K663" i="3"/>
  <c r="L663" i="3" s="1"/>
  <c r="K661" i="3"/>
  <c r="L661" i="3" s="1"/>
  <c r="K659" i="3"/>
  <c r="L659" i="3" s="1"/>
  <c r="K657" i="3"/>
  <c r="L657" i="3" s="1"/>
  <c r="K655" i="3"/>
  <c r="L655" i="3" s="1"/>
  <c r="K653" i="3"/>
  <c r="L653" i="3" s="1"/>
  <c r="K651" i="3"/>
  <c r="L651" i="3" s="1"/>
  <c r="K649" i="3"/>
  <c r="L649" i="3" s="1"/>
  <c r="K647" i="3"/>
  <c r="L647" i="3" s="1"/>
  <c r="K645" i="3"/>
  <c r="L645" i="3" s="1"/>
  <c r="K643" i="3"/>
  <c r="L643" i="3" s="1"/>
  <c r="K637" i="3"/>
  <c r="L637" i="3" s="1"/>
  <c r="K635" i="3"/>
  <c r="L635" i="3" s="1"/>
  <c r="K479" i="3"/>
  <c r="L479" i="3" s="1"/>
  <c r="I458" i="3"/>
  <c r="J458" i="3" s="1"/>
  <c r="C454" i="3"/>
  <c r="D454" i="3" s="1"/>
  <c r="E454" i="3"/>
  <c r="F454" i="3" s="1"/>
  <c r="I451" i="3"/>
  <c r="K442" i="3"/>
  <c r="L442" i="3" s="1"/>
  <c r="I442" i="3"/>
  <c r="J442" i="3" s="1"/>
  <c r="E439" i="3"/>
  <c r="F439" i="3" s="1"/>
  <c r="D439" i="3"/>
  <c r="I426" i="3"/>
  <c r="J426" i="3" s="1"/>
  <c r="E423" i="3"/>
  <c r="F423" i="3" s="1"/>
  <c r="D423" i="3"/>
  <c r="I410" i="3"/>
  <c r="D407" i="3"/>
  <c r="H407" i="3" s="1"/>
  <c r="C406" i="3"/>
  <c r="D406" i="3" s="1"/>
  <c r="H389" i="3"/>
  <c r="I383" i="3"/>
  <c r="I351" i="3"/>
  <c r="J351" i="3" s="1"/>
  <c r="K351" i="3"/>
  <c r="L351" i="3" s="1"/>
  <c r="I266" i="3"/>
  <c r="J266" i="3" s="1"/>
  <c r="E475" i="3"/>
  <c r="F475" i="3" s="1"/>
  <c r="D475" i="3"/>
  <c r="H475" i="3" s="1"/>
  <c r="C474" i="3"/>
  <c r="D474" i="3" s="1"/>
  <c r="E474" i="3"/>
  <c r="F474" i="3" s="1"/>
  <c r="I471" i="3"/>
  <c r="J471" i="3" s="1"/>
  <c r="K471" i="3"/>
  <c r="L471" i="3" s="1"/>
  <c r="K462" i="3"/>
  <c r="L462" i="3" s="1"/>
  <c r="I462" i="3"/>
  <c r="J462" i="3" s="1"/>
  <c r="E459" i="3"/>
  <c r="F459" i="3" s="1"/>
  <c r="D459" i="3"/>
  <c r="C458" i="3"/>
  <c r="D458" i="3" s="1"/>
  <c r="I455" i="3"/>
  <c r="J455" i="3" s="1"/>
  <c r="I446" i="3"/>
  <c r="J446" i="3" s="1"/>
  <c r="E443" i="3"/>
  <c r="F443" i="3" s="1"/>
  <c r="D443" i="3"/>
  <c r="C442" i="3"/>
  <c r="I439" i="3"/>
  <c r="I430" i="3"/>
  <c r="J430" i="3" s="1"/>
  <c r="E427" i="3"/>
  <c r="F427" i="3" s="1"/>
  <c r="D427" i="3"/>
  <c r="C426" i="3"/>
  <c r="D426" i="3" s="1"/>
  <c r="E426" i="3"/>
  <c r="F426" i="3" s="1"/>
  <c r="H425" i="3"/>
  <c r="I423" i="3"/>
  <c r="I414" i="3"/>
  <c r="J414" i="3" s="1"/>
  <c r="E411" i="3"/>
  <c r="F411" i="3" s="1"/>
  <c r="D411" i="3"/>
  <c r="H411" i="3" s="1"/>
  <c r="C410" i="3"/>
  <c r="I407" i="3"/>
  <c r="E400" i="3"/>
  <c r="F400" i="3" s="1"/>
  <c r="H400" i="3" s="1"/>
  <c r="K398" i="3"/>
  <c r="L398" i="3" s="1"/>
  <c r="I395" i="3"/>
  <c r="J395" i="3" s="1"/>
  <c r="K395" i="3"/>
  <c r="L395" i="3" s="1"/>
  <c r="E384" i="3"/>
  <c r="F384" i="3" s="1"/>
  <c r="H384" i="3" s="1"/>
  <c r="K382" i="3"/>
  <c r="L382" i="3" s="1"/>
  <c r="I379" i="3"/>
  <c r="I374" i="3"/>
  <c r="H369" i="3"/>
  <c r="E368" i="3"/>
  <c r="F368" i="3" s="1"/>
  <c r="H368" i="3" s="1"/>
  <c r="K366" i="3"/>
  <c r="L366" i="3" s="1"/>
  <c r="I363" i="3"/>
  <c r="H360" i="3"/>
  <c r="K350" i="3"/>
  <c r="L350" i="3" s="1"/>
  <c r="M350" i="3" s="1"/>
  <c r="N350" i="3" s="1"/>
  <c r="I347" i="3"/>
  <c r="J347" i="3" s="1"/>
  <c r="I342" i="3"/>
  <c r="J342" i="3" s="1"/>
  <c r="K334" i="3"/>
  <c r="L334" i="3" s="1"/>
  <c r="M334" i="3" s="1"/>
  <c r="N334" i="3" s="1"/>
  <c r="I331" i="3"/>
  <c r="J331" i="3" s="1"/>
  <c r="C308" i="3"/>
  <c r="I307" i="3"/>
  <c r="J307" i="3" s="1"/>
  <c r="C300" i="3"/>
  <c r="D300" i="3" s="1"/>
  <c r="I299" i="3"/>
  <c r="C292" i="3"/>
  <c r="I291" i="3"/>
  <c r="J291" i="3" s="1"/>
  <c r="C284" i="3"/>
  <c r="I283" i="3"/>
  <c r="J283" i="3" s="1"/>
  <c r="C276" i="3"/>
  <c r="D276" i="3" s="1"/>
  <c r="I275" i="3"/>
  <c r="C257" i="3"/>
  <c r="C187" i="3"/>
  <c r="D187" i="3" s="1"/>
  <c r="C179" i="3"/>
  <c r="D179" i="3" s="1"/>
  <c r="C153" i="3"/>
  <c r="D153" i="3" s="1"/>
  <c r="J133" i="3"/>
  <c r="K133" i="3"/>
  <c r="L133" i="3" s="1"/>
  <c r="M133" i="3" s="1"/>
  <c r="I122" i="3"/>
  <c r="J122" i="3" s="1"/>
  <c r="C121" i="3"/>
  <c r="D732" i="3"/>
  <c r="E732" i="3"/>
  <c r="F732" i="3" s="1"/>
  <c r="D728" i="3"/>
  <c r="E728" i="3"/>
  <c r="F728" i="3" s="1"/>
  <c r="D724" i="3"/>
  <c r="E724" i="3"/>
  <c r="F724" i="3" s="1"/>
  <c r="D720" i="3"/>
  <c r="E720" i="3"/>
  <c r="F720" i="3" s="1"/>
  <c r="D716" i="3"/>
  <c r="E716" i="3"/>
  <c r="F716" i="3" s="1"/>
  <c r="D710" i="3"/>
  <c r="E710" i="3"/>
  <c r="F710" i="3" s="1"/>
  <c r="D708" i="3"/>
  <c r="E708" i="3"/>
  <c r="F708" i="3" s="1"/>
  <c r="D702" i="3"/>
  <c r="E702" i="3"/>
  <c r="F702" i="3" s="1"/>
  <c r="D698" i="3"/>
  <c r="E698" i="3"/>
  <c r="F698" i="3" s="1"/>
  <c r="D694" i="3"/>
  <c r="E694" i="3"/>
  <c r="F694" i="3" s="1"/>
  <c r="D690" i="3"/>
  <c r="E690" i="3"/>
  <c r="F690" i="3" s="1"/>
  <c r="D686" i="3"/>
  <c r="E686" i="3"/>
  <c r="F686" i="3" s="1"/>
  <c r="D682" i="3"/>
  <c r="E682" i="3"/>
  <c r="F682" i="3" s="1"/>
  <c r="D678" i="3"/>
  <c r="E678" i="3"/>
  <c r="F678" i="3" s="1"/>
  <c r="D674" i="3"/>
  <c r="E674" i="3"/>
  <c r="F674" i="3" s="1"/>
  <c r="D670" i="3"/>
  <c r="E670" i="3"/>
  <c r="F670" i="3" s="1"/>
  <c r="D666" i="3"/>
  <c r="E666" i="3"/>
  <c r="F666" i="3" s="1"/>
  <c r="D662" i="3"/>
  <c r="E662" i="3"/>
  <c r="F662" i="3" s="1"/>
  <c r="D658" i="3"/>
  <c r="E658" i="3"/>
  <c r="F658" i="3" s="1"/>
  <c r="D654" i="3"/>
  <c r="E654" i="3"/>
  <c r="F654" i="3" s="1"/>
  <c r="D650" i="3"/>
  <c r="E650" i="3"/>
  <c r="F650" i="3" s="1"/>
  <c r="D646" i="3"/>
  <c r="E646" i="3"/>
  <c r="F646" i="3" s="1"/>
  <c r="D642" i="3"/>
  <c r="E642" i="3"/>
  <c r="F642" i="3" s="1"/>
  <c r="D638" i="3"/>
  <c r="E638" i="3"/>
  <c r="F638" i="3" s="1"/>
  <c r="D634" i="3"/>
  <c r="E634" i="3"/>
  <c r="F634" i="3" s="1"/>
  <c r="D630" i="3"/>
  <c r="E630" i="3"/>
  <c r="F630" i="3" s="1"/>
  <c r="D624" i="3"/>
  <c r="E624" i="3"/>
  <c r="F624" i="3" s="1"/>
  <c r="D622" i="3"/>
  <c r="E622" i="3"/>
  <c r="F622" i="3" s="1"/>
  <c r="D616" i="3"/>
  <c r="E616" i="3"/>
  <c r="F616" i="3" s="1"/>
  <c r="D614" i="3"/>
  <c r="E614" i="3"/>
  <c r="F614" i="3" s="1"/>
  <c r="D610" i="3"/>
  <c r="E610" i="3"/>
  <c r="F610" i="3" s="1"/>
  <c r="D606" i="3"/>
  <c r="E606" i="3"/>
  <c r="F606" i="3" s="1"/>
  <c r="D602" i="3"/>
  <c r="E602" i="3"/>
  <c r="F602" i="3" s="1"/>
  <c r="D596" i="3"/>
  <c r="E596" i="3"/>
  <c r="F596" i="3" s="1"/>
  <c r="D594" i="3"/>
  <c r="E594" i="3"/>
  <c r="F594" i="3" s="1"/>
  <c r="D586" i="3"/>
  <c r="E586" i="3"/>
  <c r="F586" i="3" s="1"/>
  <c r="D580" i="3"/>
  <c r="E580" i="3"/>
  <c r="F580" i="3" s="1"/>
  <c r="D576" i="3"/>
  <c r="E576" i="3"/>
  <c r="F576" i="3" s="1"/>
  <c r="D572" i="3"/>
  <c r="E572" i="3"/>
  <c r="F572" i="3" s="1"/>
  <c r="D570" i="3"/>
  <c r="D564" i="3"/>
  <c r="D560" i="3"/>
  <c r="E560" i="3"/>
  <c r="F560" i="3" s="1"/>
  <c r="D556" i="3"/>
  <c r="E556" i="3"/>
  <c r="F556" i="3" s="1"/>
  <c r="D552" i="3"/>
  <c r="E552" i="3"/>
  <c r="F552" i="3" s="1"/>
  <c r="D548" i="3"/>
  <c r="E548" i="3"/>
  <c r="F548" i="3" s="1"/>
  <c r="D544" i="3"/>
  <c r="E544" i="3"/>
  <c r="F544" i="3" s="1"/>
  <c r="D540" i="3"/>
  <c r="E540" i="3"/>
  <c r="F540" i="3" s="1"/>
  <c r="D536" i="3"/>
  <c r="E536" i="3"/>
  <c r="F536" i="3" s="1"/>
  <c r="D532" i="3"/>
  <c r="E532" i="3"/>
  <c r="F532" i="3" s="1"/>
  <c r="D528" i="3"/>
  <c r="E528" i="3"/>
  <c r="F528" i="3" s="1"/>
  <c r="D524" i="3"/>
  <c r="E524" i="3"/>
  <c r="F524" i="3" s="1"/>
  <c r="D520" i="3"/>
  <c r="D516" i="3"/>
  <c r="E516" i="3"/>
  <c r="F516" i="3" s="1"/>
  <c r="D512" i="3"/>
  <c r="E512" i="3"/>
  <c r="F512" i="3" s="1"/>
  <c r="D508" i="3"/>
  <c r="E508" i="3"/>
  <c r="F508" i="3" s="1"/>
  <c r="D504" i="3"/>
  <c r="E504" i="3"/>
  <c r="F504" i="3" s="1"/>
  <c r="D500" i="3"/>
  <c r="E500" i="3"/>
  <c r="F500" i="3" s="1"/>
  <c r="D496" i="3"/>
  <c r="E496" i="3"/>
  <c r="F496" i="3" s="1"/>
  <c r="D492" i="3"/>
  <c r="E492" i="3"/>
  <c r="F492" i="3" s="1"/>
  <c r="D488" i="3"/>
  <c r="E488" i="3"/>
  <c r="F488" i="3" s="1"/>
  <c r="D484" i="3"/>
  <c r="E484" i="3"/>
  <c r="F484" i="3" s="1"/>
  <c r="D480" i="3"/>
  <c r="E480" i="3"/>
  <c r="F480" i="3" s="1"/>
  <c r="I454" i="3"/>
  <c r="J454" i="3" s="1"/>
  <c r="E451" i="3"/>
  <c r="F451" i="3" s="1"/>
  <c r="D451" i="3"/>
  <c r="H451" i="3" s="1"/>
  <c r="C450" i="3"/>
  <c r="D450" i="3" s="1"/>
  <c r="E450" i="3"/>
  <c r="F450" i="3" s="1"/>
  <c r="I447" i="3"/>
  <c r="J447" i="3" s="1"/>
  <c r="K447" i="3"/>
  <c r="L447" i="3" s="1"/>
  <c r="I438" i="3"/>
  <c r="J438" i="3" s="1"/>
  <c r="E435" i="3"/>
  <c r="F435" i="3" s="1"/>
  <c r="I422" i="3"/>
  <c r="J422" i="3" s="1"/>
  <c r="E419" i="3"/>
  <c r="F419" i="3" s="1"/>
  <c r="D419" i="3"/>
  <c r="H419" i="3" s="1"/>
  <c r="C418" i="3"/>
  <c r="D418" i="3" s="1"/>
  <c r="E418" i="3"/>
  <c r="F418" i="3" s="1"/>
  <c r="I415" i="3"/>
  <c r="J415" i="3" s="1"/>
  <c r="K415" i="3"/>
  <c r="L415" i="3" s="1"/>
  <c r="K390" i="3"/>
  <c r="L390" i="3" s="1"/>
  <c r="I387" i="3"/>
  <c r="K358" i="3"/>
  <c r="L358" i="3" s="1"/>
  <c r="I355" i="3"/>
  <c r="J355" i="3" s="1"/>
  <c r="K355" i="3"/>
  <c r="L355" i="3" s="1"/>
  <c r="K326" i="3"/>
  <c r="L326" i="3" s="1"/>
  <c r="M326" i="3" s="1"/>
  <c r="N326" i="3" s="1"/>
  <c r="I323" i="3"/>
  <c r="C304" i="3"/>
  <c r="D304" i="3" s="1"/>
  <c r="I303" i="3"/>
  <c r="C288" i="3"/>
  <c r="I287" i="3"/>
  <c r="C272" i="3"/>
  <c r="D272" i="3" s="1"/>
  <c r="C264" i="3"/>
  <c r="D264" i="3" s="1"/>
  <c r="K735" i="3"/>
  <c r="L735" i="3" s="1"/>
  <c r="K733" i="3"/>
  <c r="L733" i="3" s="1"/>
  <c r="K731" i="3"/>
  <c r="L731" i="3" s="1"/>
  <c r="K729" i="3"/>
  <c r="L729" i="3" s="1"/>
  <c r="K727" i="3"/>
  <c r="L727" i="3" s="1"/>
  <c r="K725" i="3"/>
  <c r="L725" i="3" s="1"/>
  <c r="K723" i="3"/>
  <c r="L723" i="3" s="1"/>
  <c r="K641" i="3"/>
  <c r="L641" i="3" s="1"/>
  <c r="K639" i="3"/>
  <c r="L639" i="3" s="1"/>
  <c r="K633" i="3"/>
  <c r="L633" i="3" s="1"/>
  <c r="K631" i="3"/>
  <c r="L631" i="3" s="1"/>
  <c r="K629" i="3"/>
  <c r="L629" i="3" s="1"/>
  <c r="K627" i="3"/>
  <c r="L627" i="3" s="1"/>
  <c r="K625" i="3"/>
  <c r="L625" i="3" s="1"/>
  <c r="K623" i="3"/>
  <c r="L623" i="3" s="1"/>
  <c r="K621" i="3"/>
  <c r="L621" i="3" s="1"/>
  <c r="K619" i="3"/>
  <c r="L619" i="3" s="1"/>
  <c r="K617" i="3"/>
  <c r="L617" i="3" s="1"/>
  <c r="K615" i="3"/>
  <c r="L615" i="3" s="1"/>
  <c r="K613" i="3"/>
  <c r="L613" i="3" s="1"/>
  <c r="K611" i="3"/>
  <c r="L611" i="3" s="1"/>
  <c r="K609" i="3"/>
  <c r="L609" i="3" s="1"/>
  <c r="K607" i="3"/>
  <c r="L607" i="3" s="1"/>
  <c r="K605" i="3"/>
  <c r="L605" i="3" s="1"/>
  <c r="K603" i="3"/>
  <c r="L603" i="3" s="1"/>
  <c r="K601" i="3"/>
  <c r="L601" i="3" s="1"/>
  <c r="K599" i="3"/>
  <c r="L599" i="3" s="1"/>
  <c r="K597" i="3"/>
  <c r="L597" i="3" s="1"/>
  <c r="K595" i="3"/>
  <c r="L595" i="3" s="1"/>
  <c r="K593" i="3"/>
  <c r="L593" i="3" s="1"/>
  <c r="K591" i="3"/>
  <c r="L591" i="3" s="1"/>
  <c r="K589" i="3"/>
  <c r="L589" i="3" s="1"/>
  <c r="K587" i="3"/>
  <c r="L587" i="3" s="1"/>
  <c r="K585" i="3"/>
  <c r="L585" i="3" s="1"/>
  <c r="K583" i="3"/>
  <c r="L583" i="3" s="1"/>
  <c r="K581" i="3"/>
  <c r="L581" i="3" s="1"/>
  <c r="K579" i="3"/>
  <c r="L579" i="3" s="1"/>
  <c r="K577" i="3"/>
  <c r="L577" i="3" s="1"/>
  <c r="K575" i="3"/>
  <c r="L575" i="3" s="1"/>
  <c r="K573" i="3"/>
  <c r="L573" i="3" s="1"/>
  <c r="K571" i="3"/>
  <c r="L571" i="3" s="1"/>
  <c r="K569" i="3"/>
  <c r="L569" i="3" s="1"/>
  <c r="K567" i="3"/>
  <c r="L567" i="3" s="1"/>
  <c r="K565" i="3"/>
  <c r="L565" i="3" s="1"/>
  <c r="K563" i="3"/>
  <c r="L563" i="3" s="1"/>
  <c r="K561" i="3"/>
  <c r="L561" i="3" s="1"/>
  <c r="K559" i="3"/>
  <c r="L559" i="3" s="1"/>
  <c r="K557" i="3"/>
  <c r="L557" i="3" s="1"/>
  <c r="K555" i="3"/>
  <c r="L555" i="3" s="1"/>
  <c r="K553" i="3"/>
  <c r="L553" i="3" s="1"/>
  <c r="K551" i="3"/>
  <c r="L551" i="3" s="1"/>
  <c r="K549" i="3"/>
  <c r="L549" i="3" s="1"/>
  <c r="K547" i="3"/>
  <c r="L547" i="3" s="1"/>
  <c r="K545" i="3"/>
  <c r="L545" i="3" s="1"/>
  <c r="K543" i="3"/>
  <c r="L543" i="3" s="1"/>
  <c r="K541" i="3"/>
  <c r="L541" i="3" s="1"/>
  <c r="K539" i="3"/>
  <c r="L539" i="3" s="1"/>
  <c r="K537" i="3"/>
  <c r="L537" i="3" s="1"/>
  <c r="K535" i="3"/>
  <c r="L535" i="3" s="1"/>
  <c r="K533" i="3"/>
  <c r="L533" i="3" s="1"/>
  <c r="K531" i="3"/>
  <c r="L531" i="3" s="1"/>
  <c r="K529" i="3"/>
  <c r="L529" i="3" s="1"/>
  <c r="K527" i="3"/>
  <c r="L527" i="3" s="1"/>
  <c r="K525" i="3"/>
  <c r="L525" i="3" s="1"/>
  <c r="K523" i="3"/>
  <c r="L523" i="3" s="1"/>
  <c r="K521" i="3"/>
  <c r="L521" i="3" s="1"/>
  <c r="K519" i="3"/>
  <c r="L519" i="3" s="1"/>
  <c r="K517" i="3"/>
  <c r="L517" i="3" s="1"/>
  <c r="K515" i="3"/>
  <c r="L515" i="3" s="1"/>
  <c r="K513" i="3"/>
  <c r="L513" i="3" s="1"/>
  <c r="K511" i="3"/>
  <c r="L511" i="3" s="1"/>
  <c r="K509" i="3"/>
  <c r="L509" i="3" s="1"/>
  <c r="K507" i="3"/>
  <c r="L507" i="3" s="1"/>
  <c r="K505" i="3"/>
  <c r="L505" i="3" s="1"/>
  <c r="K503" i="3"/>
  <c r="L503" i="3" s="1"/>
  <c r="K501" i="3"/>
  <c r="L501" i="3" s="1"/>
  <c r="K499" i="3"/>
  <c r="L499" i="3" s="1"/>
  <c r="K497" i="3"/>
  <c r="L497" i="3" s="1"/>
  <c r="K495" i="3"/>
  <c r="L495" i="3" s="1"/>
  <c r="K493" i="3"/>
  <c r="L493" i="3" s="1"/>
  <c r="K491" i="3"/>
  <c r="L491" i="3" s="1"/>
  <c r="K489" i="3"/>
  <c r="L489" i="3" s="1"/>
  <c r="K487" i="3"/>
  <c r="L487" i="3" s="1"/>
  <c r="K485" i="3"/>
  <c r="L485" i="3" s="1"/>
  <c r="K483" i="3"/>
  <c r="L483" i="3" s="1"/>
  <c r="K481" i="3"/>
  <c r="L481" i="3" s="1"/>
  <c r="K477" i="3"/>
  <c r="L477" i="3" s="1"/>
  <c r="I474" i="3"/>
  <c r="J474" i="3" s="1"/>
  <c r="E471" i="3"/>
  <c r="F471" i="3" s="1"/>
  <c r="D471" i="3"/>
  <c r="C470" i="3"/>
  <c r="H468" i="3"/>
  <c r="I467" i="3"/>
  <c r="J467" i="3" s="1"/>
  <c r="K467" i="3"/>
  <c r="L467" i="3" s="1"/>
  <c r="E455" i="3"/>
  <c r="F455" i="3" s="1"/>
  <c r="D455" i="3"/>
  <c r="C438" i="3"/>
  <c r="D438" i="3" s="1"/>
  <c r="E438" i="3"/>
  <c r="F438" i="3" s="1"/>
  <c r="I435" i="3"/>
  <c r="J435" i="3" s="1"/>
  <c r="K435" i="3"/>
  <c r="L435" i="3" s="1"/>
  <c r="C422" i="3"/>
  <c r="D422" i="3" s="1"/>
  <c r="I419" i="3"/>
  <c r="H405" i="3"/>
  <c r="I399" i="3"/>
  <c r="J399" i="3" s="1"/>
  <c r="K399" i="3"/>
  <c r="L399" i="3" s="1"/>
  <c r="I367" i="3"/>
  <c r="J367" i="3" s="1"/>
  <c r="K367" i="3"/>
  <c r="L367" i="3" s="1"/>
  <c r="I335" i="3"/>
  <c r="J335" i="3" s="1"/>
  <c r="I319" i="3"/>
  <c r="J319" i="3" s="1"/>
  <c r="I216" i="3"/>
  <c r="J216" i="3" s="1"/>
  <c r="C211" i="3"/>
  <c r="D211" i="3" s="1"/>
  <c r="J141" i="3"/>
  <c r="K141" i="3"/>
  <c r="L141" i="3" s="1"/>
  <c r="M141" i="3" s="1"/>
  <c r="C117" i="3"/>
  <c r="D117" i="3" s="1"/>
  <c r="E735" i="3"/>
  <c r="F735" i="3" s="1"/>
  <c r="H735" i="3" s="1"/>
  <c r="E733" i="3"/>
  <c r="F733" i="3" s="1"/>
  <c r="H733" i="3" s="1"/>
  <c r="E731" i="3"/>
  <c r="F731" i="3" s="1"/>
  <c r="H731" i="3" s="1"/>
  <c r="E729" i="3"/>
  <c r="F729" i="3" s="1"/>
  <c r="E727" i="3"/>
  <c r="F727" i="3" s="1"/>
  <c r="H727" i="3" s="1"/>
  <c r="E725" i="3"/>
  <c r="F725" i="3" s="1"/>
  <c r="H725" i="3" s="1"/>
  <c r="E723" i="3"/>
  <c r="F723" i="3" s="1"/>
  <c r="H723" i="3" s="1"/>
  <c r="E721" i="3"/>
  <c r="F721" i="3" s="1"/>
  <c r="H721" i="3" s="1"/>
  <c r="E719" i="3"/>
  <c r="F719" i="3" s="1"/>
  <c r="H719" i="3" s="1"/>
  <c r="E717" i="3"/>
  <c r="F717" i="3" s="1"/>
  <c r="H717" i="3" s="1"/>
  <c r="E715" i="3"/>
  <c r="F715" i="3" s="1"/>
  <c r="H715" i="3" s="1"/>
  <c r="E713" i="3"/>
  <c r="F713" i="3" s="1"/>
  <c r="H713" i="3" s="1"/>
  <c r="E711" i="3"/>
  <c r="F711" i="3" s="1"/>
  <c r="H711" i="3" s="1"/>
  <c r="E709" i="3"/>
  <c r="F709" i="3" s="1"/>
  <c r="H709" i="3" s="1"/>
  <c r="E707" i="3"/>
  <c r="F707" i="3" s="1"/>
  <c r="H707" i="3" s="1"/>
  <c r="E705" i="3"/>
  <c r="F705" i="3" s="1"/>
  <c r="H705" i="3" s="1"/>
  <c r="E703" i="3"/>
  <c r="F703" i="3" s="1"/>
  <c r="H703" i="3" s="1"/>
  <c r="E701" i="3"/>
  <c r="F701" i="3" s="1"/>
  <c r="H701" i="3" s="1"/>
  <c r="E699" i="3"/>
  <c r="F699" i="3" s="1"/>
  <c r="H699" i="3" s="1"/>
  <c r="E697" i="3"/>
  <c r="F697" i="3" s="1"/>
  <c r="H697" i="3" s="1"/>
  <c r="E695" i="3"/>
  <c r="F695" i="3" s="1"/>
  <c r="E693" i="3"/>
  <c r="F693" i="3" s="1"/>
  <c r="H693" i="3" s="1"/>
  <c r="E691" i="3"/>
  <c r="F691" i="3" s="1"/>
  <c r="H691" i="3" s="1"/>
  <c r="E689" i="3"/>
  <c r="F689" i="3" s="1"/>
  <c r="E687" i="3"/>
  <c r="F687" i="3" s="1"/>
  <c r="H687" i="3" s="1"/>
  <c r="E685" i="3"/>
  <c r="F685" i="3" s="1"/>
  <c r="H685" i="3" s="1"/>
  <c r="E683" i="3"/>
  <c r="F683" i="3" s="1"/>
  <c r="H683" i="3" s="1"/>
  <c r="E681" i="3"/>
  <c r="F681" i="3" s="1"/>
  <c r="H681" i="3" s="1"/>
  <c r="E679" i="3"/>
  <c r="F679" i="3" s="1"/>
  <c r="H679" i="3" s="1"/>
  <c r="E677" i="3"/>
  <c r="F677" i="3" s="1"/>
  <c r="H677" i="3" s="1"/>
  <c r="E675" i="3"/>
  <c r="F675" i="3" s="1"/>
  <c r="H675" i="3" s="1"/>
  <c r="E673" i="3"/>
  <c r="F673" i="3" s="1"/>
  <c r="H673" i="3" s="1"/>
  <c r="E671" i="3"/>
  <c r="F671" i="3" s="1"/>
  <c r="H671" i="3" s="1"/>
  <c r="E669" i="3"/>
  <c r="F669" i="3" s="1"/>
  <c r="H669" i="3" s="1"/>
  <c r="E667" i="3"/>
  <c r="F667" i="3" s="1"/>
  <c r="H667" i="3" s="1"/>
  <c r="E665" i="3"/>
  <c r="F665" i="3" s="1"/>
  <c r="E663" i="3"/>
  <c r="F663" i="3" s="1"/>
  <c r="H663" i="3" s="1"/>
  <c r="E661" i="3"/>
  <c r="F661" i="3" s="1"/>
  <c r="H661" i="3" s="1"/>
  <c r="E659" i="3"/>
  <c r="F659" i="3" s="1"/>
  <c r="H659" i="3" s="1"/>
  <c r="E657" i="3"/>
  <c r="F657" i="3" s="1"/>
  <c r="H657" i="3" s="1"/>
  <c r="E655" i="3"/>
  <c r="F655" i="3" s="1"/>
  <c r="H655" i="3" s="1"/>
  <c r="E653" i="3"/>
  <c r="F653" i="3" s="1"/>
  <c r="H653" i="3" s="1"/>
  <c r="E651" i="3"/>
  <c r="F651" i="3" s="1"/>
  <c r="H651" i="3" s="1"/>
  <c r="E649" i="3"/>
  <c r="F649" i="3" s="1"/>
  <c r="H649" i="3" s="1"/>
  <c r="E647" i="3"/>
  <c r="F647" i="3" s="1"/>
  <c r="H647" i="3" s="1"/>
  <c r="E645" i="3"/>
  <c r="F645" i="3" s="1"/>
  <c r="H645" i="3" s="1"/>
  <c r="E643" i="3"/>
  <c r="F643" i="3" s="1"/>
  <c r="H643" i="3" s="1"/>
  <c r="E641" i="3"/>
  <c r="F641" i="3" s="1"/>
  <c r="H641" i="3" s="1"/>
  <c r="E639" i="3"/>
  <c r="F639" i="3" s="1"/>
  <c r="H639" i="3" s="1"/>
  <c r="E637" i="3"/>
  <c r="F637" i="3" s="1"/>
  <c r="H637" i="3" s="1"/>
  <c r="E635" i="3"/>
  <c r="F635" i="3" s="1"/>
  <c r="H635" i="3" s="1"/>
  <c r="E633" i="3"/>
  <c r="F633" i="3" s="1"/>
  <c r="H633" i="3" s="1"/>
  <c r="E631" i="3"/>
  <c r="F631" i="3" s="1"/>
  <c r="H631" i="3" s="1"/>
  <c r="E629" i="3"/>
  <c r="F629" i="3" s="1"/>
  <c r="H629" i="3" s="1"/>
  <c r="E627" i="3"/>
  <c r="F627" i="3" s="1"/>
  <c r="H627" i="3" s="1"/>
  <c r="E625" i="3"/>
  <c r="F625" i="3" s="1"/>
  <c r="H625" i="3" s="1"/>
  <c r="E623" i="3"/>
  <c r="F623" i="3" s="1"/>
  <c r="H623" i="3" s="1"/>
  <c r="E621" i="3"/>
  <c r="F621" i="3" s="1"/>
  <c r="H621" i="3" s="1"/>
  <c r="E619" i="3"/>
  <c r="F619" i="3" s="1"/>
  <c r="H619" i="3" s="1"/>
  <c r="E617" i="3"/>
  <c r="F617" i="3" s="1"/>
  <c r="E613" i="3"/>
  <c r="F613" i="3" s="1"/>
  <c r="H613" i="3" s="1"/>
  <c r="E611" i="3"/>
  <c r="F611" i="3" s="1"/>
  <c r="E609" i="3"/>
  <c r="F609" i="3" s="1"/>
  <c r="H609" i="3" s="1"/>
  <c r="E607" i="3"/>
  <c r="F607" i="3" s="1"/>
  <c r="H607" i="3" s="1"/>
  <c r="E605" i="3"/>
  <c r="F605" i="3" s="1"/>
  <c r="H605" i="3" s="1"/>
  <c r="E603" i="3"/>
  <c r="F603" i="3" s="1"/>
  <c r="H603" i="3" s="1"/>
  <c r="E601" i="3"/>
  <c r="F601" i="3" s="1"/>
  <c r="H601" i="3" s="1"/>
  <c r="E599" i="3"/>
  <c r="F599" i="3" s="1"/>
  <c r="H599" i="3" s="1"/>
  <c r="E597" i="3"/>
  <c r="F597" i="3" s="1"/>
  <c r="H597" i="3" s="1"/>
  <c r="E595" i="3"/>
  <c r="F595" i="3" s="1"/>
  <c r="H595" i="3" s="1"/>
  <c r="E591" i="3"/>
  <c r="F591" i="3" s="1"/>
  <c r="H591" i="3" s="1"/>
  <c r="E589" i="3"/>
  <c r="F589" i="3" s="1"/>
  <c r="H589" i="3" s="1"/>
  <c r="E587" i="3"/>
  <c r="F587" i="3" s="1"/>
  <c r="H587" i="3" s="1"/>
  <c r="E585" i="3"/>
  <c r="F585" i="3" s="1"/>
  <c r="H585" i="3" s="1"/>
  <c r="E583" i="3"/>
  <c r="F583" i="3" s="1"/>
  <c r="H583" i="3" s="1"/>
  <c r="E581" i="3"/>
  <c r="F581" i="3" s="1"/>
  <c r="H581" i="3" s="1"/>
  <c r="E579" i="3"/>
  <c r="F579" i="3" s="1"/>
  <c r="H579" i="3" s="1"/>
  <c r="E577" i="3"/>
  <c r="F577" i="3" s="1"/>
  <c r="H577" i="3" s="1"/>
  <c r="E575" i="3"/>
  <c r="F575" i="3" s="1"/>
  <c r="H575" i="3" s="1"/>
  <c r="E573" i="3"/>
  <c r="F573" i="3" s="1"/>
  <c r="H573" i="3" s="1"/>
  <c r="E571" i="3"/>
  <c r="F571" i="3" s="1"/>
  <c r="H571" i="3" s="1"/>
  <c r="E569" i="3"/>
  <c r="F569" i="3" s="1"/>
  <c r="H569" i="3" s="1"/>
  <c r="E567" i="3"/>
  <c r="F567" i="3" s="1"/>
  <c r="H567" i="3" s="1"/>
  <c r="E563" i="3"/>
  <c r="F563" i="3" s="1"/>
  <c r="H563" i="3" s="1"/>
  <c r="E559" i="3"/>
  <c r="F559" i="3" s="1"/>
  <c r="H559" i="3" s="1"/>
  <c r="E557" i="3"/>
  <c r="F557" i="3" s="1"/>
  <c r="H557" i="3" s="1"/>
  <c r="E555" i="3"/>
  <c r="F555" i="3" s="1"/>
  <c r="H555" i="3" s="1"/>
  <c r="E551" i="3"/>
  <c r="F551" i="3" s="1"/>
  <c r="H551" i="3" s="1"/>
  <c r="E549" i="3"/>
  <c r="F549" i="3" s="1"/>
  <c r="H549" i="3" s="1"/>
  <c r="E547" i="3"/>
  <c r="F547" i="3" s="1"/>
  <c r="H547" i="3" s="1"/>
  <c r="E543" i="3"/>
  <c r="F543" i="3" s="1"/>
  <c r="E539" i="3"/>
  <c r="F539" i="3" s="1"/>
  <c r="H539" i="3" s="1"/>
  <c r="E537" i="3"/>
  <c r="F537" i="3" s="1"/>
  <c r="H537" i="3" s="1"/>
  <c r="E535" i="3"/>
  <c r="F535" i="3" s="1"/>
  <c r="H535" i="3" s="1"/>
  <c r="E533" i="3"/>
  <c r="F533" i="3" s="1"/>
  <c r="H533" i="3" s="1"/>
  <c r="E531" i="3"/>
  <c r="F531" i="3" s="1"/>
  <c r="H531" i="3" s="1"/>
  <c r="E527" i="3"/>
  <c r="F527" i="3" s="1"/>
  <c r="H527" i="3" s="1"/>
  <c r="E525" i="3"/>
  <c r="F525" i="3" s="1"/>
  <c r="H525" i="3" s="1"/>
  <c r="E523" i="3"/>
  <c r="F523" i="3" s="1"/>
  <c r="H523" i="3" s="1"/>
  <c r="E521" i="3"/>
  <c r="F521" i="3" s="1"/>
  <c r="H521" i="3" s="1"/>
  <c r="E519" i="3"/>
  <c r="F519" i="3" s="1"/>
  <c r="H519" i="3" s="1"/>
  <c r="E517" i="3"/>
  <c r="F517" i="3" s="1"/>
  <c r="H517" i="3" s="1"/>
  <c r="E515" i="3"/>
  <c r="F515" i="3" s="1"/>
  <c r="H515" i="3" s="1"/>
  <c r="E511" i="3"/>
  <c r="F511" i="3" s="1"/>
  <c r="E509" i="3"/>
  <c r="F509" i="3" s="1"/>
  <c r="H509" i="3" s="1"/>
  <c r="E505" i="3"/>
  <c r="F505" i="3" s="1"/>
  <c r="H505" i="3" s="1"/>
  <c r="E503" i="3"/>
  <c r="F503" i="3" s="1"/>
  <c r="H503" i="3" s="1"/>
  <c r="E501" i="3"/>
  <c r="F501" i="3" s="1"/>
  <c r="H501" i="3" s="1"/>
  <c r="E499" i="3"/>
  <c r="F499" i="3" s="1"/>
  <c r="E497" i="3"/>
  <c r="F497" i="3" s="1"/>
  <c r="H497" i="3" s="1"/>
  <c r="E495" i="3"/>
  <c r="F495" i="3" s="1"/>
  <c r="H495" i="3" s="1"/>
  <c r="E493" i="3"/>
  <c r="F493" i="3" s="1"/>
  <c r="H493" i="3" s="1"/>
  <c r="E491" i="3"/>
  <c r="F491" i="3" s="1"/>
  <c r="E487" i="3"/>
  <c r="F487" i="3" s="1"/>
  <c r="H487" i="3" s="1"/>
  <c r="E483" i="3"/>
  <c r="F483" i="3" s="1"/>
  <c r="H483" i="3" s="1"/>
  <c r="E481" i="3"/>
  <c r="F481" i="3" s="1"/>
  <c r="E479" i="3"/>
  <c r="F479" i="3" s="1"/>
  <c r="H479" i="3" s="1"/>
  <c r="E477" i="3"/>
  <c r="F477" i="3" s="1"/>
  <c r="H477" i="3" s="1"/>
  <c r="H476" i="3"/>
  <c r="I475" i="3"/>
  <c r="J475" i="3" s="1"/>
  <c r="K475" i="3"/>
  <c r="L475" i="3" s="1"/>
  <c r="I466" i="3"/>
  <c r="J466" i="3" s="1"/>
  <c r="E463" i="3"/>
  <c r="F463" i="3" s="1"/>
  <c r="D463" i="3"/>
  <c r="H463" i="3" s="1"/>
  <c r="C462" i="3"/>
  <c r="D462" i="3" s="1"/>
  <c r="H461" i="3"/>
  <c r="H460" i="3"/>
  <c r="I459" i="3"/>
  <c r="J459" i="3" s="1"/>
  <c r="K459" i="3"/>
  <c r="L459" i="3" s="1"/>
  <c r="I450" i="3"/>
  <c r="J450" i="3" s="1"/>
  <c r="E447" i="3"/>
  <c r="F447" i="3" s="1"/>
  <c r="D447" i="3"/>
  <c r="H447" i="3" s="1"/>
  <c r="C446" i="3"/>
  <c r="D446" i="3" s="1"/>
  <c r="H445" i="3"/>
  <c r="H444" i="3"/>
  <c r="I443" i="3"/>
  <c r="J443" i="3" s="1"/>
  <c r="I434" i="3"/>
  <c r="J434" i="3" s="1"/>
  <c r="E431" i="3"/>
  <c r="F431" i="3" s="1"/>
  <c r="D431" i="3"/>
  <c r="H431" i="3" s="1"/>
  <c r="C430" i="3"/>
  <c r="H429" i="3"/>
  <c r="I427" i="3"/>
  <c r="J427" i="3" s="1"/>
  <c r="K427" i="3"/>
  <c r="L427" i="3" s="1"/>
  <c r="I418" i="3"/>
  <c r="J418" i="3" s="1"/>
  <c r="E415" i="3"/>
  <c r="F415" i="3" s="1"/>
  <c r="D415" i="3"/>
  <c r="C414" i="3"/>
  <c r="D414" i="3" s="1"/>
  <c r="H413" i="3"/>
  <c r="I411" i="3"/>
  <c r="J411" i="3" s="1"/>
  <c r="I402" i="3"/>
  <c r="J402" i="3" s="1"/>
  <c r="E396" i="3"/>
  <c r="F396" i="3" s="1"/>
  <c r="H396" i="3" s="1"/>
  <c r="K394" i="3"/>
  <c r="L394" i="3" s="1"/>
  <c r="I391" i="3"/>
  <c r="J391" i="3" s="1"/>
  <c r="K391" i="3"/>
  <c r="L391" i="3" s="1"/>
  <c r="I386" i="3"/>
  <c r="J386" i="3" s="1"/>
  <c r="H381" i="3"/>
  <c r="E380" i="3"/>
  <c r="F380" i="3" s="1"/>
  <c r="H380" i="3" s="1"/>
  <c r="K378" i="3"/>
  <c r="L378" i="3" s="1"/>
  <c r="I375" i="3"/>
  <c r="J375" i="3" s="1"/>
  <c r="K375" i="3"/>
  <c r="L375" i="3" s="1"/>
  <c r="H372" i="3"/>
  <c r="I370" i="3"/>
  <c r="J370" i="3" s="1"/>
  <c r="H365" i="3"/>
  <c r="E364" i="3"/>
  <c r="F364" i="3" s="1"/>
  <c r="H364" i="3" s="1"/>
  <c r="K362" i="3"/>
  <c r="L362" i="3" s="1"/>
  <c r="I359" i="3"/>
  <c r="J359" i="3" s="1"/>
  <c r="K359" i="3"/>
  <c r="L359" i="3" s="1"/>
  <c r="I354" i="3"/>
  <c r="K346" i="3"/>
  <c r="L346" i="3" s="1"/>
  <c r="M346" i="3" s="1"/>
  <c r="N346" i="3" s="1"/>
  <c r="I343" i="3"/>
  <c r="J343" i="3" s="1"/>
  <c r="I338" i="3"/>
  <c r="J338" i="3" s="1"/>
  <c r="K330" i="3"/>
  <c r="L330" i="3" s="1"/>
  <c r="M330" i="3" s="1"/>
  <c r="N330" i="3" s="1"/>
  <c r="I327" i="3"/>
  <c r="J327" i="3" s="1"/>
  <c r="I322" i="3"/>
  <c r="J322" i="3" s="1"/>
  <c r="C316" i="3"/>
  <c r="D316" i="3" s="1"/>
  <c r="I315" i="3"/>
  <c r="J315" i="3" s="1"/>
  <c r="I265" i="3"/>
  <c r="J265" i="3" s="1"/>
  <c r="I248" i="3"/>
  <c r="J248" i="3" s="1"/>
  <c r="C241" i="3"/>
  <c r="D241" i="3" s="1"/>
  <c r="C195" i="3"/>
  <c r="D195" i="3" s="1"/>
  <c r="J157" i="3"/>
  <c r="K157" i="3"/>
  <c r="L157" i="3" s="1"/>
  <c r="M157" i="3" s="1"/>
  <c r="C145" i="3"/>
  <c r="D145" i="3" s="1"/>
  <c r="K310" i="3"/>
  <c r="L310" i="3" s="1"/>
  <c r="M310" i="3" s="1"/>
  <c r="N310" i="3" s="1"/>
  <c r="K306" i="3"/>
  <c r="L306" i="3" s="1"/>
  <c r="M306" i="3" s="1"/>
  <c r="N306" i="3" s="1"/>
  <c r="K302" i="3"/>
  <c r="L302" i="3" s="1"/>
  <c r="M302" i="3" s="1"/>
  <c r="N302" i="3" s="1"/>
  <c r="I260" i="3"/>
  <c r="J260" i="3" s="1"/>
  <c r="C237" i="3"/>
  <c r="I228" i="3"/>
  <c r="J228" i="3" s="1"/>
  <c r="C221" i="3"/>
  <c r="D221" i="3" s="1"/>
  <c r="C183" i="3"/>
  <c r="D183" i="3" s="1"/>
  <c r="I174" i="3"/>
  <c r="C173" i="3"/>
  <c r="C161" i="3"/>
  <c r="D161" i="3" s="1"/>
  <c r="I126" i="3"/>
  <c r="J126" i="3" s="1"/>
  <c r="J113" i="3"/>
  <c r="K113" i="3"/>
  <c r="L113" i="3" s="1"/>
  <c r="M113" i="3" s="1"/>
  <c r="I62" i="3"/>
  <c r="J62" i="3" s="1"/>
  <c r="I42" i="3"/>
  <c r="J42" i="3" s="1"/>
  <c r="C41" i="3"/>
  <c r="D41" i="3" s="1"/>
  <c r="K476" i="3"/>
  <c r="L476" i="3" s="1"/>
  <c r="K472" i="3"/>
  <c r="L472" i="3" s="1"/>
  <c r="K468" i="3"/>
  <c r="L468" i="3" s="1"/>
  <c r="K464" i="3"/>
  <c r="L464" i="3" s="1"/>
  <c r="K460" i="3"/>
  <c r="L460" i="3" s="1"/>
  <c r="K456" i="3"/>
  <c r="L456" i="3" s="1"/>
  <c r="K452" i="3"/>
  <c r="L452" i="3" s="1"/>
  <c r="K448" i="3"/>
  <c r="L448" i="3" s="1"/>
  <c r="K444" i="3"/>
  <c r="L444" i="3" s="1"/>
  <c r="K440" i="3"/>
  <c r="L440" i="3" s="1"/>
  <c r="K436" i="3"/>
  <c r="L436" i="3" s="1"/>
  <c r="K432" i="3"/>
  <c r="L432" i="3" s="1"/>
  <c r="K428" i="3"/>
  <c r="L428" i="3" s="1"/>
  <c r="K424" i="3"/>
  <c r="L424" i="3" s="1"/>
  <c r="K420" i="3"/>
  <c r="L420" i="3" s="1"/>
  <c r="K416" i="3"/>
  <c r="L416" i="3" s="1"/>
  <c r="K412" i="3"/>
  <c r="L412" i="3" s="1"/>
  <c r="K408" i="3"/>
  <c r="L408" i="3" s="1"/>
  <c r="D403" i="3"/>
  <c r="H403" i="3" s="1"/>
  <c r="C402" i="3"/>
  <c r="D399" i="3"/>
  <c r="H399" i="3" s="1"/>
  <c r="C398" i="3"/>
  <c r="D398" i="3" s="1"/>
  <c r="D395" i="3"/>
  <c r="H395" i="3" s="1"/>
  <c r="C394" i="3"/>
  <c r="D394" i="3" s="1"/>
  <c r="E394" i="3"/>
  <c r="F394" i="3" s="1"/>
  <c r="D391" i="3"/>
  <c r="H391" i="3" s="1"/>
  <c r="C390" i="3"/>
  <c r="D387" i="3"/>
  <c r="H387" i="3" s="1"/>
  <c r="C386" i="3"/>
  <c r="D386" i="3" s="1"/>
  <c r="D383" i="3"/>
  <c r="H383" i="3" s="1"/>
  <c r="C382" i="3"/>
  <c r="D382" i="3" s="1"/>
  <c r="D379" i="3"/>
  <c r="H379" i="3" s="1"/>
  <c r="C378" i="3"/>
  <c r="D375" i="3"/>
  <c r="H375" i="3" s="1"/>
  <c r="C374" i="3"/>
  <c r="D374" i="3" s="1"/>
  <c r="E374" i="3"/>
  <c r="F374" i="3" s="1"/>
  <c r="D371" i="3"/>
  <c r="H371" i="3" s="1"/>
  <c r="C370" i="3"/>
  <c r="D370" i="3" s="1"/>
  <c r="C366" i="3"/>
  <c r="D366" i="3" s="1"/>
  <c r="D363" i="3"/>
  <c r="H363" i="3" s="1"/>
  <c r="C362" i="3"/>
  <c r="D362" i="3" s="1"/>
  <c r="E362" i="3"/>
  <c r="F362" i="3" s="1"/>
  <c r="D359" i="3"/>
  <c r="H359" i="3" s="1"/>
  <c r="C358" i="3"/>
  <c r="D358" i="3" s="1"/>
  <c r="D355" i="3"/>
  <c r="H355" i="3" s="1"/>
  <c r="C354" i="3"/>
  <c r="D354" i="3" s="1"/>
  <c r="E354" i="3"/>
  <c r="F354" i="3" s="1"/>
  <c r="D351" i="3"/>
  <c r="H351" i="3" s="1"/>
  <c r="C350" i="3"/>
  <c r="D350" i="3" s="1"/>
  <c r="C346" i="3"/>
  <c r="D346" i="3" s="1"/>
  <c r="C342" i="3"/>
  <c r="D342" i="3" s="1"/>
  <c r="C338" i="3"/>
  <c r="D338" i="3" s="1"/>
  <c r="C334" i="3"/>
  <c r="D334" i="3" s="1"/>
  <c r="C330" i="3"/>
  <c r="D330" i="3" s="1"/>
  <c r="C326" i="3"/>
  <c r="D326" i="3" s="1"/>
  <c r="C322" i="3"/>
  <c r="D322" i="3" s="1"/>
  <c r="C318" i="3"/>
  <c r="D318" i="3" s="1"/>
  <c r="C314" i="3"/>
  <c r="D314" i="3" s="1"/>
  <c r="C310" i="3"/>
  <c r="D310" i="3" s="1"/>
  <c r="C306" i="3"/>
  <c r="D306" i="3" s="1"/>
  <c r="C302" i="3"/>
  <c r="D302" i="3" s="1"/>
  <c r="C298" i="3"/>
  <c r="C294" i="3"/>
  <c r="D294" i="3" s="1"/>
  <c r="C290" i="3"/>
  <c r="D290" i="3" s="1"/>
  <c r="C286" i="3"/>
  <c r="D286" i="3" s="1"/>
  <c r="C282" i="3"/>
  <c r="D282" i="3" s="1"/>
  <c r="C278" i="3"/>
  <c r="D278" i="3" s="1"/>
  <c r="C274" i="3"/>
  <c r="D274" i="3" s="1"/>
  <c r="K269" i="3"/>
  <c r="L269" i="3" s="1"/>
  <c r="M269" i="3" s="1"/>
  <c r="N269" i="3" s="1"/>
  <c r="I256" i="3"/>
  <c r="J256" i="3" s="1"/>
  <c r="C249" i="3"/>
  <c r="I240" i="3"/>
  <c r="J240" i="3" s="1"/>
  <c r="C233" i="3"/>
  <c r="I224" i="3"/>
  <c r="J224" i="3" s="1"/>
  <c r="C217" i="3"/>
  <c r="I214" i="3"/>
  <c r="J214" i="3" s="1"/>
  <c r="C205" i="3"/>
  <c r="D205" i="3" s="1"/>
  <c r="C197" i="3"/>
  <c r="D197" i="3" s="1"/>
  <c r="C189" i="3"/>
  <c r="D189" i="3" s="1"/>
  <c r="C166" i="3"/>
  <c r="K160" i="3"/>
  <c r="L160" i="3" s="1"/>
  <c r="M160" i="3" s="1"/>
  <c r="J160" i="3"/>
  <c r="C157" i="3"/>
  <c r="J153" i="3"/>
  <c r="K153" i="3"/>
  <c r="L153" i="3" s="1"/>
  <c r="M153" i="3" s="1"/>
  <c r="C149" i="3"/>
  <c r="D149" i="3" s="1"/>
  <c r="J145" i="3"/>
  <c r="K145" i="3"/>
  <c r="L145" i="3" s="1"/>
  <c r="M145" i="3" s="1"/>
  <c r="C141" i="3"/>
  <c r="D141" i="3" s="1"/>
  <c r="J137" i="3"/>
  <c r="K137" i="3"/>
  <c r="L137" i="3" s="1"/>
  <c r="M137" i="3" s="1"/>
  <c r="C133" i="3"/>
  <c r="D133" i="3" s="1"/>
  <c r="J117" i="3"/>
  <c r="K117" i="3"/>
  <c r="L117" i="3" s="1"/>
  <c r="M117" i="3" s="1"/>
  <c r="I106" i="3"/>
  <c r="J106" i="3" s="1"/>
  <c r="C105" i="3"/>
  <c r="D105" i="3" s="1"/>
  <c r="C101" i="3"/>
  <c r="D101" i="3" s="1"/>
  <c r="C80" i="3"/>
  <c r="D80" i="3" s="1"/>
  <c r="C53" i="3"/>
  <c r="D53" i="3" s="1"/>
  <c r="J45" i="3"/>
  <c r="K45" i="3"/>
  <c r="L45" i="3" s="1"/>
  <c r="M45" i="3" s="1"/>
  <c r="C42" i="3"/>
  <c r="D42" i="3" s="1"/>
  <c r="K318" i="3"/>
  <c r="L318" i="3" s="1"/>
  <c r="M318" i="3" s="1"/>
  <c r="N318" i="3" s="1"/>
  <c r="I314" i="3"/>
  <c r="J314" i="3" s="1"/>
  <c r="K298" i="3"/>
  <c r="L298" i="3" s="1"/>
  <c r="M298" i="3" s="1"/>
  <c r="N298" i="3" s="1"/>
  <c r="K294" i="3"/>
  <c r="L294" i="3" s="1"/>
  <c r="M294" i="3" s="1"/>
  <c r="N294" i="3" s="1"/>
  <c r="K290" i="3"/>
  <c r="L290" i="3" s="1"/>
  <c r="M290" i="3" s="1"/>
  <c r="N290" i="3" s="1"/>
  <c r="K286" i="3"/>
  <c r="L286" i="3" s="1"/>
  <c r="M286" i="3" s="1"/>
  <c r="N286" i="3" s="1"/>
  <c r="K282" i="3"/>
  <c r="L282" i="3" s="1"/>
  <c r="M282" i="3" s="1"/>
  <c r="N282" i="3" s="1"/>
  <c r="K278" i="3"/>
  <c r="L278" i="3" s="1"/>
  <c r="M278" i="3" s="1"/>
  <c r="N278" i="3" s="1"/>
  <c r="K274" i="3"/>
  <c r="L274" i="3" s="1"/>
  <c r="M274" i="3" s="1"/>
  <c r="N274" i="3" s="1"/>
  <c r="K262" i="3"/>
  <c r="L262" i="3" s="1"/>
  <c r="M262" i="3" s="1"/>
  <c r="N262" i="3" s="1"/>
  <c r="C253" i="3"/>
  <c r="D253" i="3" s="1"/>
  <c r="I244" i="3"/>
  <c r="J244" i="3" s="1"/>
  <c r="K270" i="3"/>
  <c r="L270" i="3" s="1"/>
  <c r="M270" i="3" s="1"/>
  <c r="N270" i="3" s="1"/>
  <c r="I252" i="3"/>
  <c r="J252" i="3" s="1"/>
  <c r="C245" i="3"/>
  <c r="D245" i="3" s="1"/>
  <c r="I236" i="3"/>
  <c r="J236" i="3" s="1"/>
  <c r="C229" i="3"/>
  <c r="D229" i="3" s="1"/>
  <c r="I220" i="3"/>
  <c r="J220" i="3" s="1"/>
  <c r="C213" i="3"/>
  <c r="D213" i="3" s="1"/>
  <c r="J129" i="3"/>
  <c r="K129" i="3"/>
  <c r="L129" i="3" s="1"/>
  <c r="M129" i="3" s="1"/>
  <c r="I110" i="3"/>
  <c r="J110" i="3" s="1"/>
  <c r="I258" i="3"/>
  <c r="J258" i="3" s="1"/>
  <c r="I254" i="3"/>
  <c r="I250" i="3"/>
  <c r="J250" i="3" s="1"/>
  <c r="I246" i="3"/>
  <c r="I242" i="3"/>
  <c r="J242" i="3" s="1"/>
  <c r="I238" i="3"/>
  <c r="J238" i="3" s="1"/>
  <c r="I234" i="3"/>
  <c r="J234" i="3" s="1"/>
  <c r="I230" i="3"/>
  <c r="J230" i="3" s="1"/>
  <c r="I226" i="3"/>
  <c r="J226" i="3" s="1"/>
  <c r="I222" i="3"/>
  <c r="J222" i="3" s="1"/>
  <c r="I218" i="3"/>
  <c r="J218" i="3" s="1"/>
  <c r="I212" i="3"/>
  <c r="J212" i="3" s="1"/>
  <c r="J173" i="3"/>
  <c r="K173" i="3"/>
  <c r="L173" i="3" s="1"/>
  <c r="M173" i="3" s="1"/>
  <c r="I130" i="3"/>
  <c r="J130" i="3" s="1"/>
  <c r="J121" i="3"/>
  <c r="K121" i="3"/>
  <c r="L121" i="3" s="1"/>
  <c r="M121" i="3" s="1"/>
  <c r="I114" i="3"/>
  <c r="J114" i="3" s="1"/>
  <c r="J105" i="3"/>
  <c r="K105" i="3"/>
  <c r="L105" i="3" s="1"/>
  <c r="M105" i="3" s="1"/>
  <c r="I86" i="3"/>
  <c r="J86" i="3" s="1"/>
  <c r="K72" i="3"/>
  <c r="L72" i="3" s="1"/>
  <c r="M72" i="3" s="1"/>
  <c r="J72" i="3"/>
  <c r="C70" i="3"/>
  <c r="D70" i="3" s="1"/>
  <c r="C68" i="3"/>
  <c r="D68" i="3" s="1"/>
  <c r="C57" i="3"/>
  <c r="D57" i="3" s="1"/>
  <c r="C29" i="3"/>
  <c r="D29" i="3" s="1"/>
  <c r="K404" i="3"/>
  <c r="L404" i="3" s="1"/>
  <c r="K400" i="3"/>
  <c r="L400" i="3" s="1"/>
  <c r="K396" i="3"/>
  <c r="L396" i="3" s="1"/>
  <c r="K392" i="3"/>
  <c r="L392" i="3" s="1"/>
  <c r="K388" i="3"/>
  <c r="L388" i="3" s="1"/>
  <c r="K384" i="3"/>
  <c r="L384" i="3" s="1"/>
  <c r="K380" i="3"/>
  <c r="L380" i="3" s="1"/>
  <c r="K376" i="3"/>
  <c r="L376" i="3" s="1"/>
  <c r="K372" i="3"/>
  <c r="L372" i="3" s="1"/>
  <c r="K368" i="3"/>
  <c r="L368" i="3" s="1"/>
  <c r="K364" i="3"/>
  <c r="L364" i="3" s="1"/>
  <c r="K360" i="3"/>
  <c r="L360" i="3" s="1"/>
  <c r="K356" i="3"/>
  <c r="L356" i="3" s="1"/>
  <c r="K352" i="3"/>
  <c r="L352" i="3" s="1"/>
  <c r="K348" i="3"/>
  <c r="L348" i="3" s="1"/>
  <c r="M348" i="3" s="1"/>
  <c r="N348" i="3" s="1"/>
  <c r="K344" i="3"/>
  <c r="L344" i="3" s="1"/>
  <c r="M344" i="3" s="1"/>
  <c r="N344" i="3" s="1"/>
  <c r="K340" i="3"/>
  <c r="L340" i="3" s="1"/>
  <c r="M340" i="3" s="1"/>
  <c r="N340" i="3" s="1"/>
  <c r="K336" i="3"/>
  <c r="L336" i="3" s="1"/>
  <c r="M336" i="3" s="1"/>
  <c r="N336" i="3" s="1"/>
  <c r="K332" i="3"/>
  <c r="L332" i="3" s="1"/>
  <c r="M332" i="3" s="1"/>
  <c r="N332" i="3" s="1"/>
  <c r="K328" i="3"/>
  <c r="L328" i="3" s="1"/>
  <c r="M328" i="3" s="1"/>
  <c r="N328" i="3" s="1"/>
  <c r="K324" i="3"/>
  <c r="L324" i="3" s="1"/>
  <c r="M324" i="3" s="1"/>
  <c r="N324" i="3" s="1"/>
  <c r="K320" i="3"/>
  <c r="L320" i="3" s="1"/>
  <c r="M320" i="3" s="1"/>
  <c r="N320" i="3" s="1"/>
  <c r="K316" i="3"/>
  <c r="L316" i="3" s="1"/>
  <c r="M316" i="3" s="1"/>
  <c r="N316" i="3" s="1"/>
  <c r="K312" i="3"/>
  <c r="L312" i="3" s="1"/>
  <c r="M312" i="3" s="1"/>
  <c r="N312" i="3" s="1"/>
  <c r="K308" i="3"/>
  <c r="L308" i="3" s="1"/>
  <c r="M308" i="3" s="1"/>
  <c r="N308" i="3" s="1"/>
  <c r="K304" i="3"/>
  <c r="L304" i="3" s="1"/>
  <c r="M304" i="3" s="1"/>
  <c r="N304" i="3" s="1"/>
  <c r="K300" i="3"/>
  <c r="L300" i="3" s="1"/>
  <c r="M300" i="3" s="1"/>
  <c r="N300" i="3" s="1"/>
  <c r="K296" i="3"/>
  <c r="L296" i="3" s="1"/>
  <c r="M296" i="3" s="1"/>
  <c r="N296" i="3" s="1"/>
  <c r="K292" i="3"/>
  <c r="L292" i="3" s="1"/>
  <c r="M292" i="3" s="1"/>
  <c r="N292" i="3" s="1"/>
  <c r="K288" i="3"/>
  <c r="L288" i="3" s="1"/>
  <c r="M288" i="3" s="1"/>
  <c r="N288" i="3" s="1"/>
  <c r="K284" i="3"/>
  <c r="L284" i="3" s="1"/>
  <c r="M284" i="3" s="1"/>
  <c r="N284" i="3" s="1"/>
  <c r="K280" i="3"/>
  <c r="L280" i="3" s="1"/>
  <c r="M280" i="3" s="1"/>
  <c r="N280" i="3" s="1"/>
  <c r="K276" i="3"/>
  <c r="L276" i="3" s="1"/>
  <c r="M276" i="3" s="1"/>
  <c r="N276" i="3" s="1"/>
  <c r="K272" i="3"/>
  <c r="L272" i="3" s="1"/>
  <c r="M272" i="3" s="1"/>
  <c r="N272" i="3" s="1"/>
  <c r="K271" i="3"/>
  <c r="L271" i="3" s="1"/>
  <c r="M271" i="3" s="1"/>
  <c r="N271" i="3" s="1"/>
  <c r="K268" i="3"/>
  <c r="L268" i="3" s="1"/>
  <c r="M268" i="3" s="1"/>
  <c r="N268" i="3" s="1"/>
  <c r="K267" i="3"/>
  <c r="L267" i="3" s="1"/>
  <c r="M267" i="3" s="1"/>
  <c r="N267" i="3" s="1"/>
  <c r="K264" i="3"/>
  <c r="L264" i="3" s="1"/>
  <c r="M264" i="3" s="1"/>
  <c r="N264" i="3" s="1"/>
  <c r="K263" i="3"/>
  <c r="L263" i="3" s="1"/>
  <c r="M263" i="3" s="1"/>
  <c r="N263" i="3" s="1"/>
  <c r="K257" i="3"/>
  <c r="L257" i="3" s="1"/>
  <c r="M257" i="3" s="1"/>
  <c r="N257" i="3" s="1"/>
  <c r="K253" i="3"/>
  <c r="L253" i="3" s="1"/>
  <c r="M253" i="3" s="1"/>
  <c r="N253" i="3" s="1"/>
  <c r="K249" i="3"/>
  <c r="L249" i="3" s="1"/>
  <c r="M249" i="3" s="1"/>
  <c r="N249" i="3" s="1"/>
  <c r="K245" i="3"/>
  <c r="L245" i="3" s="1"/>
  <c r="M245" i="3" s="1"/>
  <c r="N245" i="3" s="1"/>
  <c r="K241" i="3"/>
  <c r="L241" i="3" s="1"/>
  <c r="M241" i="3" s="1"/>
  <c r="N241" i="3" s="1"/>
  <c r="K237" i="3"/>
  <c r="L237" i="3" s="1"/>
  <c r="M237" i="3" s="1"/>
  <c r="N237" i="3" s="1"/>
  <c r="K233" i="3"/>
  <c r="L233" i="3" s="1"/>
  <c r="M233" i="3" s="1"/>
  <c r="N233" i="3" s="1"/>
  <c r="K229" i="3"/>
  <c r="L229" i="3" s="1"/>
  <c r="M229" i="3" s="1"/>
  <c r="N229" i="3" s="1"/>
  <c r="K225" i="3"/>
  <c r="L225" i="3" s="1"/>
  <c r="M225" i="3" s="1"/>
  <c r="N225" i="3" s="1"/>
  <c r="K221" i="3"/>
  <c r="L221" i="3" s="1"/>
  <c r="M221" i="3" s="1"/>
  <c r="N221" i="3" s="1"/>
  <c r="K217" i="3"/>
  <c r="L217" i="3" s="1"/>
  <c r="M217" i="3" s="1"/>
  <c r="N217" i="3" s="1"/>
  <c r="K213" i="3"/>
  <c r="L213" i="3" s="1"/>
  <c r="M213" i="3" s="1"/>
  <c r="N213" i="3" s="1"/>
  <c r="C170" i="3"/>
  <c r="D170" i="3" s="1"/>
  <c r="I158" i="3"/>
  <c r="J158" i="3" s="1"/>
  <c r="I154" i="3"/>
  <c r="J154" i="3" s="1"/>
  <c r="I150" i="3"/>
  <c r="J150" i="3" s="1"/>
  <c r="I146" i="3"/>
  <c r="J146" i="3" s="1"/>
  <c r="I142" i="3"/>
  <c r="J142" i="3" s="1"/>
  <c r="I138" i="3"/>
  <c r="J138" i="3" s="1"/>
  <c r="I134" i="3"/>
  <c r="J134" i="3" s="1"/>
  <c r="J125" i="3"/>
  <c r="K125" i="3"/>
  <c r="L125" i="3" s="1"/>
  <c r="M125" i="3" s="1"/>
  <c r="I118" i="3"/>
  <c r="J118" i="3" s="1"/>
  <c r="J109" i="3"/>
  <c r="K109" i="3"/>
  <c r="L109" i="3" s="1"/>
  <c r="M109" i="3" s="1"/>
  <c r="I102" i="3"/>
  <c r="J102" i="3" s="1"/>
  <c r="I100" i="3"/>
  <c r="J100" i="3" s="1"/>
  <c r="C52" i="3"/>
  <c r="D52" i="3" s="1"/>
  <c r="K31" i="3"/>
  <c r="L31" i="3" s="1"/>
  <c r="M31" i="3" s="1"/>
  <c r="N31" i="3" s="1"/>
  <c r="K259" i="3"/>
  <c r="L259" i="3" s="1"/>
  <c r="M259" i="3" s="1"/>
  <c r="N259" i="3" s="1"/>
  <c r="K255" i="3"/>
  <c r="L255" i="3" s="1"/>
  <c r="M255" i="3" s="1"/>
  <c r="N255" i="3" s="1"/>
  <c r="K251" i="3"/>
  <c r="L251" i="3" s="1"/>
  <c r="M251" i="3" s="1"/>
  <c r="N251" i="3" s="1"/>
  <c r="K247" i="3"/>
  <c r="L247" i="3" s="1"/>
  <c r="M247" i="3" s="1"/>
  <c r="N247" i="3" s="1"/>
  <c r="K243" i="3"/>
  <c r="L243" i="3" s="1"/>
  <c r="M243" i="3" s="1"/>
  <c r="N243" i="3" s="1"/>
  <c r="K239" i="3"/>
  <c r="L239" i="3" s="1"/>
  <c r="M239" i="3" s="1"/>
  <c r="N239" i="3" s="1"/>
  <c r="K235" i="3"/>
  <c r="L235" i="3" s="1"/>
  <c r="M235" i="3" s="1"/>
  <c r="N235" i="3" s="1"/>
  <c r="K231" i="3"/>
  <c r="L231" i="3" s="1"/>
  <c r="M231" i="3" s="1"/>
  <c r="N231" i="3" s="1"/>
  <c r="K227" i="3"/>
  <c r="L227" i="3" s="1"/>
  <c r="M227" i="3" s="1"/>
  <c r="N227" i="3" s="1"/>
  <c r="K223" i="3"/>
  <c r="L223" i="3" s="1"/>
  <c r="M223" i="3" s="1"/>
  <c r="N223" i="3" s="1"/>
  <c r="K219" i="3"/>
  <c r="L219" i="3" s="1"/>
  <c r="M219" i="3" s="1"/>
  <c r="N219" i="3" s="1"/>
  <c r="K215" i="3"/>
  <c r="L215" i="3" s="1"/>
  <c r="M215" i="3" s="1"/>
  <c r="N215" i="3" s="1"/>
  <c r="K210" i="3"/>
  <c r="L210" i="3" s="1"/>
  <c r="M210" i="3" s="1"/>
  <c r="N210" i="3" s="1"/>
  <c r="K208" i="3"/>
  <c r="L208" i="3" s="1"/>
  <c r="M208" i="3" s="1"/>
  <c r="N208" i="3" s="1"/>
  <c r="K206" i="3"/>
  <c r="L206" i="3" s="1"/>
  <c r="M206" i="3" s="1"/>
  <c r="N206" i="3" s="1"/>
  <c r="K204" i="3"/>
  <c r="L204" i="3" s="1"/>
  <c r="M204" i="3" s="1"/>
  <c r="N204" i="3" s="1"/>
  <c r="K202" i="3"/>
  <c r="L202" i="3" s="1"/>
  <c r="M202" i="3" s="1"/>
  <c r="N202" i="3" s="1"/>
  <c r="D202" i="3"/>
  <c r="K200" i="3"/>
  <c r="L200" i="3" s="1"/>
  <c r="M200" i="3" s="1"/>
  <c r="N200" i="3" s="1"/>
  <c r="K198" i="3"/>
  <c r="L198" i="3" s="1"/>
  <c r="M198" i="3" s="1"/>
  <c r="N198" i="3" s="1"/>
  <c r="K196" i="3"/>
  <c r="L196" i="3" s="1"/>
  <c r="M196" i="3" s="1"/>
  <c r="N196" i="3" s="1"/>
  <c r="K194" i="3"/>
  <c r="L194" i="3" s="1"/>
  <c r="M194" i="3" s="1"/>
  <c r="N194" i="3" s="1"/>
  <c r="K192" i="3"/>
  <c r="L192" i="3" s="1"/>
  <c r="M192" i="3" s="1"/>
  <c r="N192" i="3" s="1"/>
  <c r="K190" i="3"/>
  <c r="L190" i="3" s="1"/>
  <c r="M190" i="3" s="1"/>
  <c r="N190" i="3" s="1"/>
  <c r="E190" i="3"/>
  <c r="F190" i="3" s="1"/>
  <c r="G190" i="3" s="1"/>
  <c r="K188" i="3"/>
  <c r="L188" i="3" s="1"/>
  <c r="M188" i="3" s="1"/>
  <c r="N188" i="3" s="1"/>
  <c r="K186" i="3"/>
  <c r="L186" i="3" s="1"/>
  <c r="M186" i="3" s="1"/>
  <c r="N186" i="3" s="1"/>
  <c r="E186" i="3"/>
  <c r="F186" i="3" s="1"/>
  <c r="G186" i="3" s="1"/>
  <c r="D184" i="3"/>
  <c r="C174" i="3"/>
  <c r="D174" i="3" s="1"/>
  <c r="C158" i="3"/>
  <c r="D158" i="3" s="1"/>
  <c r="E155" i="3"/>
  <c r="F155" i="3" s="1"/>
  <c r="G155" i="3" s="1"/>
  <c r="C154" i="3"/>
  <c r="D154" i="3" s="1"/>
  <c r="C150" i="3"/>
  <c r="D150" i="3" s="1"/>
  <c r="C146" i="3"/>
  <c r="D146" i="3" s="1"/>
  <c r="C142" i="3"/>
  <c r="D142" i="3" s="1"/>
  <c r="C138" i="3"/>
  <c r="D138" i="3" s="1"/>
  <c r="C134" i="3"/>
  <c r="D134" i="3" s="1"/>
  <c r="K132" i="3"/>
  <c r="L132" i="3" s="1"/>
  <c r="M132" i="3" s="1"/>
  <c r="N132" i="3" s="1"/>
  <c r="C130" i="3"/>
  <c r="D130" i="3" s="1"/>
  <c r="K128" i="3"/>
  <c r="L128" i="3" s="1"/>
  <c r="M128" i="3" s="1"/>
  <c r="N128" i="3" s="1"/>
  <c r="C126" i="3"/>
  <c r="D126" i="3" s="1"/>
  <c r="K124" i="3"/>
  <c r="L124" i="3" s="1"/>
  <c r="M124" i="3" s="1"/>
  <c r="N124" i="3" s="1"/>
  <c r="C122" i="3"/>
  <c r="D122" i="3" s="1"/>
  <c r="K120" i="3"/>
  <c r="L120" i="3" s="1"/>
  <c r="M120" i="3" s="1"/>
  <c r="N120" i="3" s="1"/>
  <c r="C118" i="3"/>
  <c r="D118" i="3" s="1"/>
  <c r="K116" i="3"/>
  <c r="L116" i="3" s="1"/>
  <c r="M116" i="3" s="1"/>
  <c r="N116" i="3" s="1"/>
  <c r="C114" i="3"/>
  <c r="D114" i="3" s="1"/>
  <c r="K112" i="3"/>
  <c r="L112" i="3" s="1"/>
  <c r="M112" i="3" s="1"/>
  <c r="N112" i="3" s="1"/>
  <c r="C110" i="3"/>
  <c r="D110" i="3" s="1"/>
  <c r="K108" i="3"/>
  <c r="L108" i="3" s="1"/>
  <c r="M108" i="3" s="1"/>
  <c r="N108" i="3" s="1"/>
  <c r="C106" i="3"/>
  <c r="D106" i="3" s="1"/>
  <c r="K104" i="3"/>
  <c r="L104" i="3" s="1"/>
  <c r="M104" i="3" s="1"/>
  <c r="N104" i="3" s="1"/>
  <c r="C102" i="3"/>
  <c r="D102" i="3" s="1"/>
  <c r="C96" i="3"/>
  <c r="D96" i="3" s="1"/>
  <c r="J67" i="3"/>
  <c r="K67" i="3"/>
  <c r="L67" i="3" s="1"/>
  <c r="M67" i="3" s="1"/>
  <c r="C58" i="3"/>
  <c r="D58" i="3" s="1"/>
  <c r="I38" i="3"/>
  <c r="J38" i="3" s="1"/>
  <c r="K209" i="3"/>
  <c r="L209" i="3" s="1"/>
  <c r="M209" i="3" s="1"/>
  <c r="N209" i="3" s="1"/>
  <c r="K207" i="3"/>
  <c r="L207" i="3" s="1"/>
  <c r="M207" i="3" s="1"/>
  <c r="N207" i="3" s="1"/>
  <c r="K205" i="3"/>
  <c r="L205" i="3" s="1"/>
  <c r="M205" i="3" s="1"/>
  <c r="N205" i="3" s="1"/>
  <c r="K203" i="3"/>
  <c r="L203" i="3" s="1"/>
  <c r="M203" i="3" s="1"/>
  <c r="N203" i="3" s="1"/>
  <c r="K201" i="3"/>
  <c r="L201" i="3" s="1"/>
  <c r="M201" i="3" s="1"/>
  <c r="N201" i="3" s="1"/>
  <c r="K199" i="3"/>
  <c r="L199" i="3" s="1"/>
  <c r="M199" i="3" s="1"/>
  <c r="N199" i="3" s="1"/>
  <c r="K197" i="3"/>
  <c r="L197" i="3" s="1"/>
  <c r="M197" i="3" s="1"/>
  <c r="N197" i="3" s="1"/>
  <c r="K195" i="3"/>
  <c r="L195" i="3" s="1"/>
  <c r="M195" i="3" s="1"/>
  <c r="N195" i="3" s="1"/>
  <c r="K193" i="3"/>
  <c r="L193" i="3" s="1"/>
  <c r="M193" i="3" s="1"/>
  <c r="N193" i="3" s="1"/>
  <c r="K191" i="3"/>
  <c r="L191" i="3" s="1"/>
  <c r="M191" i="3" s="1"/>
  <c r="N191" i="3" s="1"/>
  <c r="K189" i="3"/>
  <c r="L189" i="3" s="1"/>
  <c r="M189" i="3" s="1"/>
  <c r="N189" i="3" s="1"/>
  <c r="K187" i="3"/>
  <c r="L187" i="3" s="1"/>
  <c r="M187" i="3" s="1"/>
  <c r="N187" i="3" s="1"/>
  <c r="K185" i="3"/>
  <c r="L185" i="3" s="1"/>
  <c r="M185" i="3" s="1"/>
  <c r="N185" i="3" s="1"/>
  <c r="K183" i="3"/>
  <c r="L183" i="3" s="1"/>
  <c r="M183" i="3" s="1"/>
  <c r="N183" i="3" s="1"/>
  <c r="K181" i="3"/>
  <c r="L181" i="3" s="1"/>
  <c r="M181" i="3" s="1"/>
  <c r="N181" i="3" s="1"/>
  <c r="K179" i="3"/>
  <c r="L179" i="3" s="1"/>
  <c r="M179" i="3" s="1"/>
  <c r="N179" i="3" s="1"/>
  <c r="K177" i="3"/>
  <c r="L177" i="3" s="1"/>
  <c r="M177" i="3" s="1"/>
  <c r="N177" i="3" s="1"/>
  <c r="K162" i="3"/>
  <c r="L162" i="3" s="1"/>
  <c r="M162" i="3" s="1"/>
  <c r="N162" i="3" s="1"/>
  <c r="C162" i="3"/>
  <c r="D162" i="3" s="1"/>
  <c r="C92" i="3"/>
  <c r="D92" i="3" s="1"/>
  <c r="K90" i="3"/>
  <c r="L90" i="3" s="1"/>
  <c r="M90" i="3" s="1"/>
  <c r="N90" i="3" s="1"/>
  <c r="J73" i="3"/>
  <c r="K73" i="3"/>
  <c r="L73" i="3" s="1"/>
  <c r="M73" i="3" s="1"/>
  <c r="J68" i="3"/>
  <c r="K68" i="3"/>
  <c r="L68" i="3" s="1"/>
  <c r="M68" i="3" s="1"/>
  <c r="J61" i="3"/>
  <c r="K61" i="3"/>
  <c r="L61" i="3" s="1"/>
  <c r="M61" i="3" s="1"/>
  <c r="J57" i="3"/>
  <c r="K57" i="3"/>
  <c r="L57" i="3" s="1"/>
  <c r="M57" i="3" s="1"/>
  <c r="K175" i="3"/>
  <c r="L175" i="3" s="1"/>
  <c r="M175" i="3" s="1"/>
  <c r="N175" i="3" s="1"/>
  <c r="K171" i="3"/>
  <c r="L171" i="3" s="1"/>
  <c r="M171" i="3" s="1"/>
  <c r="N171" i="3" s="1"/>
  <c r="K167" i="3"/>
  <c r="L167" i="3" s="1"/>
  <c r="M167" i="3" s="1"/>
  <c r="N167" i="3" s="1"/>
  <c r="K163" i="3"/>
  <c r="L163" i="3" s="1"/>
  <c r="M163" i="3" s="1"/>
  <c r="N163" i="3" s="1"/>
  <c r="K159" i="3"/>
  <c r="L159" i="3" s="1"/>
  <c r="M159" i="3" s="1"/>
  <c r="N159" i="3" s="1"/>
  <c r="K98" i="3"/>
  <c r="L98" i="3" s="1"/>
  <c r="M98" i="3" s="1"/>
  <c r="N98" i="3" s="1"/>
  <c r="K82" i="3"/>
  <c r="L82" i="3" s="1"/>
  <c r="M82" i="3" s="1"/>
  <c r="N82" i="3" s="1"/>
  <c r="K74" i="3"/>
  <c r="L74" i="3" s="1"/>
  <c r="M74" i="3" s="1"/>
  <c r="N74" i="3" s="1"/>
  <c r="J71" i="3"/>
  <c r="K71" i="3"/>
  <c r="L71" i="3" s="1"/>
  <c r="M71" i="3" s="1"/>
  <c r="C54" i="3"/>
  <c r="D54" i="3" s="1"/>
  <c r="J52" i="3"/>
  <c r="K52" i="3"/>
  <c r="L52" i="3" s="1"/>
  <c r="M52" i="3" s="1"/>
  <c r="J51" i="3"/>
  <c r="K51" i="3"/>
  <c r="L51" i="3" s="1"/>
  <c r="M51" i="3" s="1"/>
  <c r="J41" i="3"/>
  <c r="K41" i="3"/>
  <c r="L41" i="3" s="1"/>
  <c r="M41" i="3" s="1"/>
  <c r="C37" i="3"/>
  <c r="D37" i="3" s="1"/>
  <c r="J20" i="3"/>
  <c r="K20" i="3"/>
  <c r="L20" i="3" s="1"/>
  <c r="M20" i="3" s="1"/>
  <c r="C16" i="3"/>
  <c r="D16" i="3" s="1"/>
  <c r="K94" i="3"/>
  <c r="L94" i="3" s="1"/>
  <c r="M94" i="3" s="1"/>
  <c r="N94" i="3" s="1"/>
  <c r="C74" i="3"/>
  <c r="D74" i="3" s="1"/>
  <c r="C73" i="3"/>
  <c r="D73" i="3" s="1"/>
  <c r="K58" i="3"/>
  <c r="L58" i="3" s="1"/>
  <c r="M58" i="3" s="1"/>
  <c r="N58" i="3" s="1"/>
  <c r="J55" i="3"/>
  <c r="K55" i="3"/>
  <c r="L55" i="3" s="1"/>
  <c r="M55" i="3" s="1"/>
  <c r="I23" i="3"/>
  <c r="J23" i="3" s="1"/>
  <c r="C8" i="3"/>
  <c r="D8" i="3" s="1"/>
  <c r="J75" i="3"/>
  <c r="K75" i="3"/>
  <c r="L75" i="3" s="1"/>
  <c r="M75" i="3" s="1"/>
  <c r="K69" i="3"/>
  <c r="L69" i="3" s="1"/>
  <c r="M69" i="3" s="1"/>
  <c r="N69" i="3" s="1"/>
  <c r="J59" i="3"/>
  <c r="K59" i="3"/>
  <c r="L59" i="3" s="1"/>
  <c r="M59" i="3" s="1"/>
  <c r="K53" i="3"/>
  <c r="L53" i="3" s="1"/>
  <c r="M53" i="3" s="1"/>
  <c r="N53" i="3" s="1"/>
  <c r="J43" i="3"/>
  <c r="K43" i="3"/>
  <c r="L43" i="3" s="1"/>
  <c r="M43" i="3" s="1"/>
  <c r="K35" i="3"/>
  <c r="L35" i="3" s="1"/>
  <c r="M35" i="3" s="1"/>
  <c r="N35" i="3" s="1"/>
  <c r="K96" i="3"/>
  <c r="L96" i="3" s="1"/>
  <c r="M96" i="3" s="1"/>
  <c r="N96" i="3" s="1"/>
  <c r="K92" i="3"/>
  <c r="L92" i="3" s="1"/>
  <c r="M92" i="3" s="1"/>
  <c r="N92" i="3" s="1"/>
  <c r="K88" i="3"/>
  <c r="L88" i="3" s="1"/>
  <c r="M88" i="3" s="1"/>
  <c r="N88" i="3" s="1"/>
  <c r="K84" i="3"/>
  <c r="L84" i="3" s="1"/>
  <c r="M84" i="3" s="1"/>
  <c r="N84" i="3" s="1"/>
  <c r="J79" i="3"/>
  <c r="K79" i="3"/>
  <c r="L79" i="3" s="1"/>
  <c r="M79" i="3" s="1"/>
  <c r="J63" i="3"/>
  <c r="K63" i="3"/>
  <c r="L63" i="3" s="1"/>
  <c r="M63" i="3" s="1"/>
  <c r="J47" i="3"/>
  <c r="K47" i="3"/>
  <c r="L47" i="3" s="1"/>
  <c r="M47" i="3" s="1"/>
  <c r="I37" i="3"/>
  <c r="J37" i="3" s="1"/>
  <c r="C22" i="3"/>
  <c r="D22" i="3" s="1"/>
  <c r="K39" i="3"/>
  <c r="L39" i="3" s="1"/>
  <c r="M39" i="3" s="1"/>
  <c r="N39" i="3" s="1"/>
  <c r="I33" i="3"/>
  <c r="J33" i="3" s="1"/>
  <c r="I27" i="3"/>
  <c r="J27" i="3" s="1"/>
  <c r="J24" i="3"/>
  <c r="K24" i="3"/>
  <c r="L24" i="3" s="1"/>
  <c r="M24" i="3" s="1"/>
  <c r="C26" i="3"/>
  <c r="D26" i="3" s="1"/>
  <c r="C14" i="3"/>
  <c r="D14" i="3" s="1"/>
  <c r="C6" i="3"/>
  <c r="D6" i="3" s="1"/>
  <c r="J28" i="3"/>
  <c r="K28" i="3"/>
  <c r="L28" i="3" s="1"/>
  <c r="M28" i="3" s="1"/>
  <c r="K19" i="3"/>
  <c r="L19" i="3" s="1"/>
  <c r="M19" i="3" s="1"/>
  <c r="N19" i="3" s="1"/>
  <c r="K15" i="3"/>
  <c r="L15" i="3" s="1"/>
  <c r="M15" i="3" s="1"/>
  <c r="N15" i="3" s="1"/>
  <c r="K13" i="3"/>
  <c r="L13" i="3" s="1"/>
  <c r="M13" i="3" s="1"/>
  <c r="N13" i="3" s="1"/>
  <c r="K11" i="3"/>
  <c r="L11" i="3" s="1"/>
  <c r="M11" i="3" s="1"/>
  <c r="N11" i="3" s="1"/>
  <c r="K9" i="3"/>
  <c r="L9" i="3" s="1"/>
  <c r="M9" i="3" s="1"/>
  <c r="N9" i="3" s="1"/>
  <c r="K7" i="3"/>
  <c r="L7" i="3" s="1"/>
  <c r="M7" i="3" s="1"/>
  <c r="N7" i="3" s="1"/>
  <c r="K5" i="3"/>
  <c r="L5" i="3" s="1"/>
  <c r="M5" i="3" s="1"/>
  <c r="N5" i="3" s="1"/>
  <c r="J16" i="3"/>
  <c r="K16" i="3"/>
  <c r="L16" i="3" s="1"/>
  <c r="M16" i="3" s="1"/>
  <c r="J14" i="3"/>
  <c r="K14" i="3"/>
  <c r="L14" i="3" s="1"/>
  <c r="M14" i="3" s="1"/>
  <c r="J12" i="3"/>
  <c r="K12" i="3"/>
  <c r="L12" i="3" s="1"/>
  <c r="M12" i="3" s="1"/>
  <c r="J10" i="3"/>
  <c r="K10" i="3"/>
  <c r="L10" i="3" s="1"/>
  <c r="M10" i="3" s="1"/>
  <c r="J8" i="3"/>
  <c r="K8" i="3"/>
  <c r="L8" i="3" s="1"/>
  <c r="M8" i="3" s="1"/>
  <c r="J6" i="3"/>
  <c r="K6" i="3"/>
  <c r="L6" i="3" s="1"/>
  <c r="M6" i="3" s="1"/>
  <c r="J4" i="3"/>
  <c r="K4" i="3"/>
  <c r="L4" i="3" s="1"/>
  <c r="M4" i="3" s="1"/>
  <c r="J2" i="3"/>
  <c r="K2" i="3"/>
  <c r="L2" i="3" s="1"/>
  <c r="M2" i="3" s="1"/>
  <c r="J1" i="3"/>
  <c r="N1" i="3" s="1"/>
  <c r="D327" i="3" l="1"/>
  <c r="H327" i="3" s="1"/>
  <c r="D244" i="3"/>
  <c r="D319" i="3"/>
  <c r="H319" i="3" s="1"/>
  <c r="E305" i="3"/>
  <c r="F305" i="3" s="1"/>
  <c r="G305" i="3" s="1"/>
  <c r="D175" i="3"/>
  <c r="K236" i="3"/>
  <c r="L236" i="3" s="1"/>
  <c r="M236" i="3" s="1"/>
  <c r="D171" i="3"/>
  <c r="E234" i="3"/>
  <c r="F234" i="3" s="1"/>
  <c r="G234" i="3" s="1"/>
  <c r="D234" i="3"/>
  <c r="A319" i="2"/>
  <c r="E163" i="3"/>
  <c r="F163" i="3" s="1"/>
  <c r="G163" i="3" s="1"/>
  <c r="D163" i="3"/>
  <c r="H163" i="3" s="1"/>
  <c r="A163" i="2" s="1"/>
  <c r="E339" i="3"/>
  <c r="F339" i="3" s="1"/>
  <c r="G339" i="3" s="1"/>
  <c r="D339" i="3"/>
  <c r="E206" i="3"/>
  <c r="F206" i="3" s="1"/>
  <c r="G206" i="3" s="1"/>
  <c r="D206" i="3"/>
  <c r="H206" i="3" s="1"/>
  <c r="A206" i="2" s="1"/>
  <c r="D299" i="3"/>
  <c r="H299" i="3" s="1"/>
  <c r="D297" i="3"/>
  <c r="D248" i="3"/>
  <c r="H248" i="3" s="1"/>
  <c r="E176" i="3"/>
  <c r="F176" i="3" s="1"/>
  <c r="G176" i="3" s="1"/>
  <c r="H176" i="3" s="1"/>
  <c r="A176" i="2" s="1"/>
  <c r="E200" i="3"/>
  <c r="F200" i="3" s="1"/>
  <c r="G200" i="3" s="1"/>
  <c r="E208" i="3"/>
  <c r="F208" i="3" s="1"/>
  <c r="G208" i="3" s="1"/>
  <c r="H208" i="3" s="1"/>
  <c r="A208" i="2" s="1"/>
  <c r="E214" i="3"/>
  <c r="F214" i="3" s="1"/>
  <c r="G214" i="3" s="1"/>
  <c r="H214" i="3" s="1"/>
  <c r="E215" i="3"/>
  <c r="F215" i="3" s="1"/>
  <c r="G215" i="3" s="1"/>
  <c r="H215" i="3" s="1"/>
  <c r="A215" i="2" s="1"/>
  <c r="E167" i="3"/>
  <c r="F167" i="3" s="1"/>
  <c r="G167" i="3" s="1"/>
  <c r="H167" i="3" s="1"/>
  <c r="A167" i="2" s="1"/>
  <c r="D291" i="3"/>
  <c r="H291" i="3" s="1"/>
  <c r="D220" i="3"/>
  <c r="E148" i="3"/>
  <c r="F148" i="3" s="1"/>
  <c r="G148" i="3" s="1"/>
  <c r="H148" i="3" s="1"/>
  <c r="A148" i="2" s="1"/>
  <c r="D307" i="3"/>
  <c r="H307" i="3" s="1"/>
  <c r="A307" i="2" s="1"/>
  <c r="D283" i="3"/>
  <c r="H283" i="3" s="1"/>
  <c r="D303" i="3"/>
  <c r="H303" i="3" s="1"/>
  <c r="K265" i="3"/>
  <c r="L265" i="3" s="1"/>
  <c r="M265" i="3" s="1"/>
  <c r="K343" i="3"/>
  <c r="L343" i="3" s="1"/>
  <c r="M343" i="3" s="1"/>
  <c r="N343" i="3" s="1"/>
  <c r="D313" i="3"/>
  <c r="E182" i="3"/>
  <c r="F182" i="3" s="1"/>
  <c r="G182" i="3" s="1"/>
  <c r="H182" i="3" s="1"/>
  <c r="E243" i="3"/>
  <c r="F243" i="3" s="1"/>
  <c r="G243" i="3" s="1"/>
  <c r="H243" i="3" s="1"/>
  <c r="A243" i="2" s="1"/>
  <c r="E156" i="3"/>
  <c r="F156" i="3" s="1"/>
  <c r="G156" i="3" s="1"/>
  <c r="H156" i="3" s="1"/>
  <c r="A156" i="2" s="1"/>
  <c r="D343" i="3"/>
  <c r="H343" i="3" s="1"/>
  <c r="H220" i="3"/>
  <c r="E164" i="3"/>
  <c r="F164" i="3" s="1"/>
  <c r="G164" i="3" s="1"/>
  <c r="H164" i="3" s="1"/>
  <c r="A164" i="2" s="1"/>
  <c r="D242" i="3"/>
  <c r="H242" i="3" s="1"/>
  <c r="D271" i="3"/>
  <c r="H271" i="3" s="1"/>
  <c r="A271" i="2" s="1"/>
  <c r="D277" i="3"/>
  <c r="H277" i="3" s="1"/>
  <c r="E1" i="3"/>
  <c r="F1" i="3" s="1"/>
  <c r="G1" i="3" s="1"/>
  <c r="H1" i="3" s="1"/>
  <c r="A1" i="2" s="1"/>
  <c r="N129" i="3"/>
  <c r="E147" i="3"/>
  <c r="F147" i="3" s="1"/>
  <c r="G147" i="3" s="1"/>
  <c r="H147" i="3" s="1"/>
  <c r="A147" i="2" s="1"/>
  <c r="E196" i="3"/>
  <c r="F196" i="3" s="1"/>
  <c r="G196" i="3" s="1"/>
  <c r="H196" i="3" s="1"/>
  <c r="A196" i="2" s="1"/>
  <c r="D258" i="3"/>
  <c r="H258" i="3" s="1"/>
  <c r="D275" i="3"/>
  <c r="H275" i="3" s="1"/>
  <c r="E241" i="3"/>
  <c r="F241" i="3" s="1"/>
  <c r="G241" i="3" s="1"/>
  <c r="H241" i="3" s="1"/>
  <c r="A241" i="2" s="1"/>
  <c r="H232" i="3"/>
  <c r="A232" i="2" s="1"/>
  <c r="N113" i="3"/>
  <c r="K234" i="3"/>
  <c r="L234" i="3" s="1"/>
  <c r="M234" i="3" s="1"/>
  <c r="E290" i="3"/>
  <c r="F290" i="3" s="1"/>
  <c r="G290" i="3" s="1"/>
  <c r="H290" i="3" s="1"/>
  <c r="A290" i="2" s="1"/>
  <c r="D347" i="3"/>
  <c r="H347" i="3" s="1"/>
  <c r="E320" i="3"/>
  <c r="F320" i="3" s="1"/>
  <c r="G320" i="3" s="1"/>
  <c r="H320" i="3" s="1"/>
  <c r="A320" i="2" s="1"/>
  <c r="D168" i="3"/>
  <c r="H244" i="3"/>
  <c r="D230" i="3"/>
  <c r="H230" i="3" s="1"/>
  <c r="D226" i="3"/>
  <c r="H226" i="3" s="1"/>
  <c r="A226" i="2" s="1"/>
  <c r="N133" i="3"/>
  <c r="N101" i="3"/>
  <c r="E36" i="3"/>
  <c r="F36" i="3" s="1"/>
  <c r="G36" i="3" s="1"/>
  <c r="H36" i="3" s="1"/>
  <c r="A36" i="2" s="1"/>
  <c r="D151" i="3"/>
  <c r="H151" i="3" s="1"/>
  <c r="A151" i="2" s="1"/>
  <c r="E159" i="3"/>
  <c r="F159" i="3" s="1"/>
  <c r="G159" i="3" s="1"/>
  <c r="H159" i="3" s="1"/>
  <c r="A159" i="2" s="1"/>
  <c r="N125" i="3"/>
  <c r="K212" i="3"/>
  <c r="L212" i="3" s="1"/>
  <c r="M212" i="3" s="1"/>
  <c r="N212" i="3" s="1"/>
  <c r="N137" i="3"/>
  <c r="E274" i="3"/>
  <c r="F274" i="3" s="1"/>
  <c r="G274" i="3" s="1"/>
  <c r="H274" i="3" s="1"/>
  <c r="A274" i="2" s="1"/>
  <c r="D315" i="3"/>
  <c r="H315" i="3" s="1"/>
  <c r="D323" i="3"/>
  <c r="H323" i="3" s="1"/>
  <c r="E342" i="3"/>
  <c r="F342" i="3" s="1"/>
  <c r="G342" i="3" s="1"/>
  <c r="H342" i="3" s="1"/>
  <c r="E153" i="3"/>
  <c r="F153" i="3" s="1"/>
  <c r="G153" i="3" s="1"/>
  <c r="H153" i="3" s="1"/>
  <c r="E203" i="3"/>
  <c r="F203" i="3" s="1"/>
  <c r="G203" i="3" s="1"/>
  <c r="H203" i="3" s="1"/>
  <c r="A203" i="2" s="1"/>
  <c r="K279" i="3"/>
  <c r="L279" i="3" s="1"/>
  <c r="M279" i="3" s="1"/>
  <c r="N279" i="3" s="1"/>
  <c r="N105" i="3"/>
  <c r="E38" i="3"/>
  <c r="F38" i="3" s="1"/>
  <c r="G38" i="3" s="1"/>
  <c r="E78" i="3"/>
  <c r="F78" i="3" s="1"/>
  <c r="G78" i="3" s="1"/>
  <c r="H78" i="3" s="1"/>
  <c r="A78" i="2" s="1"/>
  <c r="D180" i="3"/>
  <c r="H180" i="3" s="1"/>
  <c r="A180" i="2" s="1"/>
  <c r="D204" i="3"/>
  <c r="H204" i="3" s="1"/>
  <c r="A204" i="2" s="1"/>
  <c r="E251" i="3"/>
  <c r="F251" i="3" s="1"/>
  <c r="G251" i="3" s="1"/>
  <c r="H251" i="3" s="1"/>
  <c r="A251" i="2" s="1"/>
  <c r="K252" i="3"/>
  <c r="L252" i="3" s="1"/>
  <c r="M252" i="3" s="1"/>
  <c r="N252" i="3" s="1"/>
  <c r="E310" i="3"/>
  <c r="F310" i="3" s="1"/>
  <c r="G310" i="3" s="1"/>
  <c r="H310" i="3" s="1"/>
  <c r="A310" i="2" s="1"/>
  <c r="D335" i="3"/>
  <c r="H335" i="3" s="1"/>
  <c r="E332" i="3"/>
  <c r="F332" i="3" s="1"/>
  <c r="K285" i="3"/>
  <c r="L285" i="3" s="1"/>
  <c r="M285" i="3" s="1"/>
  <c r="N285" i="3" s="1"/>
  <c r="H305" i="3"/>
  <c r="A305" i="2" s="1"/>
  <c r="K176" i="3"/>
  <c r="L176" i="3" s="1"/>
  <c r="M176" i="3" s="1"/>
  <c r="N176" i="3" s="1"/>
  <c r="H175" i="3"/>
  <c r="A175" i="2" s="1"/>
  <c r="E165" i="3"/>
  <c r="F165" i="3" s="1"/>
  <c r="G165" i="3" s="1"/>
  <c r="H165" i="3" s="1"/>
  <c r="A165" i="2" s="1"/>
  <c r="D279" i="3"/>
  <c r="H279" i="3" s="1"/>
  <c r="A279" i="2" s="1"/>
  <c r="D329" i="3"/>
  <c r="H329" i="3" s="1"/>
  <c r="A329" i="2" s="1"/>
  <c r="N59" i="3"/>
  <c r="N55" i="3"/>
  <c r="N51" i="3"/>
  <c r="H186" i="3"/>
  <c r="A186" i="2" s="1"/>
  <c r="D194" i="3"/>
  <c r="H194" i="3" s="1"/>
  <c r="A194" i="2" s="1"/>
  <c r="K218" i="3"/>
  <c r="L218" i="3" s="1"/>
  <c r="M218" i="3" s="1"/>
  <c r="N218" i="3" s="1"/>
  <c r="N45" i="3"/>
  <c r="N160" i="3"/>
  <c r="E197" i="3"/>
  <c r="F197" i="3" s="1"/>
  <c r="G197" i="3" s="1"/>
  <c r="H197" i="3" s="1"/>
  <c r="A197" i="2" s="1"/>
  <c r="D311" i="3"/>
  <c r="H311" i="3" s="1"/>
  <c r="N157" i="3"/>
  <c r="K248" i="3"/>
  <c r="L248" i="3" s="1"/>
  <c r="M248" i="3" s="1"/>
  <c r="E304" i="3"/>
  <c r="F304" i="3" s="1"/>
  <c r="G304" i="3" s="1"/>
  <c r="H304" i="3" s="1"/>
  <c r="A304" i="2" s="1"/>
  <c r="K311" i="3"/>
  <c r="L311" i="3" s="1"/>
  <c r="M311" i="3" s="1"/>
  <c r="N311" i="3" s="1"/>
  <c r="N168" i="3"/>
  <c r="K155" i="3"/>
  <c r="L155" i="3" s="1"/>
  <c r="M155" i="3" s="1"/>
  <c r="N155" i="3" s="1"/>
  <c r="K329" i="3"/>
  <c r="L329" i="3" s="1"/>
  <c r="M329" i="3" s="1"/>
  <c r="N329" i="3" s="1"/>
  <c r="D127" i="3"/>
  <c r="H127" i="3" s="1"/>
  <c r="E223" i="3"/>
  <c r="F223" i="3" s="1"/>
  <c r="G223" i="3" s="1"/>
  <c r="H223" i="3" s="1"/>
  <c r="A223" i="2" s="1"/>
  <c r="E231" i="3"/>
  <c r="F231" i="3" s="1"/>
  <c r="G231" i="3" s="1"/>
  <c r="H231" i="3" s="1"/>
  <c r="A231" i="2" s="1"/>
  <c r="D295" i="3"/>
  <c r="H295" i="3" s="1"/>
  <c r="D198" i="3"/>
  <c r="H198" i="3" s="1"/>
  <c r="A198" i="2" s="1"/>
  <c r="E219" i="3"/>
  <c r="F219" i="3" s="1"/>
  <c r="G219" i="3" s="1"/>
  <c r="H219" i="3" s="1"/>
  <c r="A219" i="2" s="1"/>
  <c r="E227" i="3"/>
  <c r="F227" i="3" s="1"/>
  <c r="G227" i="3" s="1"/>
  <c r="H227" i="3" s="1"/>
  <c r="A227" i="2" s="1"/>
  <c r="E270" i="3"/>
  <c r="F270" i="3" s="1"/>
  <c r="G270" i="3" s="1"/>
  <c r="H270" i="3" s="1"/>
  <c r="A270" i="2" s="1"/>
  <c r="N72" i="3"/>
  <c r="K230" i="3"/>
  <c r="L230" i="3" s="1"/>
  <c r="M230" i="3" s="1"/>
  <c r="N230" i="3" s="1"/>
  <c r="E229" i="3"/>
  <c r="F229" i="3" s="1"/>
  <c r="G229" i="3" s="1"/>
  <c r="H229" i="3" s="1"/>
  <c r="A229" i="2" s="1"/>
  <c r="E245" i="3"/>
  <c r="F245" i="3" s="1"/>
  <c r="G245" i="3" s="1"/>
  <c r="H245" i="3" s="1"/>
  <c r="A245" i="2" s="1"/>
  <c r="E330" i="3"/>
  <c r="F330" i="3" s="1"/>
  <c r="G330" i="3" s="1"/>
  <c r="H330" i="3" s="1"/>
  <c r="A330" i="2" s="1"/>
  <c r="K319" i="3"/>
  <c r="L319" i="3" s="1"/>
  <c r="M319" i="3" s="1"/>
  <c r="N319" i="3" s="1"/>
  <c r="N56" i="3"/>
  <c r="J254" i="3"/>
  <c r="K254" i="3"/>
  <c r="L254" i="3" s="1"/>
  <c r="M254" i="3" s="1"/>
  <c r="E210" i="3"/>
  <c r="F210" i="3" s="1"/>
  <c r="G210" i="3" s="1"/>
  <c r="H210" i="3" s="1"/>
  <c r="A210" i="2" s="1"/>
  <c r="D212" i="3"/>
  <c r="H212" i="3" s="1"/>
  <c r="A212" i="2" s="1"/>
  <c r="D166" i="3"/>
  <c r="E166" i="3"/>
  <c r="F166" i="3" s="1"/>
  <c r="G166" i="3" s="1"/>
  <c r="D298" i="3"/>
  <c r="E298" i="3"/>
  <c r="F298" i="3" s="1"/>
  <c r="G298" i="3" s="1"/>
  <c r="J323" i="3"/>
  <c r="K323" i="3"/>
  <c r="L323" i="3" s="1"/>
  <c r="M323" i="3" s="1"/>
  <c r="E336" i="3"/>
  <c r="F336" i="3" s="1"/>
  <c r="D178" i="3"/>
  <c r="H178" i="3" s="1"/>
  <c r="A178" i="2" s="1"/>
  <c r="H202" i="3"/>
  <c r="A202" i="2" s="1"/>
  <c r="E239" i="3"/>
  <c r="F239" i="3" s="1"/>
  <c r="E247" i="3"/>
  <c r="F247" i="3" s="1"/>
  <c r="E255" i="3"/>
  <c r="F255" i="3" s="1"/>
  <c r="D157" i="3"/>
  <c r="E157" i="3"/>
  <c r="F157" i="3" s="1"/>
  <c r="G157" i="3" s="1"/>
  <c r="K214" i="3"/>
  <c r="L214" i="3" s="1"/>
  <c r="M214" i="3" s="1"/>
  <c r="N214" i="3" s="1"/>
  <c r="D249" i="3"/>
  <c r="E249" i="3"/>
  <c r="F249" i="3" s="1"/>
  <c r="G249" i="3" s="1"/>
  <c r="E278" i="3"/>
  <c r="F278" i="3" s="1"/>
  <c r="G278" i="3" s="1"/>
  <c r="H278" i="3" s="1"/>
  <c r="A278" i="2" s="1"/>
  <c r="E322" i="3"/>
  <c r="F322" i="3" s="1"/>
  <c r="G322" i="3" s="1"/>
  <c r="H322" i="3" s="1"/>
  <c r="E161" i="3"/>
  <c r="F161" i="3" s="1"/>
  <c r="G161" i="3" s="1"/>
  <c r="H161" i="3" s="1"/>
  <c r="A161" i="2" s="1"/>
  <c r="E267" i="3"/>
  <c r="F267" i="3" s="1"/>
  <c r="G267" i="3" s="1"/>
  <c r="H267" i="3" s="1"/>
  <c r="A267" i="2" s="1"/>
  <c r="N164" i="3"/>
  <c r="N111" i="3"/>
  <c r="E285" i="3"/>
  <c r="F285" i="3" s="1"/>
  <c r="D285" i="3"/>
  <c r="D233" i="3"/>
  <c r="E233" i="3"/>
  <c r="F233" i="3" s="1"/>
  <c r="G233" i="3" s="1"/>
  <c r="G332" i="3"/>
  <c r="H332" i="3" s="1"/>
  <c r="A332" i="2" s="1"/>
  <c r="G321" i="3"/>
  <c r="H321" i="3" s="1"/>
  <c r="E309" i="3"/>
  <c r="F309" i="3" s="1"/>
  <c r="G309" i="3" s="1"/>
  <c r="D309" i="3"/>
  <c r="J293" i="3"/>
  <c r="K293" i="3"/>
  <c r="L293" i="3" s="1"/>
  <c r="M293" i="3" s="1"/>
  <c r="E228" i="3"/>
  <c r="F228" i="3" s="1"/>
  <c r="G228" i="3" s="1"/>
  <c r="D228" i="3"/>
  <c r="E174" i="3"/>
  <c r="F174" i="3" s="1"/>
  <c r="G174" i="3" s="1"/>
  <c r="H174" i="3" s="1"/>
  <c r="E192" i="3"/>
  <c r="F192" i="3" s="1"/>
  <c r="G192" i="3" s="1"/>
  <c r="H192" i="3" s="1"/>
  <c r="A192" i="2" s="1"/>
  <c r="K146" i="3"/>
  <c r="L146" i="3" s="1"/>
  <c r="M146" i="3" s="1"/>
  <c r="N146" i="3" s="1"/>
  <c r="E262" i="3"/>
  <c r="F262" i="3" s="1"/>
  <c r="G262" i="3" s="1"/>
  <c r="H262" i="3" s="1"/>
  <c r="A262" i="2" s="1"/>
  <c r="K222" i="3"/>
  <c r="L222" i="3" s="1"/>
  <c r="M222" i="3" s="1"/>
  <c r="N222" i="3" s="1"/>
  <c r="N234" i="3"/>
  <c r="J246" i="3"/>
  <c r="K246" i="3"/>
  <c r="L246" i="3" s="1"/>
  <c r="M246" i="3" s="1"/>
  <c r="N145" i="3"/>
  <c r="N153" i="3"/>
  <c r="D217" i="3"/>
  <c r="E217" i="3"/>
  <c r="F217" i="3" s="1"/>
  <c r="G217" i="3" s="1"/>
  <c r="D173" i="3"/>
  <c r="E173" i="3"/>
  <c r="F173" i="3" s="1"/>
  <c r="G173" i="3" s="1"/>
  <c r="K228" i="3"/>
  <c r="L228" i="3" s="1"/>
  <c r="M228" i="3" s="1"/>
  <c r="N228" i="3" s="1"/>
  <c r="E187" i="3"/>
  <c r="F187" i="3" s="1"/>
  <c r="G187" i="3" s="1"/>
  <c r="H187" i="3" s="1"/>
  <c r="A187" i="2" s="1"/>
  <c r="D292" i="3"/>
  <c r="E292" i="3"/>
  <c r="F292" i="3" s="1"/>
  <c r="G292" i="3" s="1"/>
  <c r="K295" i="3"/>
  <c r="L295" i="3" s="1"/>
  <c r="M295" i="3" s="1"/>
  <c r="N295" i="3" s="1"/>
  <c r="N22" i="3"/>
  <c r="D266" i="3"/>
  <c r="E266" i="3"/>
  <c r="F266" i="3" s="1"/>
  <c r="D152" i="3"/>
  <c r="H152" i="3" s="1"/>
  <c r="J341" i="3"/>
  <c r="K341" i="3"/>
  <c r="L341" i="3" s="1"/>
  <c r="M341" i="3" s="1"/>
  <c r="E222" i="3"/>
  <c r="F222" i="3" s="1"/>
  <c r="G222" i="3" s="1"/>
  <c r="D222" i="3"/>
  <c r="E236" i="3"/>
  <c r="F236" i="3" s="1"/>
  <c r="G236" i="3" s="1"/>
  <c r="D236" i="3"/>
  <c r="N41" i="3"/>
  <c r="N52" i="3"/>
  <c r="N67" i="3"/>
  <c r="N173" i="3"/>
  <c r="N236" i="3"/>
  <c r="N265" i="3"/>
  <c r="E179" i="3"/>
  <c r="F179" i="3" s="1"/>
  <c r="G179" i="3" s="1"/>
  <c r="H179" i="3" s="1"/>
  <c r="A179" i="2" s="1"/>
  <c r="D238" i="3"/>
  <c r="H238" i="3" s="1"/>
  <c r="E276" i="3"/>
  <c r="F276" i="3" s="1"/>
  <c r="G276" i="3" s="1"/>
  <c r="H276" i="3" s="1"/>
  <c r="A276" i="2" s="1"/>
  <c r="N149" i="3"/>
  <c r="E296" i="3"/>
  <c r="F296" i="3" s="1"/>
  <c r="G296" i="3" s="1"/>
  <c r="H296" i="3" s="1"/>
  <c r="A296" i="2" s="1"/>
  <c r="K309" i="3"/>
  <c r="L309" i="3" s="1"/>
  <c r="M309" i="3" s="1"/>
  <c r="N309" i="3" s="1"/>
  <c r="N156" i="3"/>
  <c r="E260" i="3"/>
  <c r="F260" i="3" s="1"/>
  <c r="G260" i="3" s="1"/>
  <c r="H260" i="3" s="1"/>
  <c r="A260" i="2" s="1"/>
  <c r="E172" i="3"/>
  <c r="F172" i="3" s="1"/>
  <c r="G172" i="3" s="1"/>
  <c r="H172" i="3" s="1"/>
  <c r="K151" i="3"/>
  <c r="L151" i="3" s="1"/>
  <c r="M151" i="3" s="1"/>
  <c r="N151" i="3" s="1"/>
  <c r="H313" i="3"/>
  <c r="A313" i="2" s="1"/>
  <c r="N248" i="3"/>
  <c r="N141" i="3"/>
  <c r="E218" i="3"/>
  <c r="F218" i="3" s="1"/>
  <c r="G218" i="3" s="1"/>
  <c r="D218" i="3"/>
  <c r="E224" i="3"/>
  <c r="F224" i="3" s="1"/>
  <c r="G224" i="3" s="1"/>
  <c r="D224" i="3"/>
  <c r="E252" i="3"/>
  <c r="F252" i="3" s="1"/>
  <c r="G252" i="3" s="1"/>
  <c r="D252" i="3"/>
  <c r="N172" i="3"/>
  <c r="N4" i="3"/>
  <c r="N8" i="3"/>
  <c r="N12" i="3"/>
  <c r="N16" i="3"/>
  <c r="N2" i="3"/>
  <c r="N6" i="3"/>
  <c r="N10" i="3"/>
  <c r="N14" i="3"/>
  <c r="N24" i="3"/>
  <c r="D103" i="3"/>
  <c r="H103" i="3" s="1"/>
  <c r="N28" i="3"/>
  <c r="N63" i="3"/>
  <c r="N75" i="3"/>
  <c r="N20" i="3"/>
  <c r="N57" i="3"/>
  <c r="N68" i="3"/>
  <c r="N109" i="3"/>
  <c r="N121" i="3"/>
  <c r="N49" i="3"/>
  <c r="N47" i="3"/>
  <c r="N79" i="3"/>
  <c r="N43" i="3"/>
  <c r="N71" i="3"/>
  <c r="N61" i="3"/>
  <c r="N73" i="3"/>
  <c r="N117" i="3"/>
  <c r="N103" i="3"/>
  <c r="N81" i="3"/>
  <c r="E115" i="3"/>
  <c r="F115" i="3" s="1"/>
  <c r="G115" i="3" s="1"/>
  <c r="H115" i="3" s="1"/>
  <c r="A115" i="2" s="1"/>
  <c r="E32" i="3"/>
  <c r="F32" i="3" s="1"/>
  <c r="G32" i="3" s="1"/>
  <c r="H32" i="3" s="1"/>
  <c r="A32" i="2" s="1"/>
  <c r="E128" i="3"/>
  <c r="F128" i="3" s="1"/>
  <c r="D5" i="3"/>
  <c r="H5" i="3" s="1"/>
  <c r="A5" i="2" s="1"/>
  <c r="E9" i="3"/>
  <c r="F9" i="3" s="1"/>
  <c r="D56" i="3"/>
  <c r="H56" i="3" s="1"/>
  <c r="D15" i="3"/>
  <c r="H15" i="3" s="1"/>
  <c r="A15" i="2" s="1"/>
  <c r="E3" i="3"/>
  <c r="F3" i="3" s="1"/>
  <c r="E95" i="3"/>
  <c r="F95" i="3" s="1"/>
  <c r="E123" i="3"/>
  <c r="F123" i="3" s="1"/>
  <c r="G123" i="3" s="1"/>
  <c r="H123" i="3" s="1"/>
  <c r="A123" i="2" s="1"/>
  <c r="D119" i="3"/>
  <c r="H119" i="3" s="1"/>
  <c r="A119" i="2" s="1"/>
  <c r="E116" i="3"/>
  <c r="F116" i="3" s="1"/>
  <c r="D75" i="3"/>
  <c r="H75" i="3" s="1"/>
  <c r="A75" i="2" s="1"/>
  <c r="D63" i="3"/>
  <c r="H63" i="3" s="1"/>
  <c r="A63" i="2" s="1"/>
  <c r="E111" i="3"/>
  <c r="F111" i="3" s="1"/>
  <c r="D132" i="3"/>
  <c r="H132" i="3" s="1"/>
  <c r="A132" i="2" s="1"/>
  <c r="E4" i="3"/>
  <c r="F4" i="3" s="1"/>
  <c r="E125" i="3"/>
  <c r="F125" i="3" s="1"/>
  <c r="D13" i="3"/>
  <c r="H13" i="3" s="1"/>
  <c r="A13" i="2" s="1"/>
  <c r="E14" i="3"/>
  <c r="F14" i="3" s="1"/>
  <c r="D7" i="3"/>
  <c r="H7" i="3" s="1"/>
  <c r="A7" i="2" s="1"/>
  <c r="D40" i="3"/>
  <c r="H40" i="3" s="1"/>
  <c r="A40" i="2" s="1"/>
  <c r="D93" i="3"/>
  <c r="H93" i="3" s="1"/>
  <c r="A93" i="2" s="1"/>
  <c r="E17" i="3"/>
  <c r="F17" i="3" s="1"/>
  <c r="D85" i="3"/>
  <c r="H85" i="3" s="1"/>
  <c r="A85" i="2" s="1"/>
  <c r="E108" i="3"/>
  <c r="F108" i="3" s="1"/>
  <c r="D55" i="3"/>
  <c r="H55" i="3" s="1"/>
  <c r="A55" i="2" s="1"/>
  <c r="D43" i="3"/>
  <c r="H43" i="3" s="1"/>
  <c r="D11" i="3"/>
  <c r="H11" i="3" s="1"/>
  <c r="A11" i="2" s="1"/>
  <c r="D51" i="3"/>
  <c r="H51" i="3" s="1"/>
  <c r="A51" i="2" s="1"/>
  <c r="E83" i="3"/>
  <c r="F83" i="3" s="1"/>
  <c r="E46" i="3"/>
  <c r="F46" i="3" s="1"/>
  <c r="E12" i="3"/>
  <c r="F12" i="3" s="1"/>
  <c r="D20" i="3"/>
  <c r="H20" i="3" s="1"/>
  <c r="A20" i="2" s="1"/>
  <c r="E25" i="3"/>
  <c r="F25" i="3" s="1"/>
  <c r="D91" i="3"/>
  <c r="H91" i="3" s="1"/>
  <c r="E136" i="3"/>
  <c r="F136" i="3" s="1"/>
  <c r="D97" i="3"/>
  <c r="H97" i="3" s="1"/>
  <c r="D67" i="3"/>
  <c r="H67" i="3" s="1"/>
  <c r="A67" i="2" s="1"/>
  <c r="E118" i="3"/>
  <c r="F118" i="3" s="1"/>
  <c r="K38" i="3"/>
  <c r="L38" i="3" s="1"/>
  <c r="M38" i="3" s="1"/>
  <c r="N38" i="3" s="1"/>
  <c r="E72" i="3"/>
  <c r="F72" i="3" s="1"/>
  <c r="D23" i="3"/>
  <c r="H23" i="3" s="1"/>
  <c r="E76" i="3"/>
  <c r="F76" i="3" s="1"/>
  <c r="E65" i="3"/>
  <c r="F65" i="3" s="1"/>
  <c r="K83" i="3"/>
  <c r="L83" i="3" s="1"/>
  <c r="M83" i="3" s="1"/>
  <c r="N83" i="3" s="1"/>
  <c r="K29" i="3"/>
  <c r="L29" i="3" s="1"/>
  <c r="M29" i="3" s="1"/>
  <c r="N29" i="3" s="1"/>
  <c r="K118" i="3"/>
  <c r="L118" i="3" s="1"/>
  <c r="M118" i="3" s="1"/>
  <c r="N118" i="3" s="1"/>
  <c r="E64" i="3"/>
  <c r="F64" i="3" s="1"/>
  <c r="D135" i="3"/>
  <c r="H135" i="3" s="1"/>
  <c r="D28" i="3"/>
  <c r="H28" i="3" s="1"/>
  <c r="A28" i="2" s="1"/>
  <c r="E30" i="3"/>
  <c r="F30" i="3" s="1"/>
  <c r="E26" i="3"/>
  <c r="F26" i="3" s="1"/>
  <c r="E126" i="3"/>
  <c r="F126" i="3" s="1"/>
  <c r="K110" i="3"/>
  <c r="L110" i="3" s="1"/>
  <c r="M110" i="3" s="1"/>
  <c r="N110" i="3" s="1"/>
  <c r="E140" i="3"/>
  <c r="F140" i="3" s="1"/>
  <c r="E141" i="3"/>
  <c r="F141" i="3" s="1"/>
  <c r="K97" i="3"/>
  <c r="L97" i="3" s="1"/>
  <c r="M97" i="3" s="1"/>
  <c r="N97" i="3" s="1"/>
  <c r="E49" i="3"/>
  <c r="F49" i="3" s="1"/>
  <c r="K34" i="3"/>
  <c r="L34" i="3" s="1"/>
  <c r="M34" i="3" s="1"/>
  <c r="N34" i="3" s="1"/>
  <c r="E18" i="3"/>
  <c r="F18" i="3" s="1"/>
  <c r="K91" i="3"/>
  <c r="L91" i="3" s="1"/>
  <c r="M91" i="3" s="1"/>
  <c r="N91" i="3" s="1"/>
  <c r="E130" i="3"/>
  <c r="F130" i="3" s="1"/>
  <c r="D27" i="3"/>
  <c r="H27" i="3" s="1"/>
  <c r="E60" i="3"/>
  <c r="F60" i="3" s="1"/>
  <c r="D89" i="3"/>
  <c r="H89" i="3" s="1"/>
  <c r="A89" i="2" s="1"/>
  <c r="E92" i="3"/>
  <c r="F92" i="3" s="1"/>
  <c r="E68" i="3"/>
  <c r="F68" i="3" s="1"/>
  <c r="E137" i="3"/>
  <c r="F137" i="3" s="1"/>
  <c r="E87" i="3"/>
  <c r="F87" i="3" s="1"/>
  <c r="D107" i="3"/>
  <c r="H107" i="3" s="1"/>
  <c r="A107" i="2" s="1"/>
  <c r="E139" i="3"/>
  <c r="F139" i="3" s="1"/>
  <c r="E31" i="3"/>
  <c r="F31" i="3" s="1"/>
  <c r="K50" i="3"/>
  <c r="L50" i="3" s="1"/>
  <c r="M50" i="3" s="1"/>
  <c r="N50" i="3" s="1"/>
  <c r="E66" i="3"/>
  <c r="F66" i="3" s="1"/>
  <c r="E50" i="3"/>
  <c r="F50" i="3" s="1"/>
  <c r="D47" i="3"/>
  <c r="H47" i="3" s="1"/>
  <c r="A47" i="2" s="1"/>
  <c r="E110" i="3"/>
  <c r="F110" i="3" s="1"/>
  <c r="K138" i="3"/>
  <c r="L138" i="3" s="1"/>
  <c r="M138" i="3" s="1"/>
  <c r="N138" i="3" s="1"/>
  <c r="E2" i="3"/>
  <c r="F2" i="3" s="1"/>
  <c r="E131" i="3"/>
  <c r="F131" i="3" s="1"/>
  <c r="D71" i="3"/>
  <c r="H71" i="3" s="1"/>
  <c r="D24" i="3"/>
  <c r="H24" i="3" s="1"/>
  <c r="A24" i="2" s="1"/>
  <c r="D19" i="3"/>
  <c r="H19" i="3" s="1"/>
  <c r="A19" i="2" s="1"/>
  <c r="D79" i="3"/>
  <c r="H79" i="3" s="1"/>
  <c r="A79" i="2" s="1"/>
  <c r="D34" i="3"/>
  <c r="H34" i="3" s="1"/>
  <c r="A34" i="2" s="1"/>
  <c r="E120" i="3"/>
  <c r="F120" i="3" s="1"/>
  <c r="K46" i="3"/>
  <c r="L46" i="3" s="1"/>
  <c r="M46" i="3" s="1"/>
  <c r="N46" i="3" s="1"/>
  <c r="K70" i="3"/>
  <c r="L70" i="3" s="1"/>
  <c r="M70" i="3" s="1"/>
  <c r="N70" i="3" s="1"/>
  <c r="K127" i="3"/>
  <c r="L127" i="3" s="1"/>
  <c r="M127" i="3" s="1"/>
  <c r="N127" i="3" s="1"/>
  <c r="H38" i="3"/>
  <c r="A38" i="2" s="1"/>
  <c r="E62" i="3"/>
  <c r="F62" i="3" s="1"/>
  <c r="E80" i="3"/>
  <c r="F80" i="3" s="1"/>
  <c r="E133" i="3"/>
  <c r="F133" i="3" s="1"/>
  <c r="E39" i="3"/>
  <c r="F39" i="3" s="1"/>
  <c r="E48" i="3"/>
  <c r="F48" i="3" s="1"/>
  <c r="E113" i="3"/>
  <c r="F113" i="3" s="1"/>
  <c r="K135" i="3"/>
  <c r="L135" i="3" s="1"/>
  <c r="M135" i="3" s="1"/>
  <c r="N135" i="3" s="1"/>
  <c r="D390" i="3"/>
  <c r="E390" i="3"/>
  <c r="F390" i="3" s="1"/>
  <c r="D143" i="3"/>
  <c r="H143" i="3" s="1"/>
  <c r="A143" i="2" s="1"/>
  <c r="J174" i="3"/>
  <c r="K174" i="3"/>
  <c r="L174" i="3" s="1"/>
  <c r="M174" i="3" s="1"/>
  <c r="J387" i="3"/>
  <c r="K387" i="3"/>
  <c r="L387" i="3" s="1"/>
  <c r="J363" i="3"/>
  <c r="K363" i="3"/>
  <c r="L363" i="3" s="1"/>
  <c r="D490" i="3"/>
  <c r="H490" i="3" s="1"/>
  <c r="E612" i="3"/>
  <c r="F612" i="3" s="1"/>
  <c r="J182" i="3"/>
  <c r="K182" i="3"/>
  <c r="L182" i="3" s="1"/>
  <c r="M182" i="3" s="1"/>
  <c r="E301" i="3"/>
  <c r="F301" i="3" s="1"/>
  <c r="G301" i="3" s="1"/>
  <c r="D301" i="3"/>
  <c r="D404" i="3"/>
  <c r="H404" i="3" s="1"/>
  <c r="E404" i="3"/>
  <c r="F404" i="3" s="1"/>
  <c r="D94" i="3"/>
  <c r="E94" i="3"/>
  <c r="F94" i="3" s="1"/>
  <c r="G94" i="3" s="1"/>
  <c r="J586" i="3"/>
  <c r="K586" i="3"/>
  <c r="L586" i="3" s="1"/>
  <c r="E6" i="3"/>
  <c r="F6" i="3" s="1"/>
  <c r="K33" i="3"/>
  <c r="L33" i="3" s="1"/>
  <c r="M33" i="3" s="1"/>
  <c r="N33" i="3" s="1"/>
  <c r="E138" i="3"/>
  <c r="F138" i="3" s="1"/>
  <c r="E146" i="3"/>
  <c r="F146" i="3" s="1"/>
  <c r="G146" i="3" s="1"/>
  <c r="H146" i="3" s="1"/>
  <c r="A146" i="2" s="1"/>
  <c r="E154" i="3"/>
  <c r="F154" i="3" s="1"/>
  <c r="G154" i="3" s="1"/>
  <c r="H154" i="3" s="1"/>
  <c r="A154" i="2" s="1"/>
  <c r="E52" i="3"/>
  <c r="F52" i="3" s="1"/>
  <c r="K154" i="3"/>
  <c r="L154" i="3" s="1"/>
  <c r="M154" i="3" s="1"/>
  <c r="N154" i="3" s="1"/>
  <c r="E235" i="3"/>
  <c r="F235" i="3" s="1"/>
  <c r="E57" i="3"/>
  <c r="F57" i="3" s="1"/>
  <c r="K238" i="3"/>
  <c r="L238" i="3" s="1"/>
  <c r="M238" i="3" s="1"/>
  <c r="N238" i="3" s="1"/>
  <c r="K250" i="3"/>
  <c r="L250" i="3" s="1"/>
  <c r="M250" i="3" s="1"/>
  <c r="N250" i="3" s="1"/>
  <c r="E53" i="3"/>
  <c r="F53" i="3" s="1"/>
  <c r="K106" i="3"/>
  <c r="L106" i="3" s="1"/>
  <c r="M106" i="3" s="1"/>
  <c r="N106" i="3" s="1"/>
  <c r="K240" i="3"/>
  <c r="L240" i="3" s="1"/>
  <c r="M240" i="3" s="1"/>
  <c r="N240" i="3" s="1"/>
  <c r="E282" i="3"/>
  <c r="F282" i="3" s="1"/>
  <c r="G282" i="3" s="1"/>
  <c r="H282" i="3" s="1"/>
  <c r="A282" i="2" s="1"/>
  <c r="E294" i="3"/>
  <c r="F294" i="3" s="1"/>
  <c r="E306" i="3"/>
  <c r="F306" i="3" s="1"/>
  <c r="G306" i="3" s="1"/>
  <c r="H306" i="3" s="1"/>
  <c r="A306" i="2" s="1"/>
  <c r="D402" i="3"/>
  <c r="H402" i="3" s="1"/>
  <c r="E402" i="3"/>
  <c r="F402" i="3" s="1"/>
  <c r="E183" i="3"/>
  <c r="F183" i="3" s="1"/>
  <c r="E195" i="3"/>
  <c r="F195" i="3" s="1"/>
  <c r="G195" i="3" s="1"/>
  <c r="H195" i="3" s="1"/>
  <c r="A195" i="2" s="1"/>
  <c r="J354" i="3"/>
  <c r="K354" i="3"/>
  <c r="L354" i="3" s="1"/>
  <c r="K411" i="3"/>
  <c r="L411" i="3" s="1"/>
  <c r="E462" i="3"/>
  <c r="F462" i="3" s="1"/>
  <c r="H462" i="3" s="1"/>
  <c r="E513" i="3"/>
  <c r="F513" i="3" s="1"/>
  <c r="H513" i="3" s="1"/>
  <c r="E529" i="3"/>
  <c r="F529" i="3" s="1"/>
  <c r="E211" i="3"/>
  <c r="F211" i="3" s="1"/>
  <c r="G211" i="3" s="1"/>
  <c r="H211" i="3" s="1"/>
  <c r="A211" i="2" s="1"/>
  <c r="K338" i="3"/>
  <c r="L338" i="3" s="1"/>
  <c r="M338" i="3" s="1"/>
  <c r="N338" i="3" s="1"/>
  <c r="H455" i="3"/>
  <c r="E272" i="3"/>
  <c r="F272" i="3" s="1"/>
  <c r="G272" i="3" s="1"/>
  <c r="H272" i="3" s="1"/>
  <c r="A272" i="2" s="1"/>
  <c r="D257" i="3"/>
  <c r="E257" i="3"/>
  <c r="F257" i="3" s="1"/>
  <c r="D308" i="3"/>
  <c r="E308" i="3"/>
  <c r="F308" i="3" s="1"/>
  <c r="G308" i="3" s="1"/>
  <c r="D410" i="3"/>
  <c r="H410" i="3" s="1"/>
  <c r="E410" i="3"/>
  <c r="F410" i="3" s="1"/>
  <c r="D442" i="3"/>
  <c r="E442" i="3"/>
  <c r="F442" i="3" s="1"/>
  <c r="E280" i="3"/>
  <c r="F280" i="3" s="1"/>
  <c r="E312" i="3"/>
  <c r="F312" i="3" s="1"/>
  <c r="J431" i="3"/>
  <c r="K431" i="3"/>
  <c r="L431" i="3" s="1"/>
  <c r="D510" i="3"/>
  <c r="J54" i="3"/>
  <c r="K54" i="3"/>
  <c r="L54" i="3" s="1"/>
  <c r="M54" i="3" s="1"/>
  <c r="D428" i="3"/>
  <c r="E428" i="3"/>
  <c r="F428" i="3" s="1"/>
  <c r="K453" i="3"/>
  <c r="L453" i="3" s="1"/>
  <c r="D489" i="3"/>
  <c r="H489" i="3" s="1"/>
  <c r="E489" i="3"/>
  <c r="F489" i="3" s="1"/>
  <c r="H417" i="3"/>
  <c r="J345" i="3"/>
  <c r="K345" i="3"/>
  <c r="L345" i="3" s="1"/>
  <c r="M345" i="3" s="1"/>
  <c r="J554" i="3"/>
  <c r="K554" i="3"/>
  <c r="L554" i="3" s="1"/>
  <c r="J644" i="3"/>
  <c r="K644" i="3"/>
  <c r="L644" i="3" s="1"/>
  <c r="J596" i="3"/>
  <c r="K596" i="3"/>
  <c r="L596" i="3" s="1"/>
  <c r="E325" i="3"/>
  <c r="F325" i="3" s="1"/>
  <c r="G325" i="3" s="1"/>
  <c r="D325" i="3"/>
  <c r="K86" i="3"/>
  <c r="L86" i="3" s="1"/>
  <c r="M86" i="3" s="1"/>
  <c r="N86" i="3" s="1"/>
  <c r="D378" i="3"/>
  <c r="E378" i="3"/>
  <c r="F378" i="3" s="1"/>
  <c r="K450" i="3"/>
  <c r="L450" i="3" s="1"/>
  <c r="E99" i="3"/>
  <c r="F99" i="3" s="1"/>
  <c r="G99" i="3" s="1"/>
  <c r="D99" i="3"/>
  <c r="D432" i="3"/>
  <c r="H432" i="3" s="1"/>
  <c r="E432" i="3"/>
  <c r="F432" i="3" s="1"/>
  <c r="D288" i="3"/>
  <c r="E288" i="3"/>
  <c r="F288" i="3" s="1"/>
  <c r="G288" i="3" s="1"/>
  <c r="D121" i="3"/>
  <c r="E121" i="3"/>
  <c r="F121" i="3" s="1"/>
  <c r="G121" i="3" s="1"/>
  <c r="J299" i="3"/>
  <c r="K299" i="3"/>
  <c r="L299" i="3" s="1"/>
  <c r="M299" i="3" s="1"/>
  <c r="J374" i="3"/>
  <c r="K374" i="3"/>
  <c r="L374" i="3" s="1"/>
  <c r="J371" i="3"/>
  <c r="K371" i="3"/>
  <c r="L371" i="3" s="1"/>
  <c r="E59" i="3"/>
  <c r="F59" i="3" s="1"/>
  <c r="G59" i="3" s="1"/>
  <c r="D59" i="3"/>
  <c r="D61" i="3"/>
  <c r="E61" i="3"/>
  <c r="F61" i="3" s="1"/>
  <c r="G61" i="3" s="1"/>
  <c r="J136" i="3"/>
  <c r="K136" i="3"/>
  <c r="L136" i="3" s="1"/>
  <c r="M136" i="3" s="1"/>
  <c r="D553" i="3"/>
  <c r="H553" i="3" s="1"/>
  <c r="E553" i="3"/>
  <c r="F553" i="3" s="1"/>
  <c r="D340" i="3"/>
  <c r="E340" i="3"/>
  <c r="F340" i="3" s="1"/>
  <c r="G340" i="3" s="1"/>
  <c r="E349" i="3"/>
  <c r="F349" i="3" s="1"/>
  <c r="G349" i="3" s="1"/>
  <c r="D349" i="3"/>
  <c r="D388" i="3"/>
  <c r="H388" i="3" s="1"/>
  <c r="E388" i="3"/>
  <c r="F388" i="3" s="1"/>
  <c r="E337" i="3"/>
  <c r="F337" i="3" s="1"/>
  <c r="G337" i="3" s="1"/>
  <c r="D337" i="3"/>
  <c r="H543" i="3"/>
  <c r="E361" i="3"/>
  <c r="F361" i="3" s="1"/>
  <c r="D361" i="3"/>
  <c r="H361" i="3" s="1"/>
  <c r="H481" i="3"/>
  <c r="J612" i="3"/>
  <c r="K612" i="3"/>
  <c r="L612" i="3" s="1"/>
  <c r="J275" i="3"/>
  <c r="K275" i="3"/>
  <c r="L275" i="3" s="1"/>
  <c r="M275" i="3" s="1"/>
  <c r="D10" i="3"/>
  <c r="E10" i="3"/>
  <c r="F10" i="3" s="1"/>
  <c r="G10" i="3" s="1"/>
  <c r="E436" i="3"/>
  <c r="F436" i="3" s="1"/>
  <c r="D436" i="3"/>
  <c r="H436" i="3" s="1"/>
  <c r="D207" i="3"/>
  <c r="E207" i="3"/>
  <c r="F207" i="3" s="1"/>
  <c r="D324" i="3"/>
  <c r="E324" i="3"/>
  <c r="F324" i="3" s="1"/>
  <c r="G324" i="3" s="1"/>
  <c r="D352" i="3"/>
  <c r="E352" i="3"/>
  <c r="F352" i="3" s="1"/>
  <c r="H352" i="3" s="1"/>
  <c r="D90" i="3"/>
  <c r="E90" i="3"/>
  <c r="F90" i="3" s="1"/>
  <c r="G90" i="3" s="1"/>
  <c r="J261" i="3"/>
  <c r="K261" i="3"/>
  <c r="L261" i="3" s="1"/>
  <c r="M261" i="3" s="1"/>
  <c r="E188" i="3"/>
  <c r="F188" i="3" s="1"/>
  <c r="D331" i="3"/>
  <c r="H331" i="3" s="1"/>
  <c r="A331" i="2" s="1"/>
  <c r="D367" i="3"/>
  <c r="H367" i="3" s="1"/>
  <c r="E22" i="3"/>
  <c r="F22" i="3" s="1"/>
  <c r="E96" i="3"/>
  <c r="F96" i="3" s="1"/>
  <c r="E114" i="3"/>
  <c r="F114" i="3" s="1"/>
  <c r="E134" i="3"/>
  <c r="F134" i="3" s="1"/>
  <c r="E142" i="3"/>
  <c r="F142" i="3" s="1"/>
  <c r="E150" i="3"/>
  <c r="F150" i="3" s="1"/>
  <c r="G150" i="3" s="1"/>
  <c r="H150" i="3" s="1"/>
  <c r="A150" i="2" s="1"/>
  <c r="E158" i="3"/>
  <c r="F158" i="3" s="1"/>
  <c r="G158" i="3" s="1"/>
  <c r="H158" i="3" s="1"/>
  <c r="A158" i="2" s="1"/>
  <c r="E259" i="3"/>
  <c r="F259" i="3" s="1"/>
  <c r="E213" i="3"/>
  <c r="F213" i="3" s="1"/>
  <c r="G213" i="3" s="1"/>
  <c r="H213" i="3" s="1"/>
  <c r="A213" i="2" s="1"/>
  <c r="K244" i="3"/>
  <c r="L244" i="3" s="1"/>
  <c r="M244" i="3" s="1"/>
  <c r="N244" i="3" s="1"/>
  <c r="E101" i="3"/>
  <c r="F101" i="3" s="1"/>
  <c r="D287" i="3"/>
  <c r="H287" i="3" s="1"/>
  <c r="E346" i="3"/>
  <c r="F346" i="3" s="1"/>
  <c r="E358" i="3"/>
  <c r="F358" i="3" s="1"/>
  <c r="E370" i="3"/>
  <c r="F370" i="3" s="1"/>
  <c r="E145" i="3"/>
  <c r="F145" i="3" s="1"/>
  <c r="G145" i="3" s="1"/>
  <c r="H145" i="3" s="1"/>
  <c r="K327" i="3"/>
  <c r="L327" i="3" s="1"/>
  <c r="M327" i="3" s="1"/>
  <c r="N327" i="3" s="1"/>
  <c r="A327" i="2" s="1"/>
  <c r="E414" i="3"/>
  <c r="F414" i="3" s="1"/>
  <c r="H414" i="3" s="1"/>
  <c r="J303" i="3"/>
  <c r="K303" i="3"/>
  <c r="L303" i="3" s="1"/>
  <c r="M303" i="3" s="1"/>
  <c r="D588" i="3"/>
  <c r="D254" i="3"/>
  <c r="H254" i="3" s="1"/>
  <c r="D225" i="3"/>
  <c r="E225" i="3"/>
  <c r="F225" i="3" s="1"/>
  <c r="G225" i="3" s="1"/>
  <c r="D590" i="3"/>
  <c r="D100" i="3"/>
  <c r="E100" i="3"/>
  <c r="F100" i="3" s="1"/>
  <c r="G100" i="3" s="1"/>
  <c r="J496" i="3"/>
  <c r="K496" i="3"/>
  <c r="L496" i="3" s="1"/>
  <c r="E265" i="3"/>
  <c r="F265" i="3" s="1"/>
  <c r="G265" i="3" s="1"/>
  <c r="D265" i="3"/>
  <c r="E457" i="3"/>
  <c r="F457" i="3" s="1"/>
  <c r="D457" i="3"/>
  <c r="H457" i="3" s="1"/>
  <c r="H511" i="3"/>
  <c r="E77" i="3"/>
  <c r="F77" i="3" s="1"/>
  <c r="D448" i="3"/>
  <c r="H448" i="3" s="1"/>
  <c r="E448" i="3"/>
  <c r="F448" i="3" s="1"/>
  <c r="J708" i="3"/>
  <c r="K708" i="3"/>
  <c r="L708" i="3" s="1"/>
  <c r="H416" i="3"/>
  <c r="D565" i="3"/>
  <c r="E565" i="3"/>
  <c r="F565" i="3" s="1"/>
  <c r="H565" i="3" s="1"/>
  <c r="E45" i="3"/>
  <c r="F45" i="3" s="1"/>
  <c r="G45" i="3" s="1"/>
  <c r="D45" i="3"/>
  <c r="D191" i="3"/>
  <c r="E191" i="3"/>
  <c r="F191" i="3" s="1"/>
  <c r="E424" i="3"/>
  <c r="F424" i="3" s="1"/>
  <c r="D424" i="3"/>
  <c r="H424" i="3" s="1"/>
  <c r="J504" i="3"/>
  <c r="K504" i="3"/>
  <c r="L504" i="3" s="1"/>
  <c r="J508" i="3"/>
  <c r="K508" i="3"/>
  <c r="L508" i="3" s="1"/>
  <c r="H529" i="3"/>
  <c r="E507" i="3"/>
  <c r="F507" i="3" s="1"/>
  <c r="H507" i="3" s="1"/>
  <c r="K322" i="3"/>
  <c r="L322" i="3" s="1"/>
  <c r="M322" i="3" s="1"/>
  <c r="N322" i="3" s="1"/>
  <c r="D470" i="3"/>
  <c r="E470" i="3"/>
  <c r="F470" i="3" s="1"/>
  <c r="D284" i="3"/>
  <c r="E284" i="3"/>
  <c r="F284" i="3" s="1"/>
  <c r="G284" i="3" s="1"/>
  <c r="J379" i="3"/>
  <c r="K379" i="3"/>
  <c r="L379" i="3" s="1"/>
  <c r="J423" i="3"/>
  <c r="K423" i="3"/>
  <c r="L423" i="3" s="1"/>
  <c r="J439" i="3"/>
  <c r="K439" i="3"/>
  <c r="L439" i="3" s="1"/>
  <c r="J383" i="3"/>
  <c r="K383" i="3"/>
  <c r="L383" i="3" s="1"/>
  <c r="J403" i="3"/>
  <c r="K403" i="3"/>
  <c r="L403" i="3" s="1"/>
  <c r="D81" i="3"/>
  <c r="E81" i="3"/>
  <c r="F81" i="3" s="1"/>
  <c r="G81" i="3" s="1"/>
  <c r="D344" i="3"/>
  <c r="E344" i="3"/>
  <c r="F344" i="3" s="1"/>
  <c r="G344" i="3" s="1"/>
  <c r="D545" i="3"/>
  <c r="E545" i="3"/>
  <c r="F545" i="3" s="1"/>
  <c r="D561" i="3"/>
  <c r="E561" i="3"/>
  <c r="F561" i="3" s="1"/>
  <c r="H561" i="3" s="1"/>
  <c r="D593" i="3"/>
  <c r="E593" i="3"/>
  <c r="F593" i="3" s="1"/>
  <c r="J417" i="3"/>
  <c r="K417" i="3"/>
  <c r="L417" i="3" s="1"/>
  <c r="J419" i="3"/>
  <c r="K419" i="3"/>
  <c r="L419" i="3" s="1"/>
  <c r="E273" i="3"/>
  <c r="F273" i="3" s="1"/>
  <c r="G273" i="3" s="1"/>
  <c r="D273" i="3"/>
  <c r="J676" i="3"/>
  <c r="K676" i="3"/>
  <c r="L676" i="3" s="1"/>
  <c r="J405" i="3"/>
  <c r="K405" i="3"/>
  <c r="L405" i="3" s="1"/>
  <c r="J287" i="3"/>
  <c r="K287" i="3"/>
  <c r="L287" i="3" s="1"/>
  <c r="M287" i="3" s="1"/>
  <c r="J410" i="3"/>
  <c r="K410" i="3"/>
  <c r="L410" i="3" s="1"/>
  <c r="E37" i="3"/>
  <c r="F37" i="3" s="1"/>
  <c r="E102" i="3"/>
  <c r="F102" i="3" s="1"/>
  <c r="E70" i="3"/>
  <c r="F70" i="3" s="1"/>
  <c r="K130" i="3"/>
  <c r="L130" i="3" s="1"/>
  <c r="M130" i="3" s="1"/>
  <c r="N130" i="3" s="1"/>
  <c r="E105" i="3"/>
  <c r="F105" i="3" s="1"/>
  <c r="E314" i="3"/>
  <c r="F314" i="3" s="1"/>
  <c r="G314" i="3" s="1"/>
  <c r="H314" i="3" s="1"/>
  <c r="A314" i="2" s="1"/>
  <c r="E326" i="3"/>
  <c r="F326" i="3" s="1"/>
  <c r="E338" i="3"/>
  <c r="F338" i="3" s="1"/>
  <c r="E386" i="3"/>
  <c r="F386" i="3" s="1"/>
  <c r="H386" i="3" s="1"/>
  <c r="D237" i="3"/>
  <c r="E237" i="3"/>
  <c r="F237" i="3" s="1"/>
  <c r="K315" i="3"/>
  <c r="L315" i="3" s="1"/>
  <c r="M315" i="3" s="1"/>
  <c r="N315" i="3" s="1"/>
  <c r="E348" i="3"/>
  <c r="F348" i="3" s="1"/>
  <c r="D430" i="3"/>
  <c r="E430" i="3"/>
  <c r="F430" i="3" s="1"/>
  <c r="E541" i="3"/>
  <c r="F541" i="3" s="1"/>
  <c r="H541" i="3" s="1"/>
  <c r="E615" i="3"/>
  <c r="F615" i="3" s="1"/>
  <c r="H615" i="3" s="1"/>
  <c r="K335" i="3"/>
  <c r="L335" i="3" s="1"/>
  <c r="M335" i="3" s="1"/>
  <c r="N335" i="3" s="1"/>
  <c r="K291" i="3"/>
  <c r="L291" i="3" s="1"/>
  <c r="M291" i="3" s="1"/>
  <c r="N291" i="3" s="1"/>
  <c r="K307" i="3"/>
  <c r="L307" i="3" s="1"/>
  <c r="M307" i="3" s="1"/>
  <c r="N307" i="3" s="1"/>
  <c r="J407" i="3"/>
  <c r="K407" i="3"/>
  <c r="L407" i="3" s="1"/>
  <c r="J451" i="3"/>
  <c r="K451" i="3"/>
  <c r="L451" i="3" s="1"/>
  <c r="E129" i="3"/>
  <c r="F129" i="3" s="1"/>
  <c r="D181" i="3"/>
  <c r="E181" i="3"/>
  <c r="F181" i="3" s="1"/>
  <c r="G181" i="3" s="1"/>
  <c r="D392" i="3"/>
  <c r="H392" i="3" s="1"/>
  <c r="E392" i="3"/>
  <c r="F392" i="3" s="1"/>
  <c r="J277" i="3"/>
  <c r="K277" i="3"/>
  <c r="L277" i="3" s="1"/>
  <c r="M277" i="3" s="1"/>
  <c r="E409" i="3"/>
  <c r="F409" i="3" s="1"/>
  <c r="D409" i="3"/>
  <c r="H409" i="3" s="1"/>
  <c r="J540" i="3"/>
  <c r="K540" i="3"/>
  <c r="L540" i="3" s="1"/>
  <c r="H435" i="3"/>
  <c r="D33" i="3"/>
  <c r="E33" i="3"/>
  <c r="F33" i="3" s="1"/>
  <c r="G33" i="3" s="1"/>
  <c r="D109" i="3"/>
  <c r="E109" i="3"/>
  <c r="F109" i="3" s="1"/>
  <c r="G109" i="3" s="1"/>
  <c r="D485" i="3"/>
  <c r="E485" i="3"/>
  <c r="F485" i="3" s="1"/>
  <c r="H171" i="3"/>
  <c r="A171" i="2" s="1"/>
  <c r="H439" i="3"/>
  <c r="D44" i="3"/>
  <c r="E44" i="3"/>
  <c r="F44" i="3" s="1"/>
  <c r="G44" i="3" s="1"/>
  <c r="E169" i="3"/>
  <c r="F169" i="3" s="1"/>
  <c r="G169" i="3" s="1"/>
  <c r="D169" i="3"/>
  <c r="E256" i="3"/>
  <c r="F256" i="3" s="1"/>
  <c r="G256" i="3" s="1"/>
  <c r="D256" i="3"/>
  <c r="E263" i="3"/>
  <c r="F263" i="3" s="1"/>
  <c r="G263" i="3" s="1"/>
  <c r="D263" i="3"/>
  <c r="E385" i="3"/>
  <c r="F385" i="3" s="1"/>
  <c r="D385" i="3"/>
  <c r="H385" i="3" s="1"/>
  <c r="E281" i="3"/>
  <c r="F281" i="3" s="1"/>
  <c r="G281" i="3" s="1"/>
  <c r="D281" i="3"/>
  <c r="D69" i="3"/>
  <c r="E69" i="3"/>
  <c r="F69" i="3" s="1"/>
  <c r="G69" i="3" s="1"/>
  <c r="D124" i="3"/>
  <c r="E124" i="3"/>
  <c r="F124" i="3" s="1"/>
  <c r="G124" i="3" s="1"/>
  <c r="D209" i="3"/>
  <c r="E209" i="3"/>
  <c r="F209" i="3" s="1"/>
  <c r="G209" i="3" s="1"/>
  <c r="D376" i="3"/>
  <c r="E376" i="3"/>
  <c r="F376" i="3" s="1"/>
  <c r="E357" i="3"/>
  <c r="F357" i="3" s="1"/>
  <c r="D357" i="3"/>
  <c r="H357" i="3" s="1"/>
  <c r="E82" i="3"/>
  <c r="F82" i="3" s="1"/>
  <c r="E199" i="3"/>
  <c r="F199" i="3" s="1"/>
  <c r="E353" i="3"/>
  <c r="F353" i="3" s="1"/>
  <c r="D353" i="3"/>
  <c r="E421" i="3"/>
  <c r="F421" i="3" s="1"/>
  <c r="D421" i="3"/>
  <c r="H421" i="3" s="1"/>
  <c r="E440" i="3"/>
  <c r="F440" i="3" s="1"/>
  <c r="D440" i="3"/>
  <c r="H440" i="3" s="1"/>
  <c r="E98" i="3"/>
  <c r="F98" i="3" s="1"/>
  <c r="E185" i="3"/>
  <c r="F185" i="3" s="1"/>
  <c r="D356" i="3"/>
  <c r="H356" i="3" s="1"/>
  <c r="E356" i="3"/>
  <c r="F356" i="3" s="1"/>
  <c r="E456" i="3"/>
  <c r="F456" i="3" s="1"/>
  <c r="H456" i="3" s="1"/>
  <c r="E177" i="3"/>
  <c r="F177" i="3" s="1"/>
  <c r="G177" i="3" s="1"/>
  <c r="H177" i="3" s="1"/>
  <c r="A177" i="2" s="1"/>
  <c r="E401" i="3"/>
  <c r="F401" i="3" s="1"/>
  <c r="D401" i="3"/>
  <c r="H401" i="3" s="1"/>
  <c r="E408" i="3"/>
  <c r="F408" i="3" s="1"/>
  <c r="H408" i="3" s="1"/>
  <c r="E240" i="3"/>
  <c r="F240" i="3" s="1"/>
  <c r="G240" i="3" s="1"/>
  <c r="D240" i="3"/>
  <c r="E88" i="3"/>
  <c r="F88" i="3" s="1"/>
  <c r="D144" i="3"/>
  <c r="E144" i="3"/>
  <c r="F144" i="3" s="1"/>
  <c r="G144" i="3" s="1"/>
  <c r="D472" i="3"/>
  <c r="E472" i="3"/>
  <c r="F472" i="3" s="1"/>
  <c r="K95" i="3"/>
  <c r="L95" i="3" s="1"/>
  <c r="M95" i="3" s="1"/>
  <c r="N95" i="3" s="1"/>
  <c r="D268" i="3"/>
  <c r="E268" i="3"/>
  <c r="F268" i="3" s="1"/>
  <c r="G268" i="3" s="1"/>
  <c r="K77" i="3"/>
  <c r="L77" i="3" s="1"/>
  <c r="M77" i="3" s="1"/>
  <c r="N77" i="3" s="1"/>
  <c r="K321" i="3"/>
  <c r="L321" i="3" s="1"/>
  <c r="M321" i="3" s="1"/>
  <c r="N321" i="3" s="1"/>
  <c r="H297" i="3"/>
  <c r="A297" i="2" s="1"/>
  <c r="E373" i="3"/>
  <c r="F373" i="3" s="1"/>
  <c r="D373" i="3"/>
  <c r="D328" i="3"/>
  <c r="E328" i="3"/>
  <c r="F328" i="3" s="1"/>
  <c r="G328" i="3" s="1"/>
  <c r="E393" i="3"/>
  <c r="F393" i="3" s="1"/>
  <c r="D393" i="3"/>
  <c r="H393" i="3" s="1"/>
  <c r="K313" i="3"/>
  <c r="L313" i="3" s="1"/>
  <c r="M313" i="3" s="1"/>
  <c r="N313" i="3" s="1"/>
  <c r="K393" i="3"/>
  <c r="L393" i="3" s="1"/>
  <c r="K369" i="3"/>
  <c r="L369" i="3" s="1"/>
  <c r="K465" i="3"/>
  <c r="L465" i="3" s="1"/>
  <c r="K480" i="3"/>
  <c r="L480" i="3" s="1"/>
  <c r="K281" i="3"/>
  <c r="L281" i="3" s="1"/>
  <c r="M281" i="3" s="1"/>
  <c r="N281" i="3" s="1"/>
  <c r="K469" i="3"/>
  <c r="L469" i="3" s="1"/>
  <c r="E160" i="3"/>
  <c r="F160" i="3" s="1"/>
  <c r="E341" i="3"/>
  <c r="F341" i="3" s="1"/>
  <c r="G341" i="3" s="1"/>
  <c r="D341" i="3"/>
  <c r="K473" i="3"/>
  <c r="L473" i="3" s="1"/>
  <c r="K494" i="3"/>
  <c r="L494" i="3" s="1"/>
  <c r="E345" i="3"/>
  <c r="F345" i="3" s="1"/>
  <c r="G345" i="3" s="1"/>
  <c r="D345" i="3"/>
  <c r="K152" i="3"/>
  <c r="L152" i="3" s="1"/>
  <c r="M152" i="3" s="1"/>
  <c r="N152" i="3" s="1"/>
  <c r="K710" i="3"/>
  <c r="L710" i="3" s="1"/>
  <c r="E261" i="3"/>
  <c r="F261" i="3" s="1"/>
  <c r="G261" i="3" s="1"/>
  <c r="D261" i="3"/>
  <c r="K506" i="3"/>
  <c r="L506" i="3" s="1"/>
  <c r="D84" i="3"/>
  <c r="E84" i="3"/>
  <c r="F84" i="3" s="1"/>
  <c r="G84" i="3" s="1"/>
  <c r="D193" i="3"/>
  <c r="E193" i="3"/>
  <c r="F193" i="3" s="1"/>
  <c r="G193" i="3" s="1"/>
  <c r="E246" i="3"/>
  <c r="F246" i="3" s="1"/>
  <c r="G246" i="3" s="1"/>
  <c r="D246" i="3"/>
  <c r="E269" i="3"/>
  <c r="F269" i="3" s="1"/>
  <c r="G269" i="3" s="1"/>
  <c r="D269" i="3"/>
  <c r="E437" i="3"/>
  <c r="F437" i="3" s="1"/>
  <c r="D437" i="3"/>
  <c r="E333" i="3"/>
  <c r="F333" i="3" s="1"/>
  <c r="G333" i="3" s="1"/>
  <c r="D333" i="3"/>
  <c r="E433" i="3"/>
  <c r="F433" i="3" s="1"/>
  <c r="D433" i="3"/>
  <c r="H433" i="3" s="1"/>
  <c r="E469" i="3"/>
  <c r="F469" i="3" s="1"/>
  <c r="D469" i="3"/>
  <c r="H464" i="3"/>
  <c r="H443" i="3"/>
  <c r="H459" i="3"/>
  <c r="E21" i="3"/>
  <c r="F21" i="3" s="1"/>
  <c r="E86" i="3"/>
  <c r="F86" i="3" s="1"/>
  <c r="E35" i="3"/>
  <c r="F35" i="3" s="1"/>
  <c r="D112" i="3"/>
  <c r="E112" i="3"/>
  <c r="F112" i="3" s="1"/>
  <c r="G112" i="3" s="1"/>
  <c r="E216" i="3"/>
  <c r="F216" i="3" s="1"/>
  <c r="G216" i="3" s="1"/>
  <c r="D216" i="3"/>
  <c r="E250" i="3"/>
  <c r="F250" i="3" s="1"/>
  <c r="G250" i="3" s="1"/>
  <c r="D250" i="3"/>
  <c r="E201" i="3"/>
  <c r="F201" i="3" s="1"/>
  <c r="D104" i="3"/>
  <c r="E104" i="3"/>
  <c r="F104" i="3" s="1"/>
  <c r="G104" i="3" s="1"/>
  <c r="E317" i="3"/>
  <c r="F317" i="3" s="1"/>
  <c r="G317" i="3" s="1"/>
  <c r="D317" i="3"/>
  <c r="H317" i="3" s="1"/>
  <c r="A317" i="2" s="1"/>
  <c r="E412" i="3"/>
  <c r="F412" i="3" s="1"/>
  <c r="H412" i="3" s="1"/>
  <c r="E293" i="3"/>
  <c r="F293" i="3" s="1"/>
  <c r="G293" i="3" s="1"/>
  <c r="D293" i="3"/>
  <c r="D420" i="3"/>
  <c r="E420" i="3"/>
  <c r="F420" i="3" s="1"/>
  <c r="E289" i="3"/>
  <c r="F289" i="3" s="1"/>
  <c r="G289" i="3" s="1"/>
  <c r="D289" i="3"/>
  <c r="H200" i="3"/>
  <c r="A200" i="2" s="1"/>
  <c r="H362" i="3"/>
  <c r="H378" i="3"/>
  <c r="H394" i="3"/>
  <c r="H438" i="3"/>
  <c r="H418" i="3"/>
  <c r="K422" i="3"/>
  <c r="L422" i="3" s="1"/>
  <c r="K438" i="3"/>
  <c r="L438" i="3" s="1"/>
  <c r="H484" i="3"/>
  <c r="H492" i="3"/>
  <c r="H508" i="3"/>
  <c r="H524" i="3"/>
  <c r="H540" i="3"/>
  <c r="H556" i="3"/>
  <c r="H572" i="3"/>
  <c r="H588" i="3"/>
  <c r="H606" i="3"/>
  <c r="H622" i="3"/>
  <c r="H638" i="3"/>
  <c r="H654" i="3"/>
  <c r="H670" i="3"/>
  <c r="H686" i="3"/>
  <c r="H702" i="3"/>
  <c r="H720" i="3"/>
  <c r="H442" i="3"/>
  <c r="K446" i="3"/>
  <c r="L446" i="3" s="1"/>
  <c r="K342" i="3"/>
  <c r="L342" i="3" s="1"/>
  <c r="M342" i="3" s="1"/>
  <c r="N342" i="3" s="1"/>
  <c r="K27" i="3"/>
  <c r="L27" i="3" s="1"/>
  <c r="M27" i="3" s="1"/>
  <c r="N27" i="3" s="1"/>
  <c r="H184" i="3"/>
  <c r="A184" i="2" s="1"/>
  <c r="H190" i="3"/>
  <c r="A190" i="2" s="1"/>
  <c r="K100" i="3"/>
  <c r="L100" i="3" s="1"/>
  <c r="M100" i="3" s="1"/>
  <c r="N100" i="3" s="1"/>
  <c r="H358" i="3"/>
  <c r="H374" i="3"/>
  <c r="H390" i="3"/>
  <c r="K42" i="3"/>
  <c r="L42" i="3" s="1"/>
  <c r="M42" i="3" s="1"/>
  <c r="N42" i="3" s="1"/>
  <c r="K260" i="3"/>
  <c r="L260" i="3" s="1"/>
  <c r="M260" i="3" s="1"/>
  <c r="N260" i="3" s="1"/>
  <c r="K418" i="3"/>
  <c r="L418" i="3" s="1"/>
  <c r="K402" i="3"/>
  <c r="L402" i="3" s="1"/>
  <c r="H470" i="3"/>
  <c r="K474" i="3"/>
  <c r="L474" i="3" s="1"/>
  <c r="H426" i="3"/>
  <c r="K430" i="3"/>
  <c r="L430" i="3" s="1"/>
  <c r="K426" i="3"/>
  <c r="L426" i="3" s="1"/>
  <c r="H478" i="3"/>
  <c r="H486" i="3"/>
  <c r="H494" i="3"/>
  <c r="H502" i="3"/>
  <c r="H510" i="3"/>
  <c r="H518" i="3"/>
  <c r="H526" i="3"/>
  <c r="H534" i="3"/>
  <c r="H542" i="3"/>
  <c r="H550" i="3"/>
  <c r="H558" i="3"/>
  <c r="H566" i="3"/>
  <c r="H574" i="3"/>
  <c r="H582" i="3"/>
  <c r="H590" i="3"/>
  <c r="H598" i="3"/>
  <c r="H604" i="3"/>
  <c r="H612" i="3"/>
  <c r="H620" i="3"/>
  <c r="H628" i="3"/>
  <c r="H636" i="3"/>
  <c r="H644" i="3"/>
  <c r="H652" i="3"/>
  <c r="H660" i="3"/>
  <c r="H668" i="3"/>
  <c r="H676" i="3"/>
  <c r="H684" i="3"/>
  <c r="H692" i="3"/>
  <c r="H700" i="3"/>
  <c r="H706" i="3"/>
  <c r="H714" i="3"/>
  <c r="H722" i="3"/>
  <c r="H730" i="3"/>
  <c r="H434" i="3"/>
  <c r="H155" i="3"/>
  <c r="A155" i="2" s="1"/>
  <c r="E42" i="3"/>
  <c r="F42" i="3" s="1"/>
  <c r="H430" i="3"/>
  <c r="K434" i="3"/>
  <c r="L434" i="3" s="1"/>
  <c r="H450" i="3"/>
  <c r="K454" i="3"/>
  <c r="L454" i="3" s="1"/>
  <c r="H500" i="3"/>
  <c r="H516" i="3"/>
  <c r="H532" i="3"/>
  <c r="H548" i="3"/>
  <c r="H564" i="3"/>
  <c r="H580" i="3"/>
  <c r="H596" i="3"/>
  <c r="H614" i="3"/>
  <c r="H630" i="3"/>
  <c r="H646" i="3"/>
  <c r="H662" i="3"/>
  <c r="H678" i="3"/>
  <c r="H694" i="3"/>
  <c r="H710" i="3"/>
  <c r="H728" i="3"/>
  <c r="H454" i="3"/>
  <c r="H168" i="3"/>
  <c r="A168" i="2" s="1"/>
  <c r="K23" i="3"/>
  <c r="L23" i="3" s="1"/>
  <c r="M23" i="3" s="1"/>
  <c r="N23" i="3" s="1"/>
  <c r="E74" i="3"/>
  <c r="F74" i="3" s="1"/>
  <c r="K37" i="3"/>
  <c r="L37" i="3" s="1"/>
  <c r="M37" i="3" s="1"/>
  <c r="N37" i="3" s="1"/>
  <c r="E8" i="3"/>
  <c r="F8" i="3" s="1"/>
  <c r="E73" i="3"/>
  <c r="F73" i="3" s="1"/>
  <c r="E16" i="3"/>
  <c r="F16" i="3" s="1"/>
  <c r="E54" i="3"/>
  <c r="F54" i="3" s="1"/>
  <c r="E162" i="3"/>
  <c r="F162" i="3" s="1"/>
  <c r="E58" i="3"/>
  <c r="F58" i="3" s="1"/>
  <c r="E106" i="3"/>
  <c r="F106" i="3" s="1"/>
  <c r="E122" i="3"/>
  <c r="F122" i="3" s="1"/>
  <c r="K102" i="3"/>
  <c r="L102" i="3" s="1"/>
  <c r="M102" i="3" s="1"/>
  <c r="N102" i="3" s="1"/>
  <c r="K134" i="3"/>
  <c r="L134" i="3" s="1"/>
  <c r="M134" i="3" s="1"/>
  <c r="N134" i="3" s="1"/>
  <c r="K142" i="3"/>
  <c r="L142" i="3" s="1"/>
  <c r="M142" i="3" s="1"/>
  <c r="N142" i="3" s="1"/>
  <c r="K150" i="3"/>
  <c r="L150" i="3" s="1"/>
  <c r="M150" i="3" s="1"/>
  <c r="N150" i="3" s="1"/>
  <c r="K158" i="3"/>
  <c r="L158" i="3" s="1"/>
  <c r="M158" i="3" s="1"/>
  <c r="N158" i="3" s="1"/>
  <c r="E170" i="3"/>
  <c r="F170" i="3" s="1"/>
  <c r="E29" i="3"/>
  <c r="F29" i="3" s="1"/>
  <c r="K114" i="3"/>
  <c r="L114" i="3" s="1"/>
  <c r="M114" i="3" s="1"/>
  <c r="N114" i="3" s="1"/>
  <c r="K226" i="3"/>
  <c r="L226" i="3" s="1"/>
  <c r="M226" i="3" s="1"/>
  <c r="N226" i="3" s="1"/>
  <c r="K242" i="3"/>
  <c r="L242" i="3" s="1"/>
  <c r="M242" i="3" s="1"/>
  <c r="N242" i="3" s="1"/>
  <c r="K258" i="3"/>
  <c r="L258" i="3" s="1"/>
  <c r="M258" i="3" s="1"/>
  <c r="N258" i="3" s="1"/>
  <c r="K220" i="3"/>
  <c r="L220" i="3" s="1"/>
  <c r="M220" i="3" s="1"/>
  <c r="N220" i="3" s="1"/>
  <c r="E253" i="3"/>
  <c r="F253" i="3" s="1"/>
  <c r="E149" i="3"/>
  <c r="F149" i="3" s="1"/>
  <c r="E189" i="3"/>
  <c r="F189" i="3" s="1"/>
  <c r="E205" i="3"/>
  <c r="F205" i="3" s="1"/>
  <c r="K224" i="3"/>
  <c r="L224" i="3" s="1"/>
  <c r="M224" i="3" s="1"/>
  <c r="N224" i="3" s="1"/>
  <c r="K256" i="3"/>
  <c r="L256" i="3" s="1"/>
  <c r="M256" i="3" s="1"/>
  <c r="N256" i="3" s="1"/>
  <c r="E286" i="3"/>
  <c r="F286" i="3" s="1"/>
  <c r="E302" i="3"/>
  <c r="F302" i="3" s="1"/>
  <c r="E318" i="3"/>
  <c r="F318" i="3" s="1"/>
  <c r="E334" i="3"/>
  <c r="F334" i="3" s="1"/>
  <c r="E350" i="3"/>
  <c r="F350" i="3" s="1"/>
  <c r="H354" i="3"/>
  <c r="E366" i="3"/>
  <c r="F366" i="3" s="1"/>
  <c r="H366" i="3" s="1"/>
  <c r="H370" i="3"/>
  <c r="E382" i="3"/>
  <c r="F382" i="3" s="1"/>
  <c r="H382" i="3" s="1"/>
  <c r="E398" i="3"/>
  <c r="F398" i="3" s="1"/>
  <c r="H398" i="3" s="1"/>
  <c r="E41" i="3"/>
  <c r="F41" i="3" s="1"/>
  <c r="K62" i="3"/>
  <c r="L62" i="3" s="1"/>
  <c r="M62" i="3" s="1"/>
  <c r="N62" i="3" s="1"/>
  <c r="K126" i="3"/>
  <c r="L126" i="3" s="1"/>
  <c r="M126" i="3" s="1"/>
  <c r="N126" i="3" s="1"/>
  <c r="E221" i="3"/>
  <c r="F221" i="3" s="1"/>
  <c r="K314" i="3"/>
  <c r="L314" i="3" s="1"/>
  <c r="M314" i="3" s="1"/>
  <c r="N314" i="3" s="1"/>
  <c r="E316" i="3"/>
  <c r="F316" i="3" s="1"/>
  <c r="H415" i="3"/>
  <c r="K443" i="3"/>
  <c r="L443" i="3" s="1"/>
  <c r="E446" i="3"/>
  <c r="F446" i="3" s="1"/>
  <c r="H446" i="3" s="1"/>
  <c r="K466" i="3"/>
  <c r="L466" i="3" s="1"/>
  <c r="E117" i="3"/>
  <c r="F117" i="3" s="1"/>
  <c r="K216" i="3"/>
  <c r="L216" i="3" s="1"/>
  <c r="M216" i="3" s="1"/>
  <c r="N216" i="3" s="1"/>
  <c r="K370" i="3"/>
  <c r="L370" i="3" s="1"/>
  <c r="E422" i="3"/>
  <c r="F422" i="3" s="1"/>
  <c r="H422" i="3" s="1"/>
  <c r="H471" i="3"/>
  <c r="E264" i="3"/>
  <c r="F264" i="3" s="1"/>
  <c r="H480" i="3"/>
  <c r="H488" i="3"/>
  <c r="H496" i="3"/>
  <c r="H504" i="3"/>
  <c r="H512" i="3"/>
  <c r="H520" i="3"/>
  <c r="H528" i="3"/>
  <c r="H536" i="3"/>
  <c r="H544" i="3"/>
  <c r="H552" i="3"/>
  <c r="H560" i="3"/>
  <c r="H570" i="3"/>
  <c r="H576" i="3"/>
  <c r="H586" i="3"/>
  <c r="H594" i="3"/>
  <c r="H602" i="3"/>
  <c r="H610" i="3"/>
  <c r="H616" i="3"/>
  <c r="H624" i="3"/>
  <c r="H634" i="3"/>
  <c r="H642" i="3"/>
  <c r="H650" i="3"/>
  <c r="H658" i="3"/>
  <c r="H666" i="3"/>
  <c r="H674" i="3"/>
  <c r="H682" i="3"/>
  <c r="H690" i="3"/>
  <c r="H698" i="3"/>
  <c r="H708" i="3"/>
  <c r="H716" i="3"/>
  <c r="H724" i="3"/>
  <c r="H732" i="3"/>
  <c r="K122" i="3"/>
  <c r="L122" i="3" s="1"/>
  <c r="M122" i="3" s="1"/>
  <c r="N122" i="3" s="1"/>
  <c r="K283" i="3"/>
  <c r="L283" i="3" s="1"/>
  <c r="M283" i="3" s="1"/>
  <c r="N283" i="3" s="1"/>
  <c r="E300" i="3"/>
  <c r="F300" i="3" s="1"/>
  <c r="K331" i="3"/>
  <c r="L331" i="3" s="1"/>
  <c r="M331" i="3" s="1"/>
  <c r="N331" i="3" s="1"/>
  <c r="K347" i="3"/>
  <c r="L347" i="3" s="1"/>
  <c r="M347" i="3" s="1"/>
  <c r="N347" i="3" s="1"/>
  <c r="K414" i="3"/>
  <c r="L414" i="3" s="1"/>
  <c r="H427" i="3"/>
  <c r="K455" i="3"/>
  <c r="L455" i="3" s="1"/>
  <c r="E458" i="3"/>
  <c r="F458" i="3" s="1"/>
  <c r="H458" i="3" s="1"/>
  <c r="H474" i="3"/>
  <c r="K266" i="3"/>
  <c r="L266" i="3" s="1"/>
  <c r="M266" i="3" s="1"/>
  <c r="N266" i="3" s="1"/>
  <c r="K386" i="3"/>
  <c r="L386" i="3" s="1"/>
  <c r="E406" i="3"/>
  <c r="F406" i="3" s="1"/>
  <c r="H406" i="3" s="1"/>
  <c r="H423" i="3"/>
  <c r="K458" i="3"/>
  <c r="L458" i="3" s="1"/>
  <c r="K232" i="3"/>
  <c r="L232" i="3" s="1"/>
  <c r="M232" i="3" s="1"/>
  <c r="N232" i="3" s="1"/>
  <c r="K339" i="3"/>
  <c r="L339" i="3" s="1"/>
  <c r="M339" i="3" s="1"/>
  <c r="N339" i="3" s="1"/>
  <c r="E434" i="3"/>
  <c r="F434" i="3" s="1"/>
  <c r="E466" i="3"/>
  <c r="F466" i="3" s="1"/>
  <c r="H466" i="3" s="1"/>
  <c r="H234" i="3" l="1"/>
  <c r="A234" i="2" s="1"/>
  <c r="A258" i="2"/>
  <c r="A254" i="2"/>
  <c r="A71" i="2"/>
  <c r="A135" i="2"/>
  <c r="A56" i="2"/>
  <c r="A103" i="2"/>
  <c r="A277" i="2"/>
  <c r="A145" i="2"/>
  <c r="A287" i="2"/>
  <c r="A27" i="2"/>
  <c r="A91" i="2"/>
  <c r="A43" i="2"/>
  <c r="A172" i="2"/>
  <c r="A321" i="2"/>
  <c r="H249" i="3"/>
  <c r="A249" i="2" s="1"/>
  <c r="A295" i="2"/>
  <c r="A153" i="2"/>
  <c r="A242" i="2"/>
  <c r="A283" i="2"/>
  <c r="A291" i="2"/>
  <c r="H339" i="3"/>
  <c r="A23" i="2"/>
  <c r="A248" i="2"/>
  <c r="A97" i="2"/>
  <c r="A322" i="2"/>
  <c r="A230" i="2"/>
  <c r="A238" i="2"/>
  <c r="A152" i="2"/>
  <c r="A127" i="2"/>
  <c r="A311" i="2"/>
  <c r="A315" i="2"/>
  <c r="A244" i="2"/>
  <c r="A220" i="2"/>
  <c r="A182" i="2"/>
  <c r="A214" i="2"/>
  <c r="H263" i="3"/>
  <c r="A263" i="2" s="1"/>
  <c r="N341" i="3"/>
  <c r="H222" i="3"/>
  <c r="A222" i="2" s="1"/>
  <c r="H288" i="3"/>
  <c r="A288" i="2" s="1"/>
  <c r="H261" i="3"/>
  <c r="H345" i="3"/>
  <c r="H292" i="3"/>
  <c r="A292" i="2" s="1"/>
  <c r="H166" i="3"/>
  <c r="A166" i="2" s="1"/>
  <c r="H233" i="3"/>
  <c r="A233" i="2" s="1"/>
  <c r="H193" i="3"/>
  <c r="A193" i="2" s="1"/>
  <c r="H173" i="3"/>
  <c r="A173" i="2" s="1"/>
  <c r="H217" i="3"/>
  <c r="A217" i="2" s="1"/>
  <c r="N246" i="3"/>
  <c r="H298" i="3"/>
  <c r="A298" i="2" s="1"/>
  <c r="N287" i="3"/>
  <c r="H284" i="3"/>
  <c r="A284" i="2" s="1"/>
  <c r="H324" i="3"/>
  <c r="A324" i="2" s="1"/>
  <c r="N275" i="3"/>
  <c r="A275" i="2" s="1"/>
  <c r="N299" i="3"/>
  <c r="A299" i="2" s="1"/>
  <c r="H344" i="3"/>
  <c r="H225" i="3"/>
  <c r="A225" i="2" s="1"/>
  <c r="N261" i="3"/>
  <c r="N345" i="3"/>
  <c r="H308" i="3"/>
  <c r="A308" i="2" s="1"/>
  <c r="N182" i="3"/>
  <c r="N174" i="3"/>
  <c r="A174" i="2" s="1"/>
  <c r="N293" i="3"/>
  <c r="H157" i="3"/>
  <c r="A157" i="2" s="1"/>
  <c r="G350" i="3"/>
  <c r="H350" i="3" s="1"/>
  <c r="G205" i="3"/>
  <c r="H205" i="3" s="1"/>
  <c r="A205" i="2" s="1"/>
  <c r="G201" i="3"/>
  <c r="H201" i="3" s="1"/>
  <c r="A201" i="2" s="1"/>
  <c r="G285" i="3"/>
  <c r="H285" i="3" s="1"/>
  <c r="A285" i="2" s="1"/>
  <c r="G255" i="3"/>
  <c r="H255" i="3" s="1"/>
  <c r="A255" i="2" s="1"/>
  <c r="G336" i="3"/>
  <c r="H336" i="3" s="1"/>
  <c r="G300" i="3"/>
  <c r="H300" i="3" s="1"/>
  <c r="A300" i="2" s="1"/>
  <c r="G334" i="3"/>
  <c r="H334" i="3" s="1"/>
  <c r="A334" i="2" s="1"/>
  <c r="G302" i="3"/>
  <c r="H302" i="3" s="1"/>
  <c r="A302" i="2" s="1"/>
  <c r="G189" i="3"/>
  <c r="H189" i="3" s="1"/>
  <c r="A189" i="2" s="1"/>
  <c r="G162" i="3"/>
  <c r="H162" i="3" s="1"/>
  <c r="A162" i="2" s="1"/>
  <c r="H293" i="3"/>
  <c r="A293" i="2" s="1"/>
  <c r="H250" i="3"/>
  <c r="A250" i="2" s="1"/>
  <c r="H246" i="3"/>
  <c r="A246" i="2" s="1"/>
  <c r="H240" i="3"/>
  <c r="A240" i="2" s="1"/>
  <c r="H209" i="3"/>
  <c r="A209" i="2" s="1"/>
  <c r="N277" i="3"/>
  <c r="H265" i="3"/>
  <c r="A265" i="2" s="1"/>
  <c r="N303" i="3"/>
  <c r="A303" i="2" s="1"/>
  <c r="H349" i="3"/>
  <c r="G312" i="3"/>
  <c r="H312" i="3" s="1"/>
  <c r="A312" i="2" s="1"/>
  <c r="G257" i="3"/>
  <c r="H257" i="3" s="1"/>
  <c r="A257" i="2" s="1"/>
  <c r="H301" i="3"/>
  <c r="A301" i="2" s="1"/>
  <c r="H224" i="3"/>
  <c r="A224" i="2" s="1"/>
  <c r="H228" i="3"/>
  <c r="A228" i="2" s="1"/>
  <c r="H309" i="3"/>
  <c r="A309" i="2" s="1"/>
  <c r="G247" i="3"/>
  <c r="H247" i="3" s="1"/>
  <c r="A247" i="2" s="1"/>
  <c r="G316" i="3"/>
  <c r="H316" i="3" s="1"/>
  <c r="A316" i="2" s="1"/>
  <c r="G237" i="3"/>
  <c r="H237" i="3" s="1"/>
  <c r="A237" i="2" s="1"/>
  <c r="G326" i="3"/>
  <c r="H326" i="3" s="1"/>
  <c r="A326" i="2" s="1"/>
  <c r="G259" i="3"/>
  <c r="H259" i="3" s="1"/>
  <c r="A259" i="2" s="1"/>
  <c r="G264" i="3"/>
  <c r="H264" i="3" s="1"/>
  <c r="A264" i="2" s="1"/>
  <c r="G221" i="3"/>
  <c r="H221" i="3" s="1"/>
  <c r="A221" i="2" s="1"/>
  <c r="G149" i="3"/>
  <c r="H149" i="3" s="1"/>
  <c r="A149" i="2" s="1"/>
  <c r="G160" i="3"/>
  <c r="H160" i="3" s="1"/>
  <c r="A160" i="2" s="1"/>
  <c r="G185" i="3"/>
  <c r="H185" i="3" s="1"/>
  <c r="A185" i="2" s="1"/>
  <c r="G199" i="3"/>
  <c r="H199" i="3" s="1"/>
  <c r="A199" i="2" s="1"/>
  <c r="G348" i="3"/>
  <c r="H348" i="3" s="1"/>
  <c r="G191" i="3"/>
  <c r="H191" i="3" s="1"/>
  <c r="A191" i="2" s="1"/>
  <c r="G188" i="3"/>
  <c r="H188" i="3" s="1"/>
  <c r="A188" i="2" s="1"/>
  <c r="G280" i="3"/>
  <c r="H280" i="3" s="1"/>
  <c r="A280" i="2" s="1"/>
  <c r="G183" i="3"/>
  <c r="H183" i="3" s="1"/>
  <c r="A183" i="2" s="1"/>
  <c r="G294" i="3"/>
  <c r="H294" i="3" s="1"/>
  <c r="A294" i="2" s="1"/>
  <c r="G235" i="3"/>
  <c r="H235" i="3" s="1"/>
  <c r="A235" i="2" s="1"/>
  <c r="G266" i="3"/>
  <c r="H266" i="3" s="1"/>
  <c r="A266" i="2" s="1"/>
  <c r="G239" i="3"/>
  <c r="H239" i="3" s="1"/>
  <c r="A239" i="2" s="1"/>
  <c r="G318" i="3"/>
  <c r="H318" i="3" s="1"/>
  <c r="A318" i="2" s="1"/>
  <c r="G286" i="3"/>
  <c r="H286" i="3" s="1"/>
  <c r="A286" i="2" s="1"/>
  <c r="G253" i="3"/>
  <c r="H253" i="3" s="1"/>
  <c r="A253" i="2" s="1"/>
  <c r="G170" i="3"/>
  <c r="H170" i="3" s="1"/>
  <c r="A170" i="2" s="1"/>
  <c r="H216" i="3"/>
  <c r="A216" i="2" s="1"/>
  <c r="H333" i="3"/>
  <c r="A333" i="2" s="1"/>
  <c r="G338" i="3"/>
  <c r="H338" i="3" s="1"/>
  <c r="H273" i="3"/>
  <c r="A273" i="2" s="1"/>
  <c r="G346" i="3"/>
  <c r="H346" i="3" s="1"/>
  <c r="G207" i="3"/>
  <c r="H207" i="3" s="1"/>
  <c r="A207" i="2" s="1"/>
  <c r="H325" i="3"/>
  <c r="A325" i="2" s="1"/>
  <c r="H252" i="3"/>
  <c r="A252" i="2" s="1"/>
  <c r="H218" i="3"/>
  <c r="A218" i="2" s="1"/>
  <c r="H236" i="3"/>
  <c r="A236" i="2" s="1"/>
  <c r="N323" i="3"/>
  <c r="A323" i="2" s="1"/>
  <c r="N254" i="3"/>
  <c r="N136" i="3"/>
  <c r="G106" i="3"/>
  <c r="H106" i="3" s="1"/>
  <c r="A106" i="2" s="1"/>
  <c r="G54" i="3"/>
  <c r="H54" i="3" s="1"/>
  <c r="G73" i="3"/>
  <c r="H73" i="3" s="1"/>
  <c r="A73" i="2" s="1"/>
  <c r="G129" i="3"/>
  <c r="H129" i="3" s="1"/>
  <c r="A129" i="2" s="1"/>
  <c r="G105" i="3"/>
  <c r="H105" i="3" s="1"/>
  <c r="A105" i="2" s="1"/>
  <c r="G37" i="3"/>
  <c r="H37" i="3" s="1"/>
  <c r="A37" i="2" s="1"/>
  <c r="G96" i="3"/>
  <c r="H96" i="3" s="1"/>
  <c r="A96" i="2" s="1"/>
  <c r="G53" i="3"/>
  <c r="H53" i="3" s="1"/>
  <c r="A53" i="2" s="1"/>
  <c r="G6" i="3"/>
  <c r="H6" i="3" s="1"/>
  <c r="A6" i="2" s="1"/>
  <c r="G48" i="3"/>
  <c r="H48" i="3" s="1"/>
  <c r="A48" i="2" s="1"/>
  <c r="G62" i="3"/>
  <c r="H62" i="3" s="1"/>
  <c r="A62" i="2" s="1"/>
  <c r="G131" i="3"/>
  <c r="H131" i="3" s="1"/>
  <c r="A131" i="2" s="1"/>
  <c r="G31" i="3"/>
  <c r="H31" i="3" s="1"/>
  <c r="A31" i="2" s="1"/>
  <c r="G126" i="3"/>
  <c r="H126" i="3" s="1"/>
  <c r="A126" i="2" s="1"/>
  <c r="G72" i="3"/>
  <c r="H72" i="3" s="1"/>
  <c r="A72" i="2" s="1"/>
  <c r="G108" i="3"/>
  <c r="H108" i="3" s="1"/>
  <c r="A108" i="2" s="1"/>
  <c r="G125" i="3"/>
  <c r="H125" i="3" s="1"/>
  <c r="A125" i="2" s="1"/>
  <c r="G122" i="3"/>
  <c r="H122" i="3" s="1"/>
  <c r="A122" i="2" s="1"/>
  <c r="G8" i="3"/>
  <c r="H8" i="3" s="1"/>
  <c r="A8" i="2" s="1"/>
  <c r="G35" i="3"/>
  <c r="H35" i="3" s="1"/>
  <c r="A35" i="2" s="1"/>
  <c r="G98" i="3"/>
  <c r="H98" i="3" s="1"/>
  <c r="A98" i="2" s="1"/>
  <c r="G82" i="3"/>
  <c r="H82" i="3" s="1"/>
  <c r="A82" i="2" s="1"/>
  <c r="G142" i="3"/>
  <c r="H142" i="3" s="1"/>
  <c r="A142" i="2" s="1"/>
  <c r="G22" i="3"/>
  <c r="H22" i="3" s="1"/>
  <c r="A22" i="2" s="1"/>
  <c r="G138" i="3"/>
  <c r="H138" i="3" s="1"/>
  <c r="A138" i="2" s="1"/>
  <c r="G39" i="3"/>
  <c r="H39" i="3" s="1"/>
  <c r="A39" i="2" s="1"/>
  <c r="G2" i="3"/>
  <c r="H2" i="3" s="1"/>
  <c r="A2" i="2" s="1"/>
  <c r="G50" i="3"/>
  <c r="H50" i="3" s="1"/>
  <c r="A50" i="2" s="1"/>
  <c r="G139" i="3"/>
  <c r="H139" i="3" s="1"/>
  <c r="A139" i="2" s="1"/>
  <c r="G137" i="3"/>
  <c r="H137" i="3" s="1"/>
  <c r="A137" i="2" s="1"/>
  <c r="G60" i="3"/>
  <c r="H60" i="3" s="1"/>
  <c r="A60" i="2" s="1"/>
  <c r="G18" i="3"/>
  <c r="H18" i="3" s="1"/>
  <c r="A18" i="2" s="1"/>
  <c r="G141" i="3"/>
  <c r="H141" i="3" s="1"/>
  <c r="A141" i="2" s="1"/>
  <c r="G26" i="3"/>
  <c r="H26" i="3" s="1"/>
  <c r="A26" i="2" s="1"/>
  <c r="G64" i="3"/>
  <c r="H64" i="3" s="1"/>
  <c r="A64" i="2" s="1"/>
  <c r="G65" i="3"/>
  <c r="H65" i="3" s="1"/>
  <c r="A65" i="2" s="1"/>
  <c r="G136" i="3"/>
  <c r="H136" i="3" s="1"/>
  <c r="A136" i="2" s="1"/>
  <c r="G12" i="3"/>
  <c r="H12" i="3" s="1"/>
  <c r="A12" i="2" s="1"/>
  <c r="G4" i="3"/>
  <c r="H4" i="3" s="1"/>
  <c r="A4" i="2" s="1"/>
  <c r="G95" i="3"/>
  <c r="H95" i="3" s="1"/>
  <c r="A95" i="2" s="1"/>
  <c r="G9" i="3"/>
  <c r="H9" i="3" s="1"/>
  <c r="A9" i="2" s="1"/>
  <c r="G41" i="3"/>
  <c r="H41" i="3" s="1"/>
  <c r="A41" i="2" s="1"/>
  <c r="G29" i="3"/>
  <c r="H29" i="3" s="1"/>
  <c r="A29" i="2" s="1"/>
  <c r="G42" i="3"/>
  <c r="H42" i="3" s="1"/>
  <c r="A42" i="2" s="1"/>
  <c r="G86" i="3"/>
  <c r="H86" i="3" s="1"/>
  <c r="A86" i="2" s="1"/>
  <c r="G88" i="3"/>
  <c r="H88" i="3" s="1"/>
  <c r="A88" i="2" s="1"/>
  <c r="G70" i="3"/>
  <c r="H70" i="3" s="1"/>
  <c r="A70" i="2" s="1"/>
  <c r="G134" i="3"/>
  <c r="H134" i="3" s="1"/>
  <c r="A134" i="2" s="1"/>
  <c r="G52" i="3"/>
  <c r="H52" i="3" s="1"/>
  <c r="A52" i="2" s="1"/>
  <c r="G133" i="3"/>
  <c r="H133" i="3" s="1"/>
  <c r="A133" i="2" s="1"/>
  <c r="G120" i="3"/>
  <c r="H120" i="3" s="1"/>
  <c r="A120" i="2" s="1"/>
  <c r="G66" i="3"/>
  <c r="H66" i="3" s="1"/>
  <c r="A66" i="2" s="1"/>
  <c r="G68" i="3"/>
  <c r="H68" i="3" s="1"/>
  <c r="A68" i="2" s="1"/>
  <c r="G140" i="3"/>
  <c r="H140" i="3" s="1"/>
  <c r="A140" i="2" s="1"/>
  <c r="G30" i="3"/>
  <c r="H30" i="3" s="1"/>
  <c r="A30" i="2" s="1"/>
  <c r="G76" i="3"/>
  <c r="H76" i="3" s="1"/>
  <c r="A76" i="2" s="1"/>
  <c r="G118" i="3"/>
  <c r="H118" i="3" s="1"/>
  <c r="A118" i="2" s="1"/>
  <c r="G46" i="3"/>
  <c r="H46" i="3" s="1"/>
  <c r="A46" i="2" s="1"/>
  <c r="G17" i="3"/>
  <c r="H17" i="3" s="1"/>
  <c r="A17" i="2" s="1"/>
  <c r="G14" i="3"/>
  <c r="H14" i="3" s="1"/>
  <c r="A14" i="2" s="1"/>
  <c r="G116" i="3"/>
  <c r="H116" i="3" s="1"/>
  <c r="A116" i="2" s="1"/>
  <c r="G3" i="3"/>
  <c r="H3" i="3" s="1"/>
  <c r="A3" i="2" s="1"/>
  <c r="G117" i="3"/>
  <c r="H117" i="3" s="1"/>
  <c r="A117" i="2" s="1"/>
  <c r="G58" i="3"/>
  <c r="H58" i="3" s="1"/>
  <c r="A58" i="2" s="1"/>
  <c r="G16" i="3"/>
  <c r="H16" i="3" s="1"/>
  <c r="A16" i="2" s="1"/>
  <c r="G74" i="3"/>
  <c r="H74" i="3" s="1"/>
  <c r="A74" i="2" s="1"/>
  <c r="G21" i="3"/>
  <c r="H21" i="3" s="1"/>
  <c r="A21" i="2" s="1"/>
  <c r="G102" i="3"/>
  <c r="H102" i="3" s="1"/>
  <c r="A102" i="2" s="1"/>
  <c r="G77" i="3"/>
  <c r="H77" i="3" s="1"/>
  <c r="A77" i="2" s="1"/>
  <c r="G101" i="3"/>
  <c r="H101" i="3" s="1"/>
  <c r="A101" i="2" s="1"/>
  <c r="G114" i="3"/>
  <c r="H114" i="3" s="1"/>
  <c r="A114" i="2" s="1"/>
  <c r="N54" i="3"/>
  <c r="G57" i="3"/>
  <c r="H57" i="3" s="1"/>
  <c r="A57" i="2" s="1"/>
  <c r="G113" i="3"/>
  <c r="H113" i="3" s="1"/>
  <c r="A113" i="2" s="1"/>
  <c r="G80" i="3"/>
  <c r="H80" i="3" s="1"/>
  <c r="A80" i="2" s="1"/>
  <c r="G110" i="3"/>
  <c r="H110" i="3" s="1"/>
  <c r="A110" i="2" s="1"/>
  <c r="G87" i="3"/>
  <c r="H87" i="3" s="1"/>
  <c r="A87" i="2" s="1"/>
  <c r="G92" i="3"/>
  <c r="H92" i="3" s="1"/>
  <c r="A92" i="2" s="1"/>
  <c r="G130" i="3"/>
  <c r="H130" i="3" s="1"/>
  <c r="A130" i="2" s="1"/>
  <c r="G49" i="3"/>
  <c r="H49" i="3" s="1"/>
  <c r="A49" i="2" s="1"/>
  <c r="G25" i="3"/>
  <c r="H25" i="3" s="1"/>
  <c r="A25" i="2" s="1"/>
  <c r="G83" i="3"/>
  <c r="H83" i="3" s="1"/>
  <c r="A83" i="2" s="1"/>
  <c r="G111" i="3"/>
  <c r="H111" i="3" s="1"/>
  <c r="A111" i="2" s="1"/>
  <c r="G128" i="3"/>
  <c r="H128" i="3" s="1"/>
  <c r="A128" i="2" s="1"/>
  <c r="H124" i="3"/>
  <c r="A124" i="2" s="1"/>
  <c r="H59" i="3"/>
  <c r="A59" i="2" s="1"/>
  <c r="H121" i="3"/>
  <c r="A121" i="2" s="1"/>
  <c r="H99" i="3"/>
  <c r="A99" i="2" s="1"/>
  <c r="H90" i="3"/>
  <c r="A90" i="2" s="1"/>
  <c r="H104" i="3"/>
  <c r="A104" i="2" s="1"/>
  <c r="H112" i="3"/>
  <c r="A112" i="2" s="1"/>
  <c r="H33" i="3"/>
  <c r="A33" i="2" s="1"/>
  <c r="H289" i="3"/>
  <c r="A289" i="2" s="1"/>
  <c r="H469" i="3"/>
  <c r="H269" i="3"/>
  <c r="A269" i="2" s="1"/>
  <c r="H84" i="3"/>
  <c r="A84" i="2" s="1"/>
  <c r="H169" i="3"/>
  <c r="A169" i="2" s="1"/>
  <c r="H485" i="3"/>
  <c r="H181" i="3"/>
  <c r="A181" i="2" s="1"/>
  <c r="H593" i="3"/>
  <c r="H81" i="3"/>
  <c r="A81" i="2" s="1"/>
  <c r="H100" i="3"/>
  <c r="A100" i="2" s="1"/>
  <c r="H109" i="3"/>
  <c r="A109" i="2" s="1"/>
  <c r="H61" i="3"/>
  <c r="A61" i="2" s="1"/>
  <c r="H428" i="3"/>
  <c r="H420" i="3"/>
  <c r="H69" i="3"/>
  <c r="A69" i="2" s="1"/>
  <c r="H44" i="3"/>
  <c r="A44" i="2" s="1"/>
  <c r="H545" i="3"/>
  <c r="H10" i="3"/>
  <c r="A10" i="2" s="1"/>
  <c r="H94" i="3"/>
  <c r="A94" i="2" s="1"/>
  <c r="H472" i="3"/>
  <c r="H341" i="3"/>
  <c r="H328" i="3"/>
  <c r="A328" i="2" s="1"/>
  <c r="H268" i="3"/>
  <c r="A268" i="2" s="1"/>
  <c r="H144" i="3"/>
  <c r="A144" i="2" s="1"/>
  <c r="H376" i="3"/>
  <c r="H340" i="3"/>
  <c r="H437" i="3"/>
  <c r="H373" i="3"/>
  <c r="H353" i="3"/>
  <c r="H281" i="3"/>
  <c r="A281" i="2" s="1"/>
  <c r="H256" i="3"/>
  <c r="A256" i="2" s="1"/>
  <c r="H45" i="3"/>
  <c r="A45" i="2" s="1"/>
  <c r="H337" i="3"/>
  <c r="A54" i="2" l="1"/>
  <c r="A261" i="2"/>
</calcChain>
</file>

<file path=xl/connections.xml><?xml version="1.0" encoding="utf-8"?>
<connections xmlns="http://schemas.openxmlformats.org/spreadsheetml/2006/main">
  <connection id="1" name="Mini-transat-2017" type="4" refreshedVersion="0" background="1">
    <webPr xml="1" sourceData="1" url="C:\Users\mtreillet\Dropbox\Personnel\Mini 6.50\Le projet\Courses 2017\Mini Transat\Mini-transat-2017.gpx" htmlTables="1" htmlFormat="all"/>
  </connection>
  <connection id="2" name="Mini-transat-20171" type="4" refreshedVersion="0" background="1">
    <webPr xml="1" sourceData="1" url="C:\Users\mtreillet\Dropbox\Personnel\Mini 6.50\Le projet\Courses 2017\Mini Transat\Mini-transat-2017.gpx" htmlTables="1" htmlFormat="all"/>
  </connection>
  <connection id="3" name="Mini-transat-20172" type="4" refreshedVersion="0" background="1">
    <webPr xml="1" sourceData="1" url="C:\Users\mtreillet\Dropbox\Personnel\Mini 6.50\Le projet\Courses 2017\Mini Transat\Mini-transat-2017.gpx" htmlTables="1" htmlFormat="all"/>
  </connection>
  <connection id="4" name="Mini-transat-20173" type="4" refreshedVersion="0" background="1">
    <webPr xml="1" sourceData="1" url="C:\Users\mtreillet\Dropbox\Personnel\Mini 6.50\Le projet\Courses 2017\Mini Transat\Mini-transat-2017.gpx" htmlTables="1" htmlFormat="all"/>
  </connection>
  <connection id="5" name="test" type="4" refreshedVersion="0" background="1">
    <webPr xml="1" sourceData="1" parsePre="1" consecutive="1" url="D:\Users\mtreillet\Desktop\test.xml" htmlTables="1"/>
  </connection>
  <connection id="6" name="test1" type="4" refreshedVersion="0" background="1">
    <webPr xml="1" sourceData="1" url="D:\Users\mtreillet\Desktop\test.xml" htmlTables="1" htmlFormat="all"/>
  </connection>
  <connection id="7" name="test2" type="4" refreshedVersion="0" background="1">
    <webPr xml="1" sourceData="1" url="D:\Users\mtreillet\Desktop\test.xml" htmlTables="1" htmlFormat="all"/>
  </connection>
  <connection id="8" name="test3" type="4" refreshedVersion="0" background="1">
    <webPr xml="1" sourceData="1" url="D:\Users\mtreillet\Desktop\test.gpx" htmlTables="1" htmlFormat="all"/>
  </connection>
  <connection id="9" name="test4" type="4" refreshedVersion="0" background="1">
    <webPr xml="1" sourceData="1" url="D:\Users\mtreillet\Desktop\test.gpx" htmlTables="1" htmlFormat="all"/>
  </connection>
  <connection id="10" name="test5" type="4" refreshedVersion="0" background="1">
    <webPr xml="1" sourceData="1" url="D:\Users\mtreillet\Desktop\test.gpx" htmlTables="1" htmlFormat="all"/>
  </connection>
  <connection id="11" name="test6" type="4" refreshedVersion="0" background="1">
    <webPr xml="1" sourceData="1" url="D:\Users\mtreillet\Desktop\test.gpx" htmlTables="1" htmlFormat="all"/>
  </connection>
  <connection id="12" name="test7" type="4" refreshedVersion="0" background="1">
    <webPr xml="1" sourceData="1" url="D:\Users\mtreillet\Desktop\test.gpx" htmlTables="1" htmlFormat="all"/>
  </connection>
  <connection id="13" name="test8" type="4" refreshedVersion="0" background="1">
    <webPr xml="1" sourceData="1" url="D:\Users\mtreillet\Desktop\test.gpx" htmlTables="1" htmlFormat="all"/>
  </connection>
  <connection id="14" name="test9" type="4" refreshedVersion="0" background="1">
    <webPr xml="1" sourceData="1" url="D:\Users\mtreillet\Desktop\test.gpx" htmlTables="1" htmlFormat="all"/>
  </connection>
  <connection id="15" name="transgascogne" type="4" refreshedVersion="0" background="1">
    <webPr xml="1" sourceData="1" url="C:\Users\mtreillet\Dropbox\Personnel\Mini 6.50\Le projet\Courses 2017\Transgascogne\Nav\transgascogne.gpx" htmlTables="1" htmlFormat="all"/>
  </connection>
  <connection id="16" name="transgascogne1" type="4" refreshedVersion="0" background="1">
    <webPr xml="1" sourceData="1" url="C:\Users\mtreillet\Dropbox\Personnel\Mini 6.50\Le projet\Courses 2017\Transgascogne\Nav\transgascogne.gpx" htmlTables="1" htmlFormat="all"/>
  </connection>
  <connection id="17" name="transgascogne2" type="4" refreshedVersion="0" background="1">
    <webPr xml="1" sourceData="1" url="C:\Users\mtreillet\Dropbox\Personnel\Mini 6.50\Le projet\Courses 2017\Transgascogne\Nav\transgascogne.gpx" htmlTables="1" htmlFormat="all"/>
  </connection>
  <connection id="18" name="transgascogne3" type="4" refreshedVersion="0" background="1">
    <webPr xml="1" sourceData="1" url="C:\Users\mtreillet\Dropbox\Personnel\Mini 6.50\Le projet\Courses 2017\Transgascogne\Nav\transgascogne.gpx" htmlTables="1" htmlFormat="all"/>
  </connection>
</connections>
</file>

<file path=xl/sharedStrings.xml><?xml version="1.0" encoding="utf-8"?>
<sst xmlns="http://schemas.openxmlformats.org/spreadsheetml/2006/main" count="34" uniqueCount="29">
  <si>
    <t>q</t>
  </si>
  <si>
    <t>r</t>
  </si>
  <si>
    <t>v</t>
  </si>
  <si>
    <t>w</t>
  </si>
  <si>
    <t>y</t>
  </si>
  <si>
    <t>Etape 1</t>
  </si>
  <si>
    <t>importer le fichier .gpx exporté à l'aide de OpenCPN</t>
  </si>
  <si>
    <t>Etape 2</t>
  </si>
  <si>
    <t>le symbole si besoin</t>
  </si>
  <si>
    <t>vérifier la liste des waypoints ci-contre et modifier</t>
  </si>
  <si>
    <t>Etape 3</t>
  </si>
  <si>
    <t>exporter la liste des waypoints au format .txt</t>
  </si>
  <si>
    <t>(indiquer oui ou ok pour chaque message d'erreur)</t>
  </si>
  <si>
    <t>(le fichier sera créé dans le dossier courant)</t>
  </si>
  <si>
    <t>pour toute question : melchior.treillet@gmail.com</t>
  </si>
  <si>
    <t>Etape 4</t>
  </si>
  <si>
    <t>- copier le contenu du fichier .txt</t>
  </si>
  <si>
    <t>- dans l'onglet session :</t>
  </si>
  <si>
    <t>- dans l'onglet terminal :</t>
  </si>
  <si>
    <r>
      <t xml:space="preserve">local line editing : </t>
    </r>
    <r>
      <rPr>
        <b/>
        <sz val="10"/>
        <color theme="1"/>
        <rFont val="Arial"/>
        <family val="2"/>
      </rPr>
      <t>force on</t>
    </r>
  </si>
  <si>
    <r>
      <t xml:space="preserve">local echo : </t>
    </r>
    <r>
      <rPr>
        <b/>
        <sz val="10"/>
        <color theme="1"/>
        <rFont val="Arial"/>
        <family val="2"/>
      </rPr>
      <t>force on</t>
    </r>
  </si>
  <si>
    <r>
      <t xml:space="preserve">speed : </t>
    </r>
    <r>
      <rPr>
        <b/>
        <sz val="10"/>
        <color theme="1"/>
        <rFont val="Arial"/>
        <family val="2"/>
      </rPr>
      <t>38400</t>
    </r>
  </si>
  <si>
    <r>
      <t xml:space="preserve">connection type : </t>
    </r>
    <r>
      <rPr>
        <b/>
        <sz val="10"/>
        <color theme="1"/>
        <rFont val="Arial"/>
        <family val="2"/>
      </rPr>
      <t>serial</t>
    </r>
  </si>
  <si>
    <t>- clic droit dans la fenêtre du terminal</t>
  </si>
  <si>
    <t xml:space="preserve">  pour coller ET envoyer les points vers le GPS</t>
  </si>
  <si>
    <t>Attention : le transfert effacera TOUS les points</t>
  </si>
  <si>
    <t>existants sur le GP32 !</t>
  </si>
  <si>
    <t>- ouvrir PuTTY</t>
  </si>
  <si>
    <r>
      <t xml:space="preserve">serial line : </t>
    </r>
    <r>
      <rPr>
        <b/>
        <sz val="10"/>
        <color theme="1"/>
        <rFont val="Arial"/>
        <family val="2"/>
      </rPr>
      <t>COM3</t>
    </r>
    <r>
      <rPr>
        <sz val="10"/>
        <color theme="1"/>
        <rFont val="Arial"/>
        <family val="2"/>
      </rPr>
      <t xml:space="preserve"> (ou 1 ou 2 si ça ne marche pas)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</si>
</sst>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6" x14ac:knownFonts="1">
    <font>
      <sz val="10"/>
      <color theme="1"/>
      <name val="Arial"/>
      <family val="2"/>
    </font>
    <font>
      <sz val="10"/>
      <color rgb="FF000000"/>
      <name val="Arial"/>
      <family val="2"/>
    </font>
    <font>
      <sz val="10"/>
      <color theme="0"/>
      <name val="Arial"/>
      <family val="2"/>
    </font>
    <font>
      <b/>
      <sz val="10"/>
      <color theme="1"/>
      <name val="Arial"/>
      <family val="2"/>
    </font>
    <font>
      <i/>
      <sz val="10"/>
      <color theme="1"/>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4">
    <xf numFmtId="0" fontId="0" fillId="0" borderId="0" xfId="0"/>
    <xf numFmtId="0" fontId="0" fillId="2" borderId="0" xfId="0" applyFill="1"/>
    <xf numFmtId="0" fontId="0" fillId="3" borderId="0" xfId="0" applyFill="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0" fontId="0" fillId="3" borderId="0"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0" borderId="0" xfId="0" applyNumberFormat="1"/>
    <xf numFmtId="0" fontId="2" fillId="3" borderId="0" xfId="0" applyFont="1" applyFill="1"/>
    <xf numFmtId="49" fontId="0" fillId="0" borderId="0" xfId="0" applyNumberFormat="1"/>
    <xf numFmtId="1" fontId="0" fillId="0" borderId="0" xfId="0" applyNumberFormat="1"/>
    <xf numFmtId="22" fontId="0" fillId="0" borderId="0" xfId="0" applyNumberFormat="1"/>
    <xf numFmtId="0" fontId="3" fillId="3" borderId="0" xfId="0" applyFont="1" applyFill="1" applyBorder="1"/>
    <xf numFmtId="0" fontId="3" fillId="3" borderId="0" xfId="0" applyFont="1" applyFill="1" applyBorder="1" applyAlignment="1">
      <alignment horizontal="center"/>
    </xf>
    <xf numFmtId="0" fontId="3" fillId="3" borderId="5" xfId="0" applyFont="1" applyFill="1" applyBorder="1" applyAlignment="1">
      <alignment horizontal="center"/>
    </xf>
    <xf numFmtId="0" fontId="4" fillId="3" borderId="0" xfId="0" applyFont="1" applyFill="1"/>
    <xf numFmtId="0" fontId="0" fillId="3" borderId="0" xfId="0" quotePrefix="1" applyFill="1" applyBorder="1"/>
    <xf numFmtId="0" fontId="5" fillId="3" borderId="0" xfId="0" applyFont="1" applyFill="1" applyBorder="1"/>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topografix.com/GPX/1/1'">
  <Schema ID="Schema1"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2"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3"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4"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5"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6"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7"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8"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9"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0"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1"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2"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3"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4"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5"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6"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7"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Schema ID="Schema18" Namespace="http://www.topografix.com/GPX/1/1">
    <xsd:schema xmlns:xsd="http://www.w3.org/2001/XMLSchema" xmlns="http://www.topografix.com/GPX/1/1" targetNamespace="http://www.topografix.com/GPX/1/1" elementFormDefault="qualified">
      <xsd:annotation>
        <xsd:documentation>
  GPX schema version 1.1 - For more information on GPX and this schema, visit http://www.topografix.com/gpx.asp
  GPX uses the following conventions: all coordinates are relative to the WGS84 datum.  All measurements are in metric units.
 </xsd:documentation>
      </xsd:annotation>
      <xsd:element name="gpx" type="gpxType">
        <xsd:annotation>
          <xsd:documentation>
		GPX is the root element in the XML file.
	  </xsd:documentation>
        </xsd:annotation>
      </xsd:element>
      <xsd:complexType name="gpxType">
        <xsd:annotation>
          <xsd:documentation>
		GPX documents contain a metadata header, followed by waypoints, routes, and tracks.  You can add your own elements
		to the extensions section of the GPX document.
	  </xsd:documentation>
        </xsd:annotation>
        <xsd:sequence>
          <xsd:element name="metadata" type="metadataType" minOccurs="0">
            <xsd:annotation>
              <xsd:documentation>
		Metadata about the file.
	   </xsd:documentation>
            </xsd:annotation>
          </xsd:element>
          <xsd:element name="wpt" type="wptType" minOccurs="0" maxOccurs="unbounded">
            <xsd:annotation>
              <xsd:documentation>
		A list of waypoints.
	   </xsd:documentation>
            </xsd:annotation>
          </xsd:element>
          <xsd:element name="rte" type="rteType" minOccurs="0" maxOccurs="unbounded">
            <xsd:annotation>
              <xsd:documentation>
		A list of routes.
	   </xsd:documentation>
            </xsd:annotation>
          </xsd:element>
          <xsd:element name="trk" type="trkType" minOccurs="0" maxOccurs="unbounded">
            <xsd:annotation>
              <xsd:documentation>
		A list of tracks.
	   </xsd:documentation>
            </xsd:annotation>
          </xsd:element>
          <xsd:element name="extensions" type="extensionsType" minOccurs="0">
            <xsd:annotation>
              <xsd:documentation>
		You can add extend GPX by adding your own elements from another schema here.
	   </xsd:documentation>
            </xsd:annotation>
          </xsd:element>
        </xsd:sequence>
        <xsd:attribute name="version" type="xsd:string" use="required" fixed="1.1">
          <xsd:annotation>
            <xsd:documentation>
		You must include the version number in your GPX document.
	  </xsd:documentation>
          </xsd:annotation>
        </xsd:attribute>
        <xsd:attribute name="creator" type="xsd:string" use="required">
          <xsd:annotation>
            <xsd:documentation>
		You must include the name or URL of the software that created your GPX document.  This allows others to
		inform the creator of a GPX instance document that fails to validate.
	  </xsd:documentation>
          </xsd:annotation>
        </xsd:attribute>
      </xsd:complexType>
      <xsd:complexType name="metadataType">
        <xsd:annotation>
          <xsd:documentation>
		Information about the GPX file, author, and copyright restrictions goes in the metadata section.  Providing rich,
		meaningful information about your GPX files allows others to search for and use your GPS data.
	  </xsd:documentation>
        </xsd:annotation>
        <xsd:sequence>
          <!-- elements must appear in this order -->
          <xsd:element name="name" type="xsd:string" minOccurs="0">
            <xsd:annotation>
              <xsd:documentation>
		The name of the GPX file.
	   </xsd:documentation>
            </xsd:annotation>
          </xsd:element>
          <xsd:element name="desc" type="xsd:string" minOccurs="0">
            <xsd:annotation>
              <xsd:documentation>
		A description of the contents of the GPX file.
	   </xsd:documentation>
            </xsd:annotation>
          </xsd:element>
          <xsd:element name="author" type="personType" minOccurs="0">
            <xsd:annotation>
              <xsd:documentation>
		The person or organization who created the GPX file.
	   </xsd:documentation>
            </xsd:annotation>
          </xsd:element>
          <xsd:element name="copyright" type="copyrightType" minOccurs="0">
            <xsd:annotation>
              <xsd:documentation>
		Copyright and license information governing use of the file.
	   </xsd:documentation>
            </xsd:annotation>
          </xsd:element>
          <xsd:element name="link" type="linkType" minOccurs="0" maxOccurs="unbounded">
            <xsd:annotation>
              <xsd:documentation>
		URLs associated with the location described in the file.
	   </xsd:documentation>
            </xsd:annotation>
          </xsd:element>
          <xsd:element name="time" type="xsd:dateTime" minOccurs="0">
            <xsd:annotation>
              <xsd:documentation>
		The creation date of the file.
	   </xsd:documentation>
            </xsd:annotation>
          </xsd:element>
          <xsd:element name="keywords" type="xsd:string" minOccurs="0">
            <xsd:annotation>
              <xsd:documentation>
		Keywords associated with the file.  Search engines or databases can use this information to classify the data.
	   </xsd:documentation>
            </xsd:annotation>
          </xsd:element>
          <xsd:element name="bounds" type="boundsType" minOccurs="0">
            <xsd:annotation>
              <xsd:documentation>
		Minimum and maximum coordinates which describe the extent of the coordinates in the file.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wptType">
        <xsd:annotation>
          <xsd:documentation>
		wpt represents a waypoint, point of interest, or named feature on a map.
	  </xsd:documentation>
        </xsd:annotation>
        <xsd:sequence>
          <!-- elements must appear in this order -->
          <!-- Position info -->
          <xsd:element name="ele" type="xsd:decimal" minOccurs="0">
            <xsd:annotation>
              <xsd:documentation>
			Elevation (in meters) of the point.
		  </xsd:documentation>
            </xsd:annotation>
          </xsd:element>
          <xsd:element name="time" type="xsd:dateTime" minOccurs="0">
            <xsd:annotation>
              <xsd:documentation>
			Creation/modification timestamp for element. Date and time in are in Univeral Coordinated Time (UTC), not local time! Conforms to ISO 8601 specification for date/time representation. Fractional seconds are allowed for millisecond timing in tracklogs. 
		  </xsd:documentation>
            </xsd:annotation>
          </xsd:element>
          <xsd:element name="magvar" type="degreesType" minOccurs="0">
            <xsd:annotation>
              <xsd:documentation>
			Magnetic variation (in degrees) at the point
		  </xsd:documentation>
            </xsd:annotation>
          </xsd:element>
          <xsd:element name="geoidheight" type="xsd:decimal" minOccurs="0">
            <xsd:annotation>
              <xsd:documentation>
			Height (in meters) of geoid (mean sea level) above WGS84 earth ellipsoid.  As defined in NMEA GGA message.
		  </xsd:documentation>
            </xsd:annotation>
          </xsd:element>
          <!-- Description info -->
          <xsd:element name="name" type="xsd:string" minOccurs="0">
            <xsd:annotation>
              <xsd:documentation>
			The GPS name of the waypoint. This field will be transferred to and from the GPS. GPX does not place restrictions on the length of this field or the characters contained in it. It is up to the receiving application to validate the field before sending it to the GPS.
		  </xsd:documentation>
            </xsd:annotation>
          </xsd:element>
          <xsd:element name="cmt" type="xsd:string" minOccurs="0">
            <xsd:annotation>
              <xsd:documentation>
			GPS waypoint comment. Sent to GPS as comment. 
		  </xsd:documentation>
            </xsd:annotation>
          </xsd:element>
          <xsd:element name="desc" type="xsd:string" minOccurs="0">
            <xsd:annotation>
              <xsd:documentation>
			A text description of the element. Holds additional information about the element intended for the user, not the GPS.
		  </xsd:documentation>
            </xsd:annotation>
          </xsd:element>
          <xsd:element name="src" type="xsd:string" minOccurs="0">
            <xsd:annotation>
              <xsd:documentation>
			Source of data. Included to give user some idea of reliability and accuracy of data.  "Garmin eTrex", "USGS quad Boston North", e.g.
		  </xsd:documentation>
            </xsd:annotation>
          </xsd:element>
          <xsd:element name="link" type="linkType" minOccurs="0" maxOccurs="unbounded">
            <xsd:annotation>
              <xsd:documentation>
			Link to additional information about the waypoint.
		  </xsd:documentation>
            </xsd:annotation>
          </xsd:element>
          <xsd:element name="sym" type="xsd:string" minOccurs="0">
            <xsd:annotation>
              <xsd:documentation>
			Text of GPS symbol name. For interchange with other programs, use the exact spelling of the symbol as displayed on the GPS.  If the GPS abbreviates words, spell them out.
		  </xsd:documentation>
            </xsd:annotation>
          </xsd:element>
          <xsd:element name="type" type="xsd:string" minOccurs="0">
            <xsd:annotation>
              <xsd:documentation>
			Type (classification) of the waypoint.
		  </xsd:documentation>
            </xsd:annotation>
          </xsd:element>
          <!-- Accuracy info -->
          <xsd:element name="fix" type="fixType" minOccurs="0">
            <xsd:annotation>
              <xsd:documentation>
			Type of GPX fix.
		  </xsd:documentation>
            </xsd:annotation>
          </xsd:element>
          <xsd:element name="sat" type="xsd:nonNegativeInteger" minOccurs="0">
            <xsd:annotation>
              <xsd:documentation>
			Number of satellites used to calculate the GPX fix.
		  </xsd:documentation>
            </xsd:annotation>
          </xsd:element>
          <xsd:element name="hdop" type="xsd:decimal" minOccurs="0">
            <xsd:annotation>
              <xsd:documentation>
			Horizontal dilution of precision.
		  </xsd:documentation>
            </xsd:annotation>
          </xsd:element>
          <xsd:element name="vdop" type="xsd:decimal" minOccurs="0">
            <xsd:annotation>
              <xsd:documentation>
			Vertical dilution of precision.
		  </xsd:documentation>
            </xsd:annotation>
          </xsd:element>
          <xsd:element name="pdop" type="xsd:decimal" minOccurs="0">
            <xsd:annotation>
              <xsd:documentation>
			Position dilution of precision.
		  </xsd:documentation>
            </xsd:annotation>
          </xsd:element>
          <xsd:element name="ageofdgpsdata" type="xsd:decimal" minOccurs="0">
            <xsd:annotation>
              <xsd:documentation>
			Number of seconds since last DGPS update.
		  </xsd:documentation>
            </xsd:annotation>
          </xsd:element>
          <xsd:element name="dgpsid" type="dgpsStationType" minOccurs="0">
            <xsd:annotation>
              <xsd:documentation>
			ID of DGPS station used in differential correction.
		  </xsd:documentation>
            </xsd:annotation>
          </xsd:element>
          <xsd:element name="extensions" type="extensionsType" minOccurs="0">
            <xsd:annotation>
              <xsd:documentation>
		You can add extend GPX by adding your own elements from another schema here.
	   </xsd:documentation>
            </xsd:annotation>
          </xsd:element>
        </xsd:sequence>
        <xsd:attribute name="lat" type="latitudeType" use="required">
          <xsd:annotation>
            <xsd:documentation>
		The latitude of the point.  This is always in decimal degrees, and always in WGS84 datum.
	  </xsd:documentation>
          </xsd:annotation>
        </xsd:attribute>
        <xsd:attribute name="lon" type="longitudeType" use="required">
          <xsd:annotation>
            <xsd:documentation>
      The longitude of the point.  This is always in decimal degrees, and always in WGS84 datum.
    </xsd:documentation>
          </xsd:annotation>
        </xsd:attribute>
      </xsd:complexType>
      <xsd:complexType name="rteType">
        <xsd:annotation>
          <xsd:documentation>
		rte represents route - an ordered list of waypoints representing a series of turn points leading to a destination.
	  </xsd:documentation>
        </xsd:annotation>
        <xsd:sequence>
          <xsd:element name="name" type="xsd:string" minOccurs="0">
            <xsd:annotation>
              <xsd:documentation>
			GPS name of route.
		  </xsd:documentation>
            </xsd:annotation>
          </xsd:element>
          <xsd:element name="cmt" type="xsd:string" minOccurs="0">
            <xsd:annotation>
              <xsd:documentation>
			GPS comment for route.
		  </xsd:documentation>
            </xsd:annotation>
          </xsd:element>
          <xsd:element name="desc" type="xsd:string" minOccurs="0">
            <xsd:annotation>
              <xsd:documentation>
			Text description of route for user.  Not sent to GPS.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the route.
		  </xsd:documentation>
            </xsd:annotation>
          </xsd:element>
          <xsd:element name="number" type="xsd:nonNegativeInteger" minOccurs="0">
            <xsd:annotation>
              <xsd:documentation>
			GPS route number.
		  </xsd:documentation>
            </xsd:annotation>
          </xsd:element>
          <xsd:element name="type" type="xsd:string" minOccurs="0">
            <xsd:annotation>
              <xsd:documentation>
			Type (classification) of route.
		  </xsd:documentation>
            </xsd:annotation>
          </xsd:element>
          <xsd:element name="extensions" type="extensionsType" minOccurs="0">
            <xsd:annotation>
              <xsd:documentation>
		You can add extend GPX by adding your own elements from another schema here.
	   </xsd:documentation>
            </xsd:annotation>
          </xsd:element>
          <xsd:element name="rtept" type="wptType" minOccurs="0" maxOccurs="unbounded">
            <xsd:annotation>
              <xsd:documentation>
		A list of route points.
	   </xsd:documentation>
            </xsd:annotation>
          </xsd:element>
        </xsd:sequence>
      </xsd:complexType>
      <xsd:complexType name="trkType">
        <xsd:annotation>
          <xsd:documentation>
		trk represents a track - an ordered list of points describing a path.
	  </xsd:documentation>
        </xsd:annotation>
        <xsd:sequence>
          <xsd:element name="name" type="xsd:string" minOccurs="0">
            <xsd:annotation>
              <xsd:documentation>
			GPS name of track.
		  </xsd:documentation>
            </xsd:annotation>
          </xsd:element>
          <xsd:element name="cmt" type="xsd:string" minOccurs="0">
            <xsd:annotation>
              <xsd:documentation>
			GPS comment for track.
		  </xsd:documentation>
            </xsd:annotation>
          </xsd:element>
          <xsd:element name="desc" type="xsd:string" minOccurs="0">
            <xsd:annotation>
              <xsd:documentation>
			User description of track.
		  </xsd:documentation>
            </xsd:annotation>
          </xsd:element>
          <xsd:element name="src" type="xsd:string" minOccurs="0">
            <xsd:annotation>
              <xsd:documentation>
			Source of data. Included to give user some idea of reliability and accuracy of data.
		  </xsd:documentation>
            </xsd:annotation>
          </xsd:element>
          <xsd:element name="link" type="linkType" minOccurs="0" maxOccurs="unbounded">
            <xsd:annotation>
              <xsd:documentation>
			Links to external information about track.
		  </xsd:documentation>
            </xsd:annotation>
          </xsd:element>
          <xsd:element name="number" type="xsd:nonNegativeInteger" minOccurs="0">
            <xsd:annotation>
              <xsd:documentation>
			GPS track number.
		  </xsd:documentation>
            </xsd:annotation>
          </xsd:element>
          <xsd:element name="type" type="xsd:string" minOccurs="0">
            <xsd:annotation>
              <xsd:documentation>
			Type (classification) of track.
		  </xsd:documentation>
            </xsd:annotation>
          </xsd:element>
          <xsd:element name="extensions" type="extensionsType" minOccurs="0">
            <xsd:annotation>
              <xsd:documentation>
		You can add extend GPX by adding your own elements from another schema here.
	   </xsd:documentation>
            </xsd:annotation>
          </xsd:element>
          <xsd:element name="trkseg" type="trksegType" minOccurs="0" maxOccurs="unbounded">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element>
        </xsd:sequence>
      </xsd:complexType>
      <xsd:complexType name="extensionsType">
        <xsd:annotation>
          <xsd:documentation>
	 You can add extend GPX by adding your own elements from another schema here.
    </xsd:documentation>
        </xsd:annotation>
        <xsd:sequence>
          <xsd:any namespace="##other" processContents="lax" minOccurs="0" maxOccurs="unbounded">
            <xsd:annotation>
              <xsd:documentation>
		 You can add extend GPX by adding your own elements from another schema here.
		</xsd:documentation>
            </xsd:annotation>
          </xsd:any>
        </xsd:sequence>
      </xsd:complexType>
      <xsd:complexType name="trksegType">
        <xsd:annotation>
          <xsd:documentation>
 	 A Track Segment holds a list of Track Points which are logically connected in order. To represent a single GPS track where GPS reception was lost, or the GPS receiver was turned off, start a new Track Segment for each continuous span of track data.
    </xsd:documentation>
        </xsd:annotation>
        <xsd:sequence>
          <!-- elements must appear in this order -->
          <xsd:element name="trkpt" type="wptType" minOccurs="0" maxOccurs="unbounded">
            <xsd:annotation>
              <xsd:documentation>
		A Track Point holds the coordinates, elevation, timestamp, and metadata for a single point in a track.
	   </xsd:documentation>
            </xsd:annotation>
          </xsd:element>
          <xsd:element name="extensions" type="extensionsType" minOccurs="0">
            <xsd:annotation>
              <xsd:documentation>
		You can add extend GPX by adding your own elements from another schema here.
	   </xsd:documentation>
            </xsd:annotation>
          </xsd:element>
        </xsd:sequence>
      </xsd:complexType>
      <xsd:complexType name="copyrightType">
        <xsd:annotation>
          <xsd:documentation>
	 Information about the copyright holder and any license governing use of this file.  By linking to an appropriate license,
	 you may place your data into the public domain or grant additional usage rights.
    </xsd:documentation>
        </xsd:annotation>
        <xsd:sequence>
          <!-- elements must appear in this order -->
          <xsd:element name="year" type="xsd:gYear" minOccurs="0">
            <xsd:annotation>
              <xsd:documentation>
		Year of copyright.
	  </xsd:documentation>
            </xsd:annotation>
          </xsd:element>
          <xsd:element name="license" type="xsd:anyURI" minOccurs="0">
            <xsd:annotation>
              <xsd:documentation>
		Link to external file containing license text.
	  </xsd:documentation>
            </xsd:annotation>
          </xsd:element>
        </xsd:sequence>
        <xsd:attribute name="author" type="xsd:string" use="required">
          <xsd:annotation>
            <xsd:documentation>
		Copyright holder (TopoSoft, Inc.)
	  </xsd:documentation>
          </xsd:annotation>
        </xsd:attribute>
      </xsd:complexType>
      <xsd:complexType name="linkType">
        <xsd:annotation>
          <xsd:documentation>
	 A link to an external resource (Web page, digital photo, video clip, etc) with additional information.
    </xsd:documentation>
        </xsd:annotation>
        <xsd:sequence>
          <!-- elements must appear in this order -->
          <xsd:element name="text" type="xsd:string" minOccurs="0">
            <xsd:annotation>
              <xsd:documentation>
		Text of hyperlink.
	  </xsd:documentation>
            </xsd:annotation>
          </xsd:element>
          <xsd:element name="type" type="xsd:string" minOccurs="0">
            <xsd:annotation>
              <xsd:documentation>
		Mime type of content (image/jpeg)
	  </xsd:documentation>
            </xsd:annotation>
          </xsd:element>
        </xsd:sequence>
        <xsd:attribute name="href" type="xsd:anyURI" use="required">
          <xsd:annotation>
            <xsd:documentation>
		URL of hyperlink.
	  </xsd:documentation>
          </xsd:annotation>
        </xsd:attribute>
      </xsd:complexType>
      <xsd:complexType name="emailType">
        <xsd:annotation>
          <xsd:documentation>
	 An email address.  Broken into two parts (id and domain) to help prevent email harvesting.
    </xsd:documentation>
        </xsd:annotation>
        <xsd:attribute name="id" type="xsd:string" use="required">
          <xsd:annotation>
            <xsd:documentation>
		id half of email address (billgates2004)
	  </xsd:documentation>
          </xsd:annotation>
        </xsd:attribute>
        <xsd:attribute name="domain" type="xsd:string" use="required">
          <xsd:annotation>
            <xsd:documentation>
		domain half of email address (hotmail.com)
	  </xsd:documentation>
          </xsd:annotation>
        </xsd:attribute>
      </xsd:complexType>
      <xsd:complexType name="personType">
        <xsd:annotation>
          <xsd:documentation>
	 A person or organization.
    </xsd:documentation>
        </xsd:annotation>
        <xsd:sequence>
          <!-- elements must appear in this order -->
          <xsd:element name="name" type="xsd:string" minOccurs="0">
            <xsd:annotation>
              <xsd:documentation>
		Name of person or organization.
	  </xsd:documentation>
            </xsd:annotation>
          </xsd:element>
          <xsd:element name="email" type="emailType" minOccurs="0">
            <xsd:annotation>
              <xsd:documentation>
		Email address.
	  </xsd:documentation>
            </xsd:annotation>
          </xsd:element>
          <xsd:element name="link" type="linkType" minOccurs="0">
            <xsd:annotation>
              <xsd:documentation>
		Link to Web site or other external information about person.
	  </xsd:documentation>
            </xsd:annotation>
          </xsd:element>
        </xsd:sequence>
      </xsd:complexType>
      <xsd:complexType name="ptType">
        <xsd:annotation>
          <xsd:documentation>
	 A geographic point with optional elevation and time.  Available for use by other schemas.
    </xsd:documentation>
        </xsd:annotation>
        <xsd:sequence>
          <!-- elements must appear in this order -->
          <xsd:element name="ele" type="xsd:decimal" minOccurs="0">
            <xsd:annotation>
              <xsd:documentation>
		The elevation (in meters) of the point.
	  </xsd:documentation>
            </xsd:annotation>
          </xsd:element>
          <xsd:element name="time" type="xsd:dateTime" minOccurs="0">
            <xsd:annotation>
              <xsd:documentation>
		The time that the point was recorded.
	  </xsd:documentation>
            </xsd:annotation>
          </xsd:element>
        </xsd:sequence>
        <xsd:attribute name="lat" type="latitudeType" use="required">
          <xsd:annotation>
            <xsd:documentation>
		The latitude of the point.  Decimal degrees, WGS84 datum.
	  </xsd:documentation>
          </xsd:annotation>
        </xsd:attribute>
        <xsd:attribute name="lon" type="longitudeType" use="required">
          <xsd:annotation>
            <xsd:documentation>
		The latitude of the point.  Decimal degrees, WGS84 datum.
	  </xsd:documentation>
          </xsd:annotation>
        </xsd:attribute>
      </xsd:complexType>
      <xsd:complexType name="ptsegType">
        <xsd:annotation>
          <xsd:documentation>
	 An ordered sequence of points.  (for polygons or polylines, e.g.)
    </xsd:documentation>
        </xsd:annotation>
        <xsd:sequence>
          <!-- elements must appear in this order -->
          <xsd:element name="pt" type="ptType" minOccurs="0" maxOccurs="unbounded">
            <xsd:annotation>
              <xsd:documentation>
		 Ordered list of geographic points.
		</xsd:documentation>
            </xsd:annotation>
          </xsd:element>
        </xsd:sequence>
      </xsd:complexType>
      <xsd:complexType name="boundsType">
        <xsd:annotation>
          <xsd:documentation>
	 Two lat/lon pairs defining the extent of an element.
    </xsd:documentation>
        </xsd:annotation>
        <xsd:attribute name="minlat" type="latitudeType" use="required">
          <xsd:annotation>
            <xsd:documentation>
		The minimum latitude.
	  </xsd:documentation>
          </xsd:annotation>
        </xsd:attribute>
        <xsd:attribute name="minlon" type="longitudeType" use="required">
          <xsd:annotation>
            <xsd:documentation>
		The minimum longitude.
	  </xsd:documentation>
          </xsd:annotation>
        </xsd:attribute>
        <xsd:attribute name="maxlat" type="latitudeType" use="required">
          <xsd:annotation>
            <xsd:documentation>
		The maximum latitude.
	  </xsd:documentation>
          </xsd:annotation>
        </xsd:attribute>
        <xsd:attribute name="maxlon" type="longitudeType" use="required">
          <xsd:annotation>
            <xsd:documentation>
		The maximum longitude.
	  </xsd:documentation>
          </xsd:annotation>
        </xsd:attribute>
      </xsd:complexType>
      <xsd:simpleType name="latitudeType">
        <xsd:annotation>
          <xsd:documentation>
		The latitude of the point.  Decimal degrees, WGS84 datum.
	  </xsd:documentation>
        </xsd:annotation>
        <xsd:restriction base="xsd:decimal">
          <xsd:minInclusive value="-90.0"/>
          <xsd:maxInclusive value="90.0"/>
        </xsd:restriction>
      </xsd:simpleType>
      <xsd:simpleType name="longitudeType">
        <xsd:annotation>
          <xsd:documentation>
		The longitude of the point.  Decimal degrees, WGS84 datum.
	  </xsd:documentation>
        </xsd:annotation>
        <xsd:restriction base="xsd:decimal">
          <xsd:minInclusive value="-180.0"/>
          <xsd:maxExclusive value="180.0"/>
        </xsd:restriction>
      </xsd:simpleType>
      <xsd:simpleType name="degreesType">
        <xsd:annotation>
          <xsd:documentation>
		Used for bearing, heading, course.  Units are decimal degrees, true (not magnetic).
	  </xsd:documentation>
        </xsd:annotation>
        <xsd:restriction base="xsd:decimal">
          <xsd:minInclusive value="0.0"/>
          <xsd:maxExclusive value="360.0"/>
        </xsd:restriction>
      </xsd:simpleType>
      <xsd:simpleType name="fixType">
        <xsd:annotation>
          <xsd:documentation>
		Type of GPS fix.  none means GPS had no fix.  To signify "the fix info is unknown, leave out fixType entirely. pps = military signal used
	  </xsd:documentation>
        </xsd:annotation>
        <xsd:restriction base="xsd:string">
          <xsd:enumeration value="none"/>
          <xsd:enumeration value="2d"/>
          <xsd:enumeration value="3d"/>
          <xsd:enumeration value="dgps"/>
          <xsd:enumeration value="pps"/>
        </xsd:restriction>
      </xsd:simpleType>
      <xsd:simpleType name="dgpsStationType">
        <xsd:annotation>
          <xsd:documentation>
	 Represents a differential GPS station.
    </xsd:documentation>
        </xsd:annotation>
        <xsd:restriction base="xsd:integer">
          <xsd:minInclusive value="0"/>
          <xsd:maxInclusive value="1023"/>
        </xsd:restriction>
      </xsd:simpleType>
    </xsd:schema>
  </Schema>
  <Map ID="1" Name="gpx_Map" RootElement="gpx" SchemaID="Schema1" ShowImportExportValidationErrors="false" AutoFit="true" Append="false" PreserveSortAFLayout="true" PreserveFormat="true">
    <DataBinding FileBinding="true" ConnectionID="15" DataBindingLoadMode="1"/>
  </Map>
  <Map ID="2" Name="gpx_Map1" RootElement="gpx" SchemaID="Schema2" ShowImportExportValidationErrors="false" AutoFit="true" Append="false" PreserveSortAFLayout="true" PreserveFormat="true">
    <DataBinding FileBinding="true" ConnectionID="5" DataBindingLoadMode="1"/>
  </Map>
  <Map ID="11" Name="gpx_Map10" RootElement="gpx" SchemaID="Schema11" ShowImportExportValidationErrors="false" AutoFit="true" Append="false" PreserveSortAFLayout="true" PreserveFormat="true">
    <DataBinding FileBinding="true" ConnectionID="12" DataBindingLoadMode="1"/>
  </Map>
  <Map ID="12" Name="gpx_Map11" RootElement="gpx" SchemaID="Schema12" ShowImportExportValidationErrors="false" AutoFit="true" Append="false" PreserveSortAFLayout="true" PreserveFormat="true">
    <DataBinding FileBinding="true" ConnectionID="13" DataBindingLoadMode="1"/>
  </Map>
  <Map ID="13" Name="gpx_Map12" RootElement="gpx" SchemaID="Schema13" ShowImportExportValidationErrors="false" AutoFit="true" Append="false" PreserveSortAFLayout="true" PreserveFormat="true">
    <DataBinding FileBinding="true" ConnectionID="14" DataBindingLoadMode="1"/>
  </Map>
  <Map ID="14" Name="gpx_Map13" RootElement="gpx" SchemaID="Schema14" ShowImportExportValidationErrors="false" AutoFit="true" Append="false" PreserveSortAFLayout="true" PreserveFormat="true">
    <DataBinding FileBinding="true" ConnectionID="18" DataBindingLoadMode="1"/>
  </Map>
  <Map ID="23" Name="gpx_Map14" RootElement="gpx" SchemaID="Schema15" ShowImportExportValidationErrors="false" AutoFit="true" Append="false" PreserveSortAFLayout="true" PreserveFormat="true">
    <DataBinding FileBinding="true" ConnectionID="1" DataBindingLoadMode="1"/>
  </Map>
  <Map ID="32" Name="gpx_Map15" RootElement="gpx" SchemaID="Schema16" ShowImportExportValidationErrors="false" AutoFit="true" Append="false" PreserveSortAFLayout="true" PreserveFormat="true">
    <DataBinding FileBinding="true" ConnectionID="2" DataBindingLoadMode="1"/>
  </Map>
  <Map ID="33" Name="gpx_Map16" RootElement="gpx" SchemaID="Schema17" ShowImportExportValidationErrors="false" AutoFit="true" Append="false" PreserveSortAFLayout="true" PreserveFormat="true">
    <DataBinding FileBinding="true" ConnectionID="3" DataBindingLoadMode="1"/>
  </Map>
  <Map ID="34" Name="gpx_Map17" RootElement="gpx" SchemaID="Schema18" ShowImportExportValidationErrors="false" AutoFit="true" Append="false" PreserveSortAFLayout="true" PreserveFormat="true">
    <DataBinding FileBinding="true" ConnectionID="4" DataBindingLoadMode="1"/>
  </Map>
  <Map ID="3" Name="gpx_Map2" RootElement="gpx" SchemaID="Schema3" ShowImportExportValidationErrors="false" AutoFit="true" Append="false" PreserveSortAFLayout="true" PreserveFormat="true">
    <DataBinding FileBinding="true" ConnectionID="6" DataBindingLoadMode="1"/>
  </Map>
  <Map ID="4" Name="gpx_Map3" RootElement="gpx" SchemaID="Schema4" ShowImportExportValidationErrors="false" AutoFit="true" Append="false" PreserveSortAFLayout="true" PreserveFormat="true">
    <DataBinding FileBinding="true" ConnectionID="7" DataBindingLoadMode="1"/>
  </Map>
  <Map ID="5" Name="gpx_Map4" RootElement="gpx" SchemaID="Schema5" ShowImportExportValidationErrors="false" AutoFit="true" Append="false" PreserveSortAFLayout="true" PreserveFormat="true">
    <DataBinding FileBinding="true" ConnectionID="8" DataBindingLoadMode="1"/>
  </Map>
  <Map ID="6" Name="gpx_Map5" RootElement="gpx" SchemaID="Schema6" ShowImportExportValidationErrors="false" AutoFit="true" Append="false" PreserveSortAFLayout="true" PreserveFormat="true">
    <DataBinding FileBinding="true" ConnectionID="16" DataBindingLoadMode="1"/>
  </Map>
  <Map ID="7" Name="gpx_Map6" RootElement="gpx" SchemaID="Schema7" ShowImportExportValidationErrors="false" AutoFit="true" Append="false" PreserveSortAFLayout="true" PreserveFormat="true">
    <DataBinding FileBinding="true" ConnectionID="17" DataBindingLoadMode="1"/>
  </Map>
  <Map ID="8" Name="gpx_Map7" RootElement="gpx" SchemaID="Schema8" ShowImportExportValidationErrors="false" AutoFit="true" Append="false" PreserveSortAFLayout="true" PreserveFormat="true">
    <DataBinding FileBinding="true" ConnectionID="9" DataBindingLoadMode="1"/>
  </Map>
  <Map ID="9" Name="gpx_Map8" RootElement="gpx" SchemaID="Schema9" ShowImportExportValidationErrors="false" AutoFit="true" Append="false" PreserveSortAFLayout="true" PreserveFormat="true">
    <DataBinding FileBinding="true" ConnectionID="10" DataBindingLoadMode="1"/>
  </Map>
  <Map ID="10" Name="gpx_Map9" RootElement="gpx" SchemaID="Schema10" ShowImportExportValidationErrors="false" AutoFit="true" Append="false" PreserveSortAFLayout="true" PreserveFormat="true">
    <DataBinding FileBinding="true" ConnectionID="1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7</xdr:col>
      <xdr:colOff>9525</xdr:colOff>
      <xdr:row>13</xdr:row>
      <xdr:rowOff>142876</xdr:rowOff>
    </xdr:from>
    <xdr:to>
      <xdr:col>7</xdr:col>
      <xdr:colOff>320571</xdr:colOff>
      <xdr:row>15</xdr:row>
      <xdr:rowOff>58292</xdr:rowOff>
    </xdr:to>
    <xdr:pic>
      <xdr:nvPicPr>
        <xdr:cNvPr id="2" name="Picture 1"/>
        <xdr:cNvPicPr>
          <a:picLocks noChangeAspect="1"/>
        </xdr:cNvPicPr>
      </xdr:nvPicPr>
      <xdr:blipFill rotWithShape="1">
        <a:blip xmlns:r="http://schemas.openxmlformats.org/officeDocument/2006/relationships" r:embed="rId1">
          <a:clrChange>
            <a:clrFrom>
              <a:srgbClr val="F0F0F0"/>
            </a:clrFrom>
            <a:clrTo>
              <a:srgbClr val="F0F0F0">
                <a:alpha val="0"/>
              </a:srgbClr>
            </a:clrTo>
          </a:clrChange>
        </a:blip>
        <a:srcRect l="2198" t="8165" r="78752" b="10193"/>
        <a:stretch/>
      </xdr:blipFill>
      <xdr:spPr>
        <a:xfrm>
          <a:off x="2257425" y="2114551"/>
          <a:ext cx="311046" cy="239266"/>
        </a:xfrm>
        <a:prstGeom prst="rect">
          <a:avLst/>
        </a:prstGeom>
      </xdr:spPr>
    </xdr:pic>
    <xdr:clientData/>
  </xdr:twoCellAnchor>
  <xdr:twoCellAnchor editAs="oneCell">
    <xdr:from>
      <xdr:col>7</xdr:col>
      <xdr:colOff>571500</xdr:colOff>
      <xdr:row>13</xdr:row>
      <xdr:rowOff>152400</xdr:rowOff>
    </xdr:from>
    <xdr:to>
      <xdr:col>8</xdr:col>
      <xdr:colOff>290891</xdr:colOff>
      <xdr:row>15</xdr:row>
      <xdr:rowOff>133571</xdr:rowOff>
    </xdr:to>
    <xdr:pic>
      <xdr:nvPicPr>
        <xdr:cNvPr id="3" name="Picture 2"/>
        <xdr:cNvPicPr>
          <a:picLocks noChangeAspect="1"/>
        </xdr:cNvPicPr>
      </xdr:nvPicPr>
      <xdr:blipFill rotWithShape="1">
        <a:blip xmlns:r="http://schemas.openxmlformats.org/officeDocument/2006/relationships" r:embed="rId2">
          <a:clrChange>
            <a:clrFrom>
              <a:srgbClr val="F0F0F0"/>
            </a:clrFrom>
            <a:clrTo>
              <a:srgbClr val="F0F0F0">
                <a:alpha val="0"/>
              </a:srgbClr>
            </a:clrTo>
          </a:clrChange>
        </a:blip>
        <a:srcRect t="12071" r="79005"/>
        <a:stretch/>
      </xdr:blipFill>
      <xdr:spPr>
        <a:xfrm>
          <a:off x="2819400" y="2124075"/>
          <a:ext cx="328991" cy="305021"/>
        </a:xfrm>
        <a:prstGeom prst="rect">
          <a:avLst/>
        </a:prstGeom>
      </xdr:spPr>
    </xdr:pic>
    <xdr:clientData/>
  </xdr:twoCellAnchor>
  <xdr:twoCellAnchor editAs="oneCell">
    <xdr:from>
      <xdr:col>9</xdr:col>
      <xdr:colOff>561976</xdr:colOff>
      <xdr:row>13</xdr:row>
      <xdr:rowOff>123826</xdr:rowOff>
    </xdr:from>
    <xdr:to>
      <xdr:col>10</xdr:col>
      <xdr:colOff>233514</xdr:colOff>
      <xdr:row>15</xdr:row>
      <xdr:rowOff>99022</xdr:rowOff>
    </xdr:to>
    <xdr:pic>
      <xdr:nvPicPr>
        <xdr:cNvPr id="5" name="Picture 4"/>
        <xdr:cNvPicPr>
          <a:picLocks noChangeAspect="1"/>
        </xdr:cNvPicPr>
      </xdr:nvPicPr>
      <xdr:blipFill rotWithShape="1">
        <a:blip xmlns:r="http://schemas.openxmlformats.org/officeDocument/2006/relationships" r:embed="rId3">
          <a:clrChange>
            <a:clrFrom>
              <a:srgbClr val="F0F0F0"/>
            </a:clrFrom>
            <a:clrTo>
              <a:srgbClr val="F0F0F0">
                <a:alpha val="0"/>
              </a:srgbClr>
            </a:clrTo>
          </a:clrChange>
        </a:blip>
        <a:srcRect r="81566"/>
        <a:stretch/>
      </xdr:blipFill>
      <xdr:spPr>
        <a:xfrm>
          <a:off x="4029076" y="2095501"/>
          <a:ext cx="281138" cy="299046"/>
        </a:xfrm>
        <a:prstGeom prst="rect">
          <a:avLst/>
        </a:prstGeom>
      </xdr:spPr>
    </xdr:pic>
    <xdr:clientData/>
  </xdr:twoCellAnchor>
  <xdr:twoCellAnchor editAs="oneCell">
    <xdr:from>
      <xdr:col>10</xdr:col>
      <xdr:colOff>561975</xdr:colOff>
      <xdr:row>13</xdr:row>
      <xdr:rowOff>152400</xdr:rowOff>
    </xdr:from>
    <xdr:to>
      <xdr:col>11</xdr:col>
      <xdr:colOff>245476</xdr:colOff>
      <xdr:row>15</xdr:row>
      <xdr:rowOff>85725</xdr:rowOff>
    </xdr:to>
    <xdr:pic>
      <xdr:nvPicPr>
        <xdr:cNvPr id="6" name="Picture 5"/>
        <xdr:cNvPicPr>
          <a:picLocks noChangeAspect="1"/>
        </xdr:cNvPicPr>
      </xdr:nvPicPr>
      <xdr:blipFill rotWithShape="1">
        <a:blip xmlns:r="http://schemas.openxmlformats.org/officeDocument/2006/relationships" r:embed="rId4">
          <a:clrChange>
            <a:clrFrom>
              <a:srgbClr val="F0F0F0"/>
            </a:clrFrom>
            <a:clrTo>
              <a:srgbClr val="F0F0F0">
                <a:alpha val="0"/>
              </a:srgbClr>
            </a:clrTo>
          </a:clrChange>
        </a:blip>
        <a:srcRect t="12246" r="81437"/>
        <a:stretch/>
      </xdr:blipFill>
      <xdr:spPr>
        <a:xfrm>
          <a:off x="4638675" y="2124075"/>
          <a:ext cx="293101" cy="257175"/>
        </a:xfrm>
        <a:prstGeom prst="rect">
          <a:avLst/>
        </a:prstGeom>
      </xdr:spPr>
    </xdr:pic>
    <xdr:clientData/>
  </xdr:twoCellAnchor>
  <xdr:twoCellAnchor editAs="oneCell">
    <xdr:from>
      <xdr:col>8</xdr:col>
      <xdr:colOff>552450</xdr:colOff>
      <xdr:row>13</xdr:row>
      <xdr:rowOff>114300</xdr:rowOff>
    </xdr:from>
    <xdr:to>
      <xdr:col>9</xdr:col>
      <xdr:colOff>265860</xdr:colOff>
      <xdr:row>15</xdr:row>
      <xdr:rowOff>83515</xdr:rowOff>
    </xdr:to>
    <xdr:pic>
      <xdr:nvPicPr>
        <xdr:cNvPr id="17" name="Picture 16"/>
        <xdr:cNvPicPr>
          <a:picLocks noChangeAspect="1"/>
        </xdr:cNvPicPr>
      </xdr:nvPicPr>
      <xdr:blipFill rotWithShape="1">
        <a:blip xmlns:r="http://schemas.openxmlformats.org/officeDocument/2006/relationships" r:embed="rId5">
          <a:clrChange>
            <a:clrFrom>
              <a:srgbClr val="F0F0F0"/>
            </a:clrFrom>
            <a:clrTo>
              <a:srgbClr val="F0F0F0">
                <a:alpha val="0"/>
              </a:srgbClr>
            </a:clrTo>
          </a:clrChange>
        </a:blip>
        <a:srcRect r="79620"/>
        <a:stretch/>
      </xdr:blipFill>
      <xdr:spPr>
        <a:xfrm>
          <a:off x="3409950" y="2085975"/>
          <a:ext cx="323010" cy="29306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9525</xdr:colOff>
          <xdr:row>21</xdr:row>
          <xdr:rowOff>85725</xdr:rowOff>
        </xdr:from>
        <xdr:to>
          <xdr:col>8</xdr:col>
          <xdr:colOff>419100</xdr:colOff>
          <xdr:row>23</xdr:row>
          <xdr:rowOff>9525</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exporter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85725</xdr:rowOff>
        </xdr:from>
        <xdr:to>
          <xdr:col>8</xdr:col>
          <xdr:colOff>428625</xdr:colOff>
          <xdr:row>7</xdr:row>
          <xdr:rowOff>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importer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811"/>
  <sheetViews>
    <sheetView tabSelected="1" workbookViewId="0">
      <selection activeCell="N32" sqref="N32"/>
    </sheetView>
  </sheetViews>
  <sheetFormatPr baseColWidth="10" defaultColWidth="9.140625" defaultRowHeight="12.75" x14ac:dyDescent="0.2"/>
  <cols>
    <col min="1" max="1" width="3.7109375" customWidth="1"/>
    <col min="3" max="3" width="4.140625" customWidth="1"/>
    <col min="4" max="4" width="2.42578125" hidden="1" customWidth="1"/>
    <col min="5" max="5" width="0" style="2" hidden="1" customWidth="1"/>
    <col min="6" max="6" width="4" style="2" customWidth="1"/>
    <col min="7" max="7" width="2.5703125" style="2" customWidth="1"/>
    <col min="8" max="11" width="9.140625" style="2"/>
    <col min="12" max="12" width="18.140625" style="2" customWidth="1"/>
    <col min="13" max="13" width="28.7109375" style="2" customWidth="1"/>
    <col min="14" max="14" width="193.42578125" style="2" customWidth="1"/>
    <col min="15" max="15" width="9.140625" style="2" customWidth="1"/>
  </cols>
  <sheetData>
    <row r="1" spans="1:16" ht="13.5" thickBot="1" x14ac:dyDescent="0.25">
      <c r="A1" t="str">
        <f>IF(B1="","",1)</f>
        <v/>
      </c>
      <c r="B1" s="12" t="str">
        <f>IF('Import OpenCPN'!AC2="","",'Import OpenCPN'!AC2)</f>
        <v/>
      </c>
      <c r="C1" s="12" t="str">
        <f t="shared" ref="C1:C65" si="0">IF(B1="","","q")</f>
        <v/>
      </c>
      <c r="D1" s="12" t="str">
        <f>IF(B1="","",1)</f>
        <v/>
      </c>
      <c r="E1" s="13">
        <f>SUM(D:D)</f>
        <v>0</v>
      </c>
      <c r="F1" s="13"/>
    </row>
    <row r="2" spans="1:16" x14ac:dyDescent="0.2">
      <c r="A2" t="str">
        <f>IF(B2="","",A1+1)</f>
        <v/>
      </c>
      <c r="B2" s="12" t="str">
        <f>IF('Import OpenCPN'!AC3="","",'Import OpenCPN'!AC3)</f>
        <v/>
      </c>
      <c r="C2" s="12" t="str">
        <f t="shared" si="0"/>
        <v/>
      </c>
      <c r="D2" s="12" t="str">
        <f>IF(B2="","",1)</f>
        <v/>
      </c>
      <c r="G2" s="3"/>
      <c r="H2" s="4"/>
      <c r="I2" s="4"/>
      <c r="J2" s="4"/>
      <c r="K2" s="4"/>
      <c r="L2" s="5"/>
      <c r="M2" s="7"/>
      <c r="P2" t="s">
        <v>0</v>
      </c>
    </row>
    <row r="3" spans="1:16" x14ac:dyDescent="0.2">
      <c r="A3" t="str">
        <f t="shared" ref="A3:A66" si="1">IF(B3="","",A2+1)</f>
        <v/>
      </c>
      <c r="B3" s="12" t="str">
        <f>IF('Import OpenCPN'!AC4="","",'Import OpenCPN'!AC4)</f>
        <v/>
      </c>
      <c r="C3" s="12" t="str">
        <f t="shared" si="0"/>
        <v/>
      </c>
      <c r="D3" s="12" t="str">
        <f t="shared" ref="D3:D66" si="2">IF(B3="","",1)</f>
        <v/>
      </c>
      <c r="G3" s="6"/>
      <c r="H3" s="17" t="s">
        <v>5</v>
      </c>
      <c r="I3" s="7"/>
      <c r="J3" s="7"/>
      <c r="K3" s="7"/>
      <c r="L3" s="8"/>
      <c r="M3" s="7"/>
      <c r="P3" t="s">
        <v>1</v>
      </c>
    </row>
    <row r="4" spans="1:16" x14ac:dyDescent="0.2">
      <c r="A4" t="str">
        <f t="shared" si="1"/>
        <v/>
      </c>
      <c r="B4" s="12" t="str">
        <f>IF('Import OpenCPN'!AC5="","",'Import OpenCPN'!AC5)</f>
        <v/>
      </c>
      <c r="C4" s="12" t="str">
        <f t="shared" si="0"/>
        <v/>
      </c>
      <c r="D4" s="12" t="str">
        <f t="shared" si="2"/>
        <v/>
      </c>
      <c r="G4" s="6"/>
      <c r="H4" s="7" t="s">
        <v>6</v>
      </c>
      <c r="I4" s="7"/>
      <c r="J4" s="7"/>
      <c r="K4" s="7"/>
      <c r="L4" s="8"/>
      <c r="M4" s="7"/>
      <c r="P4" t="s">
        <v>2</v>
      </c>
    </row>
    <row r="5" spans="1:16" x14ac:dyDescent="0.2">
      <c r="A5" t="str">
        <f t="shared" si="1"/>
        <v/>
      </c>
      <c r="B5" s="12" t="str">
        <f>IF('Import OpenCPN'!AC6="","",'Import OpenCPN'!AC6)</f>
        <v/>
      </c>
      <c r="C5" s="12" t="str">
        <f t="shared" si="0"/>
        <v/>
      </c>
      <c r="D5" s="12" t="str">
        <f t="shared" si="2"/>
        <v/>
      </c>
      <c r="G5" s="6"/>
      <c r="H5" s="7" t="s">
        <v>12</v>
      </c>
      <c r="I5" s="7"/>
      <c r="J5" s="7"/>
      <c r="K5" s="7"/>
      <c r="L5" s="8"/>
      <c r="M5" s="7"/>
      <c r="P5" t="s">
        <v>3</v>
      </c>
    </row>
    <row r="6" spans="1:16" x14ac:dyDescent="0.2">
      <c r="A6" t="str">
        <f t="shared" si="1"/>
        <v/>
      </c>
      <c r="B6" s="12" t="str">
        <f>IF('Import OpenCPN'!AC7="","",'Import OpenCPN'!AC7)</f>
        <v/>
      </c>
      <c r="C6" s="12" t="str">
        <f t="shared" si="0"/>
        <v/>
      </c>
      <c r="D6" s="12" t="str">
        <f t="shared" si="2"/>
        <v/>
      </c>
      <c r="G6" s="6"/>
      <c r="H6" s="7"/>
      <c r="I6" s="7"/>
      <c r="J6" s="7"/>
      <c r="K6" s="7"/>
      <c r="L6" s="8"/>
      <c r="M6" s="7"/>
      <c r="P6" t="s">
        <v>4</v>
      </c>
    </row>
    <row r="7" spans="1:16" x14ac:dyDescent="0.2">
      <c r="A7" t="str">
        <f t="shared" si="1"/>
        <v/>
      </c>
      <c r="B7" s="12" t="str">
        <f>IF('Import OpenCPN'!AC8="","",'Import OpenCPN'!AC8)</f>
        <v/>
      </c>
      <c r="C7" s="12" t="str">
        <f t="shared" si="0"/>
        <v/>
      </c>
      <c r="D7" s="12" t="str">
        <f t="shared" si="2"/>
        <v/>
      </c>
      <c r="G7" s="6"/>
      <c r="H7" s="7"/>
      <c r="I7" s="7"/>
      <c r="J7" s="7"/>
      <c r="K7" s="7"/>
      <c r="L7" s="8"/>
      <c r="M7" s="7"/>
    </row>
    <row r="8" spans="1:16" ht="13.5" thickBot="1" x14ac:dyDescent="0.25">
      <c r="A8" t="str">
        <f t="shared" si="1"/>
        <v/>
      </c>
      <c r="B8" s="12" t="str">
        <f>IF('Import OpenCPN'!AC9="","",'Import OpenCPN'!AC9)</f>
        <v/>
      </c>
      <c r="C8" s="12" t="str">
        <f t="shared" si="0"/>
        <v/>
      </c>
      <c r="D8" s="12" t="str">
        <f t="shared" si="2"/>
        <v/>
      </c>
      <c r="G8" s="9"/>
      <c r="H8" s="10"/>
      <c r="I8" s="10"/>
      <c r="J8" s="10"/>
      <c r="K8" s="10"/>
      <c r="L8" s="11"/>
      <c r="M8" s="7"/>
    </row>
    <row r="9" spans="1:16" ht="13.5" thickBot="1" x14ac:dyDescent="0.25">
      <c r="A9" t="str">
        <f t="shared" si="1"/>
        <v/>
      </c>
      <c r="B9" s="12" t="str">
        <f>IF('Import OpenCPN'!AC10="","",'Import OpenCPN'!AC10)</f>
        <v/>
      </c>
      <c r="C9" s="12" t="str">
        <f t="shared" si="0"/>
        <v/>
      </c>
      <c r="D9" s="12" t="str">
        <f t="shared" si="2"/>
        <v/>
      </c>
      <c r="M9" s="7"/>
    </row>
    <row r="10" spans="1:16" x14ac:dyDescent="0.2">
      <c r="A10" t="str">
        <f t="shared" si="1"/>
        <v/>
      </c>
      <c r="B10" s="12" t="str">
        <f>IF('Import OpenCPN'!AC11="","",'Import OpenCPN'!AC11)</f>
        <v/>
      </c>
      <c r="C10" s="12" t="str">
        <f t="shared" si="0"/>
        <v/>
      </c>
      <c r="D10" s="12" t="str">
        <f t="shared" si="2"/>
        <v/>
      </c>
      <c r="G10" s="3"/>
      <c r="H10" s="4"/>
      <c r="I10" s="4"/>
      <c r="J10" s="4"/>
      <c r="K10" s="4"/>
      <c r="L10" s="5"/>
      <c r="M10" s="7"/>
    </row>
    <row r="11" spans="1:16" x14ac:dyDescent="0.2">
      <c r="A11" t="str">
        <f t="shared" si="1"/>
        <v/>
      </c>
      <c r="B11" s="12" t="str">
        <f>IF('Import OpenCPN'!AC12="","",'Import OpenCPN'!AC12)</f>
        <v/>
      </c>
      <c r="C11" s="12" t="str">
        <f t="shared" si="0"/>
        <v/>
      </c>
      <c r="D11" s="12" t="str">
        <f t="shared" si="2"/>
        <v/>
      </c>
      <c r="G11" s="6"/>
      <c r="H11" s="17" t="s">
        <v>7</v>
      </c>
      <c r="I11" s="7"/>
      <c r="J11" s="7"/>
      <c r="K11" s="7"/>
      <c r="L11" s="8"/>
      <c r="M11" s="7"/>
    </row>
    <row r="12" spans="1:16" x14ac:dyDescent="0.2">
      <c r="A12" t="str">
        <f t="shared" si="1"/>
        <v/>
      </c>
      <c r="B12" s="12" t="str">
        <f>IF('Import OpenCPN'!AC13="","",'Import OpenCPN'!AC13)</f>
        <v/>
      </c>
      <c r="C12" s="12" t="str">
        <f t="shared" si="0"/>
        <v/>
      </c>
      <c r="D12" s="12" t="str">
        <f t="shared" si="2"/>
        <v/>
      </c>
      <c r="G12" s="6"/>
      <c r="H12" s="7" t="s">
        <v>9</v>
      </c>
      <c r="I12" s="7"/>
      <c r="J12" s="7"/>
      <c r="K12" s="7"/>
      <c r="L12" s="8"/>
      <c r="M12" s="7"/>
    </row>
    <row r="13" spans="1:16" x14ac:dyDescent="0.2">
      <c r="A13" t="str">
        <f t="shared" si="1"/>
        <v/>
      </c>
      <c r="B13" s="12" t="str">
        <f>IF('Import OpenCPN'!AC14="","",'Import OpenCPN'!AC14)</f>
        <v/>
      </c>
      <c r="C13" s="12" t="str">
        <f t="shared" si="0"/>
        <v/>
      </c>
      <c r="D13" s="12" t="str">
        <f t="shared" si="2"/>
        <v/>
      </c>
      <c r="G13" s="6"/>
      <c r="H13" s="7" t="s">
        <v>8</v>
      </c>
      <c r="I13" s="7"/>
      <c r="J13" s="7"/>
      <c r="K13" s="7"/>
      <c r="L13" s="8"/>
      <c r="M13" s="7"/>
    </row>
    <row r="14" spans="1:16" x14ac:dyDescent="0.2">
      <c r="A14" t="str">
        <f t="shared" si="1"/>
        <v/>
      </c>
      <c r="B14" s="12" t="str">
        <f>IF('Import OpenCPN'!AC15="","",'Import OpenCPN'!AC15)</f>
        <v/>
      </c>
      <c r="C14" s="12" t="str">
        <f t="shared" si="0"/>
        <v/>
      </c>
      <c r="D14" s="12" t="str">
        <f t="shared" si="2"/>
        <v/>
      </c>
      <c r="G14" s="6"/>
      <c r="H14" s="7"/>
      <c r="I14" s="7"/>
      <c r="J14" s="7"/>
      <c r="K14" s="7"/>
      <c r="L14" s="8"/>
      <c r="M14" s="7"/>
    </row>
    <row r="15" spans="1:16" x14ac:dyDescent="0.2">
      <c r="A15" t="str">
        <f t="shared" si="1"/>
        <v/>
      </c>
      <c r="B15" s="12" t="str">
        <f>IF('Import OpenCPN'!AC16="","",'Import OpenCPN'!AC16)</f>
        <v/>
      </c>
      <c r="C15" s="12" t="str">
        <f t="shared" si="0"/>
        <v/>
      </c>
      <c r="D15" s="12" t="str">
        <f t="shared" si="2"/>
        <v/>
      </c>
      <c r="G15" s="6"/>
      <c r="H15" s="18" t="s">
        <v>0</v>
      </c>
      <c r="I15" s="18" t="s">
        <v>1</v>
      </c>
      <c r="J15" s="18" t="s">
        <v>2</v>
      </c>
      <c r="K15" s="18" t="s">
        <v>3</v>
      </c>
      <c r="L15" s="19" t="s">
        <v>4</v>
      </c>
      <c r="M15" s="7"/>
    </row>
    <row r="16" spans="1:16" ht="13.5" thickBot="1" x14ac:dyDescent="0.25">
      <c r="A16" t="str">
        <f t="shared" si="1"/>
        <v/>
      </c>
      <c r="B16" s="12" t="str">
        <f>IF('Import OpenCPN'!AC17="","",'Import OpenCPN'!AC17)</f>
        <v/>
      </c>
      <c r="C16" s="12" t="str">
        <f t="shared" si="0"/>
        <v/>
      </c>
      <c r="D16" s="12" t="str">
        <f t="shared" si="2"/>
        <v/>
      </c>
      <c r="G16" s="9"/>
      <c r="H16" s="10"/>
      <c r="I16" s="10"/>
      <c r="J16" s="10"/>
      <c r="K16" s="10"/>
      <c r="L16" s="11"/>
      <c r="M16" s="7"/>
    </row>
    <row r="17" spans="1:13" ht="13.5" thickBot="1" x14ac:dyDescent="0.25">
      <c r="A17" t="str">
        <f t="shared" si="1"/>
        <v/>
      </c>
      <c r="B17" s="12" t="str">
        <f>IF('Import OpenCPN'!AC18="","",'Import OpenCPN'!AC18)</f>
        <v/>
      </c>
      <c r="C17" s="12" t="str">
        <f t="shared" si="0"/>
        <v/>
      </c>
      <c r="D17" s="12" t="str">
        <f t="shared" si="2"/>
        <v/>
      </c>
      <c r="G17" s="7"/>
      <c r="H17" s="7"/>
      <c r="I17" s="7"/>
      <c r="J17" s="7"/>
      <c r="K17" s="7"/>
      <c r="L17" s="7"/>
      <c r="M17" s="7"/>
    </row>
    <row r="18" spans="1:13" x14ac:dyDescent="0.2">
      <c r="A18" t="str">
        <f t="shared" si="1"/>
        <v/>
      </c>
      <c r="B18" s="12" t="str">
        <f>IF('Import OpenCPN'!AC19="","",'Import OpenCPN'!AC19)</f>
        <v/>
      </c>
      <c r="C18" s="12" t="str">
        <f t="shared" si="0"/>
        <v/>
      </c>
      <c r="D18" s="12" t="str">
        <f t="shared" si="2"/>
        <v/>
      </c>
      <c r="G18" s="3"/>
      <c r="H18" s="4"/>
      <c r="I18" s="4"/>
      <c r="J18" s="4"/>
      <c r="K18" s="4"/>
      <c r="L18" s="5"/>
      <c r="M18" s="7"/>
    </row>
    <row r="19" spans="1:13" x14ac:dyDescent="0.2">
      <c r="A19" t="str">
        <f t="shared" si="1"/>
        <v/>
      </c>
      <c r="B19" s="12" t="str">
        <f>IF('Import OpenCPN'!AC20="","",'Import OpenCPN'!AC20)</f>
        <v/>
      </c>
      <c r="C19" s="12" t="str">
        <f t="shared" si="0"/>
        <v/>
      </c>
      <c r="D19" s="12" t="str">
        <f t="shared" si="2"/>
        <v/>
      </c>
      <c r="G19" s="6"/>
      <c r="H19" s="17" t="s">
        <v>10</v>
      </c>
      <c r="I19" s="7"/>
      <c r="J19" s="7"/>
      <c r="K19" s="7"/>
      <c r="L19" s="8"/>
      <c r="M19" s="7"/>
    </row>
    <row r="20" spans="1:13" x14ac:dyDescent="0.2">
      <c r="A20" t="str">
        <f t="shared" si="1"/>
        <v/>
      </c>
      <c r="B20" s="12" t="str">
        <f>IF('Import OpenCPN'!AC21="","",'Import OpenCPN'!AC21)</f>
        <v/>
      </c>
      <c r="C20" s="12" t="str">
        <f t="shared" si="0"/>
        <v/>
      </c>
      <c r="D20" s="12" t="str">
        <f t="shared" si="2"/>
        <v/>
      </c>
      <c r="G20" s="6"/>
      <c r="H20" s="7" t="s">
        <v>11</v>
      </c>
      <c r="I20" s="7"/>
      <c r="J20" s="7"/>
      <c r="K20" s="7"/>
      <c r="L20" s="8"/>
      <c r="M20" s="7"/>
    </row>
    <row r="21" spans="1:13" x14ac:dyDescent="0.2">
      <c r="A21" t="str">
        <f t="shared" si="1"/>
        <v/>
      </c>
      <c r="B21" s="12" t="str">
        <f>IF('Import OpenCPN'!AC22="","",'Import OpenCPN'!AC22)</f>
        <v/>
      </c>
      <c r="C21" s="12" t="str">
        <f t="shared" si="0"/>
        <v/>
      </c>
      <c r="D21" s="12" t="str">
        <f t="shared" si="2"/>
        <v/>
      </c>
      <c r="G21" s="6"/>
      <c r="H21" s="7" t="s">
        <v>13</v>
      </c>
      <c r="I21" s="7"/>
      <c r="J21" s="7"/>
      <c r="K21" s="7"/>
      <c r="L21" s="8"/>
    </row>
    <row r="22" spans="1:13" x14ac:dyDescent="0.2">
      <c r="A22" t="str">
        <f t="shared" si="1"/>
        <v/>
      </c>
      <c r="B22" s="12" t="str">
        <f>IF('Import OpenCPN'!AC23="","",'Import OpenCPN'!AC23)</f>
        <v/>
      </c>
      <c r="C22" s="12" t="str">
        <f t="shared" si="0"/>
        <v/>
      </c>
      <c r="D22" s="12" t="str">
        <f t="shared" si="2"/>
        <v/>
      </c>
      <c r="G22" s="6"/>
      <c r="H22" s="7"/>
      <c r="I22" s="7"/>
      <c r="J22" s="7"/>
      <c r="K22" s="7"/>
      <c r="L22" s="8"/>
    </row>
    <row r="23" spans="1:13" x14ac:dyDescent="0.2">
      <c r="A23" t="str">
        <f t="shared" si="1"/>
        <v/>
      </c>
      <c r="B23" s="12" t="str">
        <f>IF('Import OpenCPN'!AC24="","",'Import OpenCPN'!AC24)</f>
        <v/>
      </c>
      <c r="C23" s="12" t="str">
        <f t="shared" si="0"/>
        <v/>
      </c>
      <c r="D23" s="12" t="str">
        <f t="shared" si="2"/>
        <v/>
      </c>
      <c r="G23" s="6"/>
      <c r="H23" s="7"/>
      <c r="I23" s="7"/>
      <c r="J23" s="7"/>
      <c r="K23" s="7"/>
      <c r="L23" s="8"/>
    </row>
    <row r="24" spans="1:13" ht="13.5" thickBot="1" x14ac:dyDescent="0.25">
      <c r="A24" t="str">
        <f t="shared" si="1"/>
        <v/>
      </c>
      <c r="B24" s="12" t="str">
        <f>IF('Import OpenCPN'!AC25="","",'Import OpenCPN'!AC25)</f>
        <v/>
      </c>
      <c r="C24" s="12" t="str">
        <f t="shared" si="0"/>
        <v/>
      </c>
      <c r="D24" s="12" t="str">
        <f t="shared" si="2"/>
        <v/>
      </c>
      <c r="G24" s="9"/>
      <c r="H24" s="10"/>
      <c r="I24" s="10"/>
      <c r="J24" s="10"/>
      <c r="K24" s="10"/>
      <c r="L24" s="11"/>
    </row>
    <row r="25" spans="1:13" ht="13.5" thickBot="1" x14ac:dyDescent="0.25">
      <c r="A25" t="str">
        <f t="shared" si="1"/>
        <v/>
      </c>
      <c r="B25" s="12" t="str">
        <f>IF('Import OpenCPN'!AC26="","",'Import OpenCPN'!AC26)</f>
        <v/>
      </c>
      <c r="C25" s="12" t="str">
        <f t="shared" si="0"/>
        <v/>
      </c>
      <c r="D25" s="12" t="str">
        <f t="shared" si="2"/>
        <v/>
      </c>
    </row>
    <row r="26" spans="1:13" x14ac:dyDescent="0.2">
      <c r="A26" t="str">
        <f t="shared" si="1"/>
        <v/>
      </c>
      <c r="B26" s="12" t="str">
        <f>IF('Import OpenCPN'!AC27="","",'Import OpenCPN'!AC27)</f>
        <v/>
      </c>
      <c r="C26" s="12" t="str">
        <f t="shared" si="0"/>
        <v/>
      </c>
      <c r="D26" s="12" t="str">
        <f t="shared" si="2"/>
        <v/>
      </c>
      <c r="G26" s="3"/>
      <c r="H26" s="4"/>
      <c r="I26" s="4"/>
      <c r="J26" s="4"/>
      <c r="K26" s="4"/>
      <c r="L26" s="5"/>
    </row>
    <row r="27" spans="1:13" x14ac:dyDescent="0.2">
      <c r="A27" t="str">
        <f t="shared" si="1"/>
        <v/>
      </c>
      <c r="B27" s="12" t="str">
        <f>IF('Import OpenCPN'!AC28="","",'Import OpenCPN'!AC28)</f>
        <v/>
      </c>
      <c r="C27" s="12" t="str">
        <f t="shared" si="0"/>
        <v/>
      </c>
      <c r="D27" s="12" t="str">
        <f t="shared" si="2"/>
        <v/>
      </c>
      <c r="G27" s="6"/>
      <c r="H27" s="17" t="s">
        <v>15</v>
      </c>
      <c r="I27" s="7"/>
      <c r="J27" s="7"/>
      <c r="K27" s="7"/>
      <c r="L27" s="8"/>
    </row>
    <row r="28" spans="1:13" x14ac:dyDescent="0.2">
      <c r="A28" t="str">
        <f t="shared" si="1"/>
        <v/>
      </c>
      <c r="B28" s="12" t="str">
        <f>IF('Import OpenCPN'!AC29="","",'Import OpenCPN'!AC29)</f>
        <v/>
      </c>
      <c r="C28" s="12" t="str">
        <f t="shared" si="0"/>
        <v/>
      </c>
      <c r="D28" s="12" t="str">
        <f t="shared" si="2"/>
        <v/>
      </c>
      <c r="G28" s="6"/>
      <c r="H28" s="21" t="s">
        <v>27</v>
      </c>
      <c r="I28" s="7"/>
      <c r="J28" s="7"/>
      <c r="K28" s="7"/>
      <c r="L28" s="8"/>
    </row>
    <row r="29" spans="1:13" x14ac:dyDescent="0.2">
      <c r="A29" t="str">
        <f t="shared" si="1"/>
        <v/>
      </c>
      <c r="B29" s="12" t="str">
        <f>IF('Import OpenCPN'!AC30="","",'Import OpenCPN'!AC30)</f>
        <v/>
      </c>
      <c r="C29" s="12" t="str">
        <f t="shared" si="0"/>
        <v/>
      </c>
      <c r="D29" s="12" t="str">
        <f t="shared" si="2"/>
        <v/>
      </c>
      <c r="G29" s="6"/>
      <c r="H29" s="7"/>
      <c r="I29" s="7"/>
      <c r="J29" s="7"/>
      <c r="K29" s="7"/>
      <c r="L29" s="8"/>
    </row>
    <row r="30" spans="1:13" x14ac:dyDescent="0.2">
      <c r="A30" t="str">
        <f t="shared" si="1"/>
        <v/>
      </c>
      <c r="B30" s="12" t="str">
        <f>IF('Import OpenCPN'!AC31="","",'Import OpenCPN'!AC31)</f>
        <v/>
      </c>
      <c r="C30" s="12" t="str">
        <f t="shared" si="0"/>
        <v/>
      </c>
      <c r="D30" s="12" t="str">
        <f t="shared" si="2"/>
        <v/>
      </c>
      <c r="G30" s="6"/>
      <c r="H30" s="21" t="s">
        <v>17</v>
      </c>
      <c r="I30" s="7"/>
      <c r="J30" s="7"/>
      <c r="K30" s="7"/>
      <c r="L30" s="8"/>
    </row>
    <row r="31" spans="1:13" x14ac:dyDescent="0.2">
      <c r="A31" t="str">
        <f t="shared" si="1"/>
        <v/>
      </c>
      <c r="B31" s="12" t="str">
        <f>IF('Import OpenCPN'!AC32="","",'Import OpenCPN'!AC32)</f>
        <v/>
      </c>
      <c r="C31" s="12" t="str">
        <f t="shared" si="0"/>
        <v/>
      </c>
      <c r="D31" s="12" t="str">
        <f t="shared" si="2"/>
        <v/>
      </c>
      <c r="G31" s="6"/>
      <c r="H31" s="7"/>
      <c r="I31" s="7" t="s">
        <v>22</v>
      </c>
      <c r="J31" s="7"/>
      <c r="K31" s="7"/>
      <c r="L31" s="8"/>
    </row>
    <row r="32" spans="1:13" x14ac:dyDescent="0.2">
      <c r="A32" t="str">
        <f t="shared" si="1"/>
        <v/>
      </c>
      <c r="B32" s="12" t="str">
        <f>IF('Import OpenCPN'!AC33="","",'Import OpenCPN'!AC33)</f>
        <v/>
      </c>
      <c r="C32" s="12" t="str">
        <f t="shared" si="0"/>
        <v/>
      </c>
      <c r="D32" s="12" t="str">
        <f t="shared" si="2"/>
        <v/>
      </c>
      <c r="G32" s="6"/>
      <c r="H32" s="7"/>
      <c r="I32" s="7" t="s">
        <v>28</v>
      </c>
      <c r="J32" s="7"/>
      <c r="K32" s="7"/>
      <c r="L32" s="8"/>
    </row>
    <row r="33" spans="1:12" x14ac:dyDescent="0.2">
      <c r="A33" t="str">
        <f t="shared" si="1"/>
        <v/>
      </c>
      <c r="B33" s="12" t="str">
        <f>IF('Import OpenCPN'!AC34="","",'Import OpenCPN'!AC34)</f>
        <v/>
      </c>
      <c r="C33" s="12" t="str">
        <f t="shared" si="0"/>
        <v/>
      </c>
      <c r="D33" s="12" t="str">
        <f t="shared" si="2"/>
        <v/>
      </c>
      <c r="G33" s="6"/>
      <c r="H33" s="7"/>
      <c r="I33" s="7" t="s">
        <v>21</v>
      </c>
      <c r="J33" s="7"/>
      <c r="K33" s="7"/>
      <c r="L33" s="8"/>
    </row>
    <row r="34" spans="1:12" x14ac:dyDescent="0.2">
      <c r="A34" t="str">
        <f t="shared" si="1"/>
        <v/>
      </c>
      <c r="B34" s="12" t="str">
        <f>IF('Import OpenCPN'!AC35="","",'Import OpenCPN'!AC35)</f>
        <v/>
      </c>
      <c r="C34" s="12" t="str">
        <f t="shared" si="0"/>
        <v/>
      </c>
      <c r="D34" s="12" t="str">
        <f t="shared" si="2"/>
        <v/>
      </c>
      <c r="G34" s="6"/>
      <c r="H34" s="7"/>
      <c r="I34" s="7"/>
      <c r="J34" s="7"/>
      <c r="K34" s="7"/>
      <c r="L34" s="8"/>
    </row>
    <row r="35" spans="1:12" x14ac:dyDescent="0.2">
      <c r="A35" t="str">
        <f t="shared" si="1"/>
        <v/>
      </c>
      <c r="B35" s="12" t="str">
        <f>IF('Import OpenCPN'!AC36="","",'Import OpenCPN'!AC36)</f>
        <v/>
      </c>
      <c r="C35" s="12" t="str">
        <f t="shared" si="0"/>
        <v/>
      </c>
      <c r="D35" s="12" t="str">
        <f t="shared" si="2"/>
        <v/>
      </c>
      <c r="G35" s="6"/>
      <c r="H35" s="21" t="s">
        <v>18</v>
      </c>
      <c r="I35" s="7"/>
      <c r="J35" s="7"/>
      <c r="K35" s="7"/>
      <c r="L35" s="8"/>
    </row>
    <row r="36" spans="1:12" x14ac:dyDescent="0.2">
      <c r="A36" t="str">
        <f t="shared" si="1"/>
        <v/>
      </c>
      <c r="B36" s="12" t="str">
        <f>IF('Import OpenCPN'!AC37="","",'Import OpenCPN'!AC37)</f>
        <v/>
      </c>
      <c r="C36" s="12" t="str">
        <f t="shared" si="0"/>
        <v/>
      </c>
      <c r="D36" s="12" t="str">
        <f t="shared" si="2"/>
        <v/>
      </c>
      <c r="G36" s="6"/>
      <c r="H36" s="7"/>
      <c r="I36" s="7" t="s">
        <v>20</v>
      </c>
      <c r="J36" s="7"/>
      <c r="K36" s="7"/>
      <c r="L36" s="8"/>
    </row>
    <row r="37" spans="1:12" x14ac:dyDescent="0.2">
      <c r="A37" t="str">
        <f t="shared" si="1"/>
        <v/>
      </c>
      <c r="B37" s="12" t="str">
        <f>IF('Import OpenCPN'!AC38="","",'Import OpenCPN'!AC38)</f>
        <v/>
      </c>
      <c r="C37" s="12" t="str">
        <f t="shared" si="0"/>
        <v/>
      </c>
      <c r="D37" s="12" t="str">
        <f t="shared" si="2"/>
        <v/>
      </c>
      <c r="G37" s="6"/>
      <c r="H37" s="7"/>
      <c r="I37" s="7" t="s">
        <v>19</v>
      </c>
      <c r="J37" s="7"/>
      <c r="K37" s="7"/>
      <c r="L37" s="8"/>
    </row>
    <row r="38" spans="1:12" x14ac:dyDescent="0.2">
      <c r="A38" t="str">
        <f t="shared" si="1"/>
        <v/>
      </c>
      <c r="B38" s="12" t="str">
        <f>IF('Import OpenCPN'!AC39="","",'Import OpenCPN'!AC39)</f>
        <v/>
      </c>
      <c r="C38" s="12" t="str">
        <f t="shared" si="0"/>
        <v/>
      </c>
      <c r="D38" s="12" t="str">
        <f t="shared" si="2"/>
        <v/>
      </c>
      <c r="G38" s="6"/>
      <c r="H38" s="7"/>
      <c r="I38" s="7"/>
      <c r="J38" s="7"/>
      <c r="K38" s="7"/>
      <c r="L38" s="8"/>
    </row>
    <row r="39" spans="1:12" x14ac:dyDescent="0.2">
      <c r="A39" t="str">
        <f t="shared" si="1"/>
        <v/>
      </c>
      <c r="B39" s="12" t="str">
        <f>IF('Import OpenCPN'!AC40="","",'Import OpenCPN'!AC40)</f>
        <v/>
      </c>
      <c r="C39" s="12" t="str">
        <f t="shared" si="0"/>
        <v/>
      </c>
      <c r="D39" s="12" t="str">
        <f t="shared" si="2"/>
        <v/>
      </c>
      <c r="G39" s="6"/>
      <c r="H39" s="21" t="s">
        <v>16</v>
      </c>
      <c r="I39" s="7"/>
      <c r="J39" s="7"/>
      <c r="K39" s="7"/>
      <c r="L39" s="8"/>
    </row>
    <row r="40" spans="1:12" x14ac:dyDescent="0.2">
      <c r="A40" t="str">
        <f t="shared" si="1"/>
        <v/>
      </c>
      <c r="B40" s="12" t="str">
        <f>IF('Import OpenCPN'!AC41="","",'Import OpenCPN'!AC41)</f>
        <v/>
      </c>
      <c r="C40" s="12" t="str">
        <f t="shared" si="0"/>
        <v/>
      </c>
      <c r="D40" s="12" t="str">
        <f t="shared" si="2"/>
        <v/>
      </c>
      <c r="G40" s="6"/>
      <c r="H40" s="7"/>
      <c r="I40" s="7"/>
      <c r="J40" s="7"/>
      <c r="K40" s="7"/>
      <c r="L40" s="8"/>
    </row>
    <row r="41" spans="1:12" x14ac:dyDescent="0.2">
      <c r="A41" t="str">
        <f t="shared" si="1"/>
        <v/>
      </c>
      <c r="B41" s="12" t="str">
        <f>IF('Import OpenCPN'!AC42="","",'Import OpenCPN'!AC42)</f>
        <v/>
      </c>
      <c r="C41" s="12" t="str">
        <f t="shared" si="0"/>
        <v/>
      </c>
      <c r="D41" s="12" t="str">
        <f t="shared" si="2"/>
        <v/>
      </c>
      <c r="G41" s="6"/>
      <c r="H41" s="21" t="s">
        <v>23</v>
      </c>
      <c r="I41" s="7"/>
      <c r="J41" s="7"/>
      <c r="K41" s="7"/>
      <c r="L41" s="8"/>
    </row>
    <row r="42" spans="1:12" x14ac:dyDescent="0.2">
      <c r="A42" t="str">
        <f t="shared" si="1"/>
        <v/>
      </c>
      <c r="B42" s="12" t="str">
        <f>IF('Import OpenCPN'!AC43="","",'Import OpenCPN'!AC43)</f>
        <v/>
      </c>
      <c r="C42" s="12" t="str">
        <f t="shared" si="0"/>
        <v/>
      </c>
      <c r="D42" s="12" t="str">
        <f t="shared" si="2"/>
        <v/>
      </c>
      <c r="G42" s="6"/>
      <c r="H42" s="7" t="s">
        <v>24</v>
      </c>
      <c r="I42" s="7"/>
      <c r="J42" s="7"/>
      <c r="K42" s="7"/>
      <c r="L42" s="8"/>
    </row>
    <row r="43" spans="1:12" x14ac:dyDescent="0.2">
      <c r="A43" t="str">
        <f t="shared" si="1"/>
        <v/>
      </c>
      <c r="B43" s="12" t="str">
        <f>IF('Import OpenCPN'!AC44="","",'Import OpenCPN'!AC44)</f>
        <v/>
      </c>
      <c r="C43" s="12" t="str">
        <f t="shared" si="0"/>
        <v/>
      </c>
      <c r="D43" s="12" t="str">
        <f t="shared" si="2"/>
        <v/>
      </c>
      <c r="G43" s="6"/>
      <c r="H43" s="7"/>
      <c r="I43" s="7"/>
      <c r="J43" s="7"/>
      <c r="K43" s="7"/>
      <c r="L43" s="8"/>
    </row>
    <row r="44" spans="1:12" x14ac:dyDescent="0.2">
      <c r="A44" t="str">
        <f t="shared" si="1"/>
        <v/>
      </c>
      <c r="B44" s="12" t="str">
        <f>IF('Import OpenCPN'!AC45="","",'Import OpenCPN'!AC45)</f>
        <v/>
      </c>
      <c r="C44" s="12" t="str">
        <f t="shared" si="0"/>
        <v/>
      </c>
      <c r="D44" s="12" t="str">
        <f t="shared" si="2"/>
        <v/>
      </c>
      <c r="G44" s="6"/>
      <c r="H44" s="22" t="s">
        <v>25</v>
      </c>
      <c r="I44" s="7"/>
      <c r="J44" s="7"/>
      <c r="K44" s="7"/>
      <c r="L44" s="8"/>
    </row>
    <row r="45" spans="1:12" x14ac:dyDescent="0.2">
      <c r="A45" t="str">
        <f t="shared" si="1"/>
        <v/>
      </c>
      <c r="B45" s="12" t="str">
        <f>IF('Import OpenCPN'!AC46="","",'Import OpenCPN'!AC46)</f>
        <v/>
      </c>
      <c r="C45" s="12" t="str">
        <f t="shared" si="0"/>
        <v/>
      </c>
      <c r="D45" s="12" t="str">
        <f t="shared" si="2"/>
        <v/>
      </c>
      <c r="G45" s="6"/>
      <c r="H45" s="22" t="s">
        <v>26</v>
      </c>
      <c r="I45" s="7"/>
      <c r="J45" s="7"/>
      <c r="K45" s="7"/>
      <c r="L45" s="8"/>
    </row>
    <row r="46" spans="1:12" ht="13.5" thickBot="1" x14ac:dyDescent="0.25">
      <c r="A46" t="str">
        <f t="shared" si="1"/>
        <v/>
      </c>
      <c r="B46" s="12" t="str">
        <f>IF('Import OpenCPN'!AC47="","",'Import OpenCPN'!AC47)</f>
        <v/>
      </c>
      <c r="C46" s="12" t="str">
        <f t="shared" si="0"/>
        <v/>
      </c>
      <c r="D46" s="12" t="str">
        <f t="shared" si="2"/>
        <v/>
      </c>
      <c r="G46" s="9"/>
      <c r="H46" s="10"/>
      <c r="I46" s="10"/>
      <c r="J46" s="10"/>
      <c r="K46" s="10"/>
      <c r="L46" s="11"/>
    </row>
    <row r="47" spans="1:12" x14ac:dyDescent="0.2">
      <c r="A47" t="str">
        <f t="shared" si="1"/>
        <v/>
      </c>
      <c r="B47" s="12" t="str">
        <f>IF('Import OpenCPN'!AC48="","",'Import OpenCPN'!AC48)</f>
        <v/>
      </c>
      <c r="C47" s="12" t="str">
        <f t="shared" si="0"/>
        <v/>
      </c>
      <c r="D47" s="12" t="str">
        <f t="shared" si="2"/>
        <v/>
      </c>
    </row>
    <row r="48" spans="1:12" x14ac:dyDescent="0.2">
      <c r="A48" t="str">
        <f t="shared" si="1"/>
        <v/>
      </c>
      <c r="B48" s="12" t="str">
        <f>IF('Import OpenCPN'!AC49="","",'Import OpenCPN'!AC49)</f>
        <v/>
      </c>
      <c r="C48" s="12" t="str">
        <f t="shared" si="0"/>
        <v/>
      </c>
      <c r="D48" s="12" t="str">
        <f t="shared" si="2"/>
        <v/>
      </c>
      <c r="G48" s="20" t="s">
        <v>14</v>
      </c>
    </row>
    <row r="49" spans="1:4" x14ac:dyDescent="0.2">
      <c r="A49" t="str">
        <f t="shared" si="1"/>
        <v/>
      </c>
      <c r="B49" s="12" t="str">
        <f>IF('Import OpenCPN'!AC50="","",'Import OpenCPN'!AC50)</f>
        <v/>
      </c>
      <c r="C49" s="12" t="str">
        <f t="shared" si="0"/>
        <v/>
      </c>
      <c r="D49" s="12" t="str">
        <f t="shared" si="2"/>
        <v/>
      </c>
    </row>
    <row r="50" spans="1:4" x14ac:dyDescent="0.2">
      <c r="A50" t="str">
        <f t="shared" si="1"/>
        <v/>
      </c>
      <c r="B50" s="12" t="str">
        <f>IF('Import OpenCPN'!AC51="","",'Import OpenCPN'!AC51)</f>
        <v/>
      </c>
      <c r="C50" s="12" t="str">
        <f t="shared" si="0"/>
        <v/>
      </c>
      <c r="D50" s="12" t="str">
        <f t="shared" si="2"/>
        <v/>
      </c>
    </row>
    <row r="51" spans="1:4" x14ac:dyDescent="0.2">
      <c r="A51" t="str">
        <f t="shared" si="1"/>
        <v/>
      </c>
      <c r="B51" s="12" t="str">
        <f>IF('Import OpenCPN'!AC52="","",'Import OpenCPN'!AC52)</f>
        <v/>
      </c>
      <c r="C51" s="12" t="str">
        <f t="shared" si="0"/>
        <v/>
      </c>
      <c r="D51" s="12" t="str">
        <f t="shared" si="2"/>
        <v/>
      </c>
    </row>
    <row r="52" spans="1:4" x14ac:dyDescent="0.2">
      <c r="A52" t="str">
        <f t="shared" si="1"/>
        <v/>
      </c>
      <c r="B52" s="12" t="str">
        <f>IF('Import OpenCPN'!AC53="","",'Import OpenCPN'!AC53)</f>
        <v/>
      </c>
      <c r="C52" s="12" t="str">
        <f t="shared" si="0"/>
        <v/>
      </c>
      <c r="D52" s="12" t="str">
        <f t="shared" si="2"/>
        <v/>
      </c>
    </row>
    <row r="53" spans="1:4" x14ac:dyDescent="0.2">
      <c r="A53" t="str">
        <f t="shared" si="1"/>
        <v/>
      </c>
      <c r="B53" s="12" t="str">
        <f>IF('Import OpenCPN'!AC54="","",'Import OpenCPN'!AC54)</f>
        <v/>
      </c>
      <c r="C53" s="12" t="str">
        <f t="shared" si="0"/>
        <v/>
      </c>
      <c r="D53" s="12" t="str">
        <f t="shared" si="2"/>
        <v/>
      </c>
    </row>
    <row r="54" spans="1:4" x14ac:dyDescent="0.2">
      <c r="A54" t="str">
        <f t="shared" si="1"/>
        <v/>
      </c>
      <c r="B54" s="12" t="str">
        <f>IF('Import OpenCPN'!AC55="","",'Import OpenCPN'!AC55)</f>
        <v/>
      </c>
      <c r="C54" s="12" t="str">
        <f t="shared" si="0"/>
        <v/>
      </c>
      <c r="D54" s="12" t="str">
        <f t="shared" si="2"/>
        <v/>
      </c>
    </row>
    <row r="55" spans="1:4" x14ac:dyDescent="0.2">
      <c r="A55" t="str">
        <f t="shared" si="1"/>
        <v/>
      </c>
      <c r="B55" s="12" t="str">
        <f>IF('Import OpenCPN'!AC56="","",'Import OpenCPN'!AC56)</f>
        <v/>
      </c>
      <c r="C55" s="12" t="str">
        <f t="shared" si="0"/>
        <v/>
      </c>
      <c r="D55" s="12" t="str">
        <f t="shared" si="2"/>
        <v/>
      </c>
    </row>
    <row r="56" spans="1:4" x14ac:dyDescent="0.2">
      <c r="A56" t="str">
        <f t="shared" si="1"/>
        <v/>
      </c>
      <c r="B56" s="12" t="str">
        <f>IF('Import OpenCPN'!AC57="","",'Import OpenCPN'!AC57)</f>
        <v/>
      </c>
      <c r="C56" s="12" t="str">
        <f t="shared" si="0"/>
        <v/>
      </c>
      <c r="D56" s="12" t="str">
        <f t="shared" si="2"/>
        <v/>
      </c>
    </row>
    <row r="57" spans="1:4" x14ac:dyDescent="0.2">
      <c r="A57" t="str">
        <f t="shared" si="1"/>
        <v/>
      </c>
      <c r="B57" s="12" t="str">
        <f>IF('Import OpenCPN'!AC58="","",'Import OpenCPN'!AC58)</f>
        <v/>
      </c>
      <c r="C57" s="12" t="str">
        <f t="shared" si="0"/>
        <v/>
      </c>
      <c r="D57" s="12" t="str">
        <f t="shared" si="2"/>
        <v/>
      </c>
    </row>
    <row r="58" spans="1:4" x14ac:dyDescent="0.2">
      <c r="A58" t="str">
        <f t="shared" si="1"/>
        <v/>
      </c>
      <c r="B58" s="12" t="str">
        <f>IF('Import OpenCPN'!AC59="","",'Import OpenCPN'!AC59)</f>
        <v/>
      </c>
      <c r="C58" s="12" t="str">
        <f t="shared" si="0"/>
        <v/>
      </c>
      <c r="D58" s="12" t="str">
        <f t="shared" si="2"/>
        <v/>
      </c>
    </row>
    <row r="59" spans="1:4" x14ac:dyDescent="0.2">
      <c r="A59" t="str">
        <f t="shared" si="1"/>
        <v/>
      </c>
      <c r="B59" s="12" t="str">
        <f>IF('Import OpenCPN'!AC60="","",'Import OpenCPN'!AC60)</f>
        <v/>
      </c>
      <c r="C59" s="12" t="str">
        <f t="shared" si="0"/>
        <v/>
      </c>
      <c r="D59" s="12" t="str">
        <f t="shared" si="2"/>
        <v/>
      </c>
    </row>
    <row r="60" spans="1:4" x14ac:dyDescent="0.2">
      <c r="A60" t="str">
        <f t="shared" si="1"/>
        <v/>
      </c>
      <c r="B60" s="12" t="str">
        <f>IF('Import OpenCPN'!AC61="","",'Import OpenCPN'!AC61)</f>
        <v/>
      </c>
      <c r="C60" s="12" t="str">
        <f t="shared" si="0"/>
        <v/>
      </c>
      <c r="D60" s="12" t="str">
        <f t="shared" si="2"/>
        <v/>
      </c>
    </row>
    <row r="61" spans="1:4" x14ac:dyDescent="0.2">
      <c r="A61" t="str">
        <f t="shared" si="1"/>
        <v/>
      </c>
      <c r="B61" s="12" t="str">
        <f>IF('Import OpenCPN'!AC62="","",'Import OpenCPN'!AC62)</f>
        <v/>
      </c>
      <c r="C61" s="12" t="str">
        <f t="shared" si="0"/>
        <v/>
      </c>
      <c r="D61" s="12" t="str">
        <f t="shared" si="2"/>
        <v/>
      </c>
    </row>
    <row r="62" spans="1:4" x14ac:dyDescent="0.2">
      <c r="A62" t="str">
        <f t="shared" si="1"/>
        <v/>
      </c>
      <c r="B62" s="12" t="str">
        <f>IF('Import OpenCPN'!AC63="","",'Import OpenCPN'!AC63)</f>
        <v/>
      </c>
      <c r="C62" s="12" t="str">
        <f t="shared" si="0"/>
        <v/>
      </c>
      <c r="D62" s="12" t="str">
        <f t="shared" si="2"/>
        <v/>
      </c>
    </row>
    <row r="63" spans="1:4" x14ac:dyDescent="0.2">
      <c r="A63" t="str">
        <f t="shared" si="1"/>
        <v/>
      </c>
      <c r="B63" s="12" t="str">
        <f>IF('Import OpenCPN'!AC64="","",'Import OpenCPN'!AC64)</f>
        <v/>
      </c>
      <c r="C63" s="12" t="str">
        <f t="shared" si="0"/>
        <v/>
      </c>
      <c r="D63" s="12" t="str">
        <f t="shared" si="2"/>
        <v/>
      </c>
    </row>
    <row r="64" spans="1:4" x14ac:dyDescent="0.2">
      <c r="A64" t="str">
        <f t="shared" si="1"/>
        <v/>
      </c>
      <c r="B64" s="12" t="str">
        <f>IF('Import OpenCPN'!AC65="","",'Import OpenCPN'!AC65)</f>
        <v/>
      </c>
      <c r="C64" s="12" t="str">
        <f t="shared" si="0"/>
        <v/>
      </c>
      <c r="D64" s="12" t="str">
        <f t="shared" si="2"/>
        <v/>
      </c>
    </row>
    <row r="65" spans="1:4" x14ac:dyDescent="0.2">
      <c r="A65" t="str">
        <f t="shared" si="1"/>
        <v/>
      </c>
      <c r="B65" s="12" t="str">
        <f>IF('Import OpenCPN'!AC66="","",'Import OpenCPN'!AC66)</f>
        <v/>
      </c>
      <c r="C65" s="12" t="str">
        <f t="shared" si="0"/>
        <v/>
      </c>
      <c r="D65" s="12" t="str">
        <f t="shared" si="2"/>
        <v/>
      </c>
    </row>
    <row r="66" spans="1:4" x14ac:dyDescent="0.2">
      <c r="A66" t="str">
        <f t="shared" si="1"/>
        <v/>
      </c>
      <c r="B66" s="12" t="str">
        <f>IF('Import OpenCPN'!AC67="","",'Import OpenCPN'!AC67)</f>
        <v/>
      </c>
      <c r="C66" s="12" t="str">
        <f t="shared" ref="C66:C129" si="3">IF(B66="","","q")</f>
        <v/>
      </c>
      <c r="D66" s="12" t="str">
        <f t="shared" si="2"/>
        <v/>
      </c>
    </row>
    <row r="67" spans="1:4" x14ac:dyDescent="0.2">
      <c r="A67" t="str">
        <f t="shared" ref="A67:A130" si="4">IF(B67="","",A66+1)</f>
        <v/>
      </c>
      <c r="B67" s="12" t="str">
        <f>IF('Import OpenCPN'!AC68="","",'Import OpenCPN'!AC68)</f>
        <v/>
      </c>
      <c r="C67" s="12" t="str">
        <f t="shared" si="3"/>
        <v/>
      </c>
      <c r="D67" s="12" t="str">
        <f t="shared" ref="D67:D130" si="5">IF(B67="","",1)</f>
        <v/>
      </c>
    </row>
    <row r="68" spans="1:4" x14ac:dyDescent="0.2">
      <c r="A68" t="str">
        <f t="shared" si="4"/>
        <v/>
      </c>
      <c r="B68" s="12" t="str">
        <f>IF('Import OpenCPN'!AC69="","",'Import OpenCPN'!AC69)</f>
        <v/>
      </c>
      <c r="C68" s="12" t="str">
        <f t="shared" si="3"/>
        <v/>
      </c>
      <c r="D68" s="12" t="str">
        <f t="shared" si="5"/>
        <v/>
      </c>
    </row>
    <row r="69" spans="1:4" x14ac:dyDescent="0.2">
      <c r="A69" t="str">
        <f t="shared" si="4"/>
        <v/>
      </c>
      <c r="B69" s="12" t="str">
        <f>IF('Import OpenCPN'!AC70="","",'Import OpenCPN'!AC70)</f>
        <v/>
      </c>
      <c r="C69" s="12" t="str">
        <f t="shared" si="3"/>
        <v/>
      </c>
      <c r="D69" s="12" t="str">
        <f t="shared" si="5"/>
        <v/>
      </c>
    </row>
    <row r="70" spans="1:4" x14ac:dyDescent="0.2">
      <c r="A70" t="str">
        <f t="shared" si="4"/>
        <v/>
      </c>
      <c r="B70" s="12" t="str">
        <f>IF('Import OpenCPN'!AC71="","",'Import OpenCPN'!AC71)</f>
        <v/>
      </c>
      <c r="C70" s="12" t="str">
        <f t="shared" si="3"/>
        <v/>
      </c>
      <c r="D70" s="12" t="str">
        <f t="shared" si="5"/>
        <v/>
      </c>
    </row>
    <row r="71" spans="1:4" x14ac:dyDescent="0.2">
      <c r="A71" t="str">
        <f t="shared" si="4"/>
        <v/>
      </c>
      <c r="B71" s="12" t="str">
        <f>IF('Import OpenCPN'!AC72="","",'Import OpenCPN'!AC72)</f>
        <v/>
      </c>
      <c r="C71" s="12" t="str">
        <f t="shared" si="3"/>
        <v/>
      </c>
      <c r="D71" s="12" t="str">
        <f t="shared" si="5"/>
        <v/>
      </c>
    </row>
    <row r="72" spans="1:4" x14ac:dyDescent="0.2">
      <c r="A72" t="str">
        <f t="shared" si="4"/>
        <v/>
      </c>
      <c r="B72" s="12" t="str">
        <f>IF('Import OpenCPN'!AC73="","",'Import OpenCPN'!AC73)</f>
        <v/>
      </c>
      <c r="C72" s="12" t="str">
        <f t="shared" si="3"/>
        <v/>
      </c>
      <c r="D72" s="12" t="str">
        <f t="shared" si="5"/>
        <v/>
      </c>
    </row>
    <row r="73" spans="1:4" x14ac:dyDescent="0.2">
      <c r="A73" t="str">
        <f t="shared" si="4"/>
        <v/>
      </c>
      <c r="B73" s="12" t="str">
        <f>IF('Import OpenCPN'!AC74="","",'Import OpenCPN'!AC74)</f>
        <v/>
      </c>
      <c r="C73" s="12" t="str">
        <f t="shared" si="3"/>
        <v/>
      </c>
      <c r="D73" s="12" t="str">
        <f t="shared" si="5"/>
        <v/>
      </c>
    </row>
    <row r="74" spans="1:4" x14ac:dyDescent="0.2">
      <c r="A74" t="str">
        <f t="shared" si="4"/>
        <v/>
      </c>
      <c r="B74" s="12" t="str">
        <f>IF('Import OpenCPN'!AC75="","",'Import OpenCPN'!AC75)</f>
        <v/>
      </c>
      <c r="C74" s="12" t="str">
        <f t="shared" si="3"/>
        <v/>
      </c>
      <c r="D74" s="12" t="str">
        <f t="shared" si="5"/>
        <v/>
      </c>
    </row>
    <row r="75" spans="1:4" x14ac:dyDescent="0.2">
      <c r="A75" t="str">
        <f t="shared" si="4"/>
        <v/>
      </c>
      <c r="B75" s="12" t="str">
        <f>IF('Import OpenCPN'!AC76="","",'Import OpenCPN'!AC76)</f>
        <v/>
      </c>
      <c r="C75" s="12" t="str">
        <f t="shared" si="3"/>
        <v/>
      </c>
      <c r="D75" s="12" t="str">
        <f t="shared" si="5"/>
        <v/>
      </c>
    </row>
    <row r="76" spans="1:4" x14ac:dyDescent="0.2">
      <c r="A76" t="str">
        <f t="shared" si="4"/>
        <v/>
      </c>
      <c r="B76" s="12" t="str">
        <f>IF('Import OpenCPN'!AC77="","",'Import OpenCPN'!AC77)</f>
        <v/>
      </c>
      <c r="C76" s="12" t="str">
        <f t="shared" si="3"/>
        <v/>
      </c>
      <c r="D76" s="12" t="str">
        <f t="shared" si="5"/>
        <v/>
      </c>
    </row>
    <row r="77" spans="1:4" x14ac:dyDescent="0.2">
      <c r="A77" t="str">
        <f t="shared" si="4"/>
        <v/>
      </c>
      <c r="B77" s="12" t="str">
        <f>IF('Import OpenCPN'!AC78="","",'Import OpenCPN'!AC78)</f>
        <v/>
      </c>
      <c r="C77" s="12" t="str">
        <f t="shared" si="3"/>
        <v/>
      </c>
      <c r="D77" s="12" t="str">
        <f t="shared" si="5"/>
        <v/>
      </c>
    </row>
    <row r="78" spans="1:4" x14ac:dyDescent="0.2">
      <c r="A78" t="str">
        <f t="shared" si="4"/>
        <v/>
      </c>
      <c r="B78" s="12" t="str">
        <f>IF('Import OpenCPN'!AC79="","",'Import OpenCPN'!AC79)</f>
        <v/>
      </c>
      <c r="C78" s="12" t="str">
        <f t="shared" si="3"/>
        <v/>
      </c>
      <c r="D78" s="12" t="str">
        <f t="shared" si="5"/>
        <v/>
      </c>
    </row>
    <row r="79" spans="1:4" x14ac:dyDescent="0.2">
      <c r="A79" t="str">
        <f t="shared" si="4"/>
        <v/>
      </c>
      <c r="B79" s="12" t="str">
        <f>IF('Import OpenCPN'!AC80="","",'Import OpenCPN'!AC80)</f>
        <v/>
      </c>
      <c r="C79" s="12" t="str">
        <f t="shared" si="3"/>
        <v/>
      </c>
      <c r="D79" s="12" t="str">
        <f t="shared" si="5"/>
        <v/>
      </c>
    </row>
    <row r="80" spans="1:4" x14ac:dyDescent="0.2">
      <c r="A80" t="str">
        <f t="shared" si="4"/>
        <v/>
      </c>
      <c r="B80" s="12" t="str">
        <f>IF('Import OpenCPN'!AC81="","",'Import OpenCPN'!AC81)</f>
        <v/>
      </c>
      <c r="C80" s="12" t="str">
        <f t="shared" si="3"/>
        <v/>
      </c>
      <c r="D80" s="12" t="str">
        <f t="shared" si="5"/>
        <v/>
      </c>
    </row>
    <row r="81" spans="1:4" x14ac:dyDescent="0.2">
      <c r="A81" t="str">
        <f t="shared" si="4"/>
        <v/>
      </c>
      <c r="B81" s="12" t="str">
        <f>IF('Import OpenCPN'!AC82="","",'Import OpenCPN'!AC82)</f>
        <v/>
      </c>
      <c r="C81" s="12" t="str">
        <f t="shared" si="3"/>
        <v/>
      </c>
      <c r="D81" s="12" t="str">
        <f t="shared" si="5"/>
        <v/>
      </c>
    </row>
    <row r="82" spans="1:4" x14ac:dyDescent="0.2">
      <c r="A82" t="str">
        <f t="shared" si="4"/>
        <v/>
      </c>
      <c r="B82" s="12" t="str">
        <f>IF('Import OpenCPN'!AC83="","",'Import OpenCPN'!AC83)</f>
        <v/>
      </c>
      <c r="C82" s="12" t="str">
        <f t="shared" si="3"/>
        <v/>
      </c>
      <c r="D82" s="12" t="str">
        <f t="shared" si="5"/>
        <v/>
      </c>
    </row>
    <row r="83" spans="1:4" x14ac:dyDescent="0.2">
      <c r="A83" t="str">
        <f t="shared" si="4"/>
        <v/>
      </c>
      <c r="B83" s="12" t="str">
        <f>IF('Import OpenCPN'!AC84="","",'Import OpenCPN'!AC84)</f>
        <v/>
      </c>
      <c r="C83" s="12" t="str">
        <f t="shared" si="3"/>
        <v/>
      </c>
      <c r="D83" s="12" t="str">
        <f t="shared" si="5"/>
        <v/>
      </c>
    </row>
    <row r="84" spans="1:4" x14ac:dyDescent="0.2">
      <c r="A84" t="str">
        <f t="shared" si="4"/>
        <v/>
      </c>
      <c r="B84" s="12" t="str">
        <f>IF('Import OpenCPN'!AC85="","",'Import OpenCPN'!AC85)</f>
        <v/>
      </c>
      <c r="C84" s="12" t="str">
        <f t="shared" si="3"/>
        <v/>
      </c>
      <c r="D84" s="12" t="str">
        <f t="shared" si="5"/>
        <v/>
      </c>
    </row>
    <row r="85" spans="1:4" x14ac:dyDescent="0.2">
      <c r="A85" t="str">
        <f t="shared" si="4"/>
        <v/>
      </c>
      <c r="B85" s="12" t="str">
        <f>IF('Import OpenCPN'!AC86="","",'Import OpenCPN'!AC86)</f>
        <v/>
      </c>
      <c r="C85" s="12" t="str">
        <f t="shared" si="3"/>
        <v/>
      </c>
      <c r="D85" s="12" t="str">
        <f t="shared" si="5"/>
        <v/>
      </c>
    </row>
    <row r="86" spans="1:4" x14ac:dyDescent="0.2">
      <c r="A86" t="str">
        <f t="shared" si="4"/>
        <v/>
      </c>
      <c r="B86" s="12" t="str">
        <f>IF('Import OpenCPN'!AC87="","",'Import OpenCPN'!AC87)</f>
        <v/>
      </c>
      <c r="C86" s="12" t="str">
        <f t="shared" si="3"/>
        <v/>
      </c>
      <c r="D86" s="12" t="str">
        <f t="shared" si="5"/>
        <v/>
      </c>
    </row>
    <row r="87" spans="1:4" x14ac:dyDescent="0.2">
      <c r="A87" t="str">
        <f t="shared" si="4"/>
        <v/>
      </c>
      <c r="B87" s="12" t="str">
        <f>IF('Import OpenCPN'!AC88="","",'Import OpenCPN'!AC88)</f>
        <v/>
      </c>
      <c r="C87" s="12" t="str">
        <f t="shared" si="3"/>
        <v/>
      </c>
      <c r="D87" s="12" t="str">
        <f t="shared" si="5"/>
        <v/>
      </c>
    </row>
    <row r="88" spans="1:4" x14ac:dyDescent="0.2">
      <c r="A88" t="str">
        <f t="shared" si="4"/>
        <v/>
      </c>
      <c r="B88" s="12" t="str">
        <f>IF('Import OpenCPN'!AC89="","",'Import OpenCPN'!AC89)</f>
        <v/>
      </c>
      <c r="C88" s="12" t="str">
        <f t="shared" si="3"/>
        <v/>
      </c>
      <c r="D88" s="12" t="str">
        <f t="shared" si="5"/>
        <v/>
      </c>
    </row>
    <row r="89" spans="1:4" x14ac:dyDescent="0.2">
      <c r="A89" t="str">
        <f t="shared" si="4"/>
        <v/>
      </c>
      <c r="B89" s="12" t="str">
        <f>IF('Import OpenCPN'!AC90="","",'Import OpenCPN'!AC90)</f>
        <v/>
      </c>
      <c r="C89" s="12" t="str">
        <f t="shared" si="3"/>
        <v/>
      </c>
      <c r="D89" s="12" t="str">
        <f t="shared" si="5"/>
        <v/>
      </c>
    </row>
    <row r="90" spans="1:4" x14ac:dyDescent="0.2">
      <c r="A90" t="str">
        <f t="shared" si="4"/>
        <v/>
      </c>
      <c r="B90" s="12" t="str">
        <f>IF('Import OpenCPN'!AC91="","",'Import OpenCPN'!AC91)</f>
        <v/>
      </c>
      <c r="C90" s="12" t="str">
        <f t="shared" si="3"/>
        <v/>
      </c>
      <c r="D90" s="12" t="str">
        <f t="shared" si="5"/>
        <v/>
      </c>
    </row>
    <row r="91" spans="1:4" x14ac:dyDescent="0.2">
      <c r="A91" t="str">
        <f t="shared" si="4"/>
        <v/>
      </c>
      <c r="B91" s="12" t="str">
        <f>IF('Import OpenCPN'!AC92="","",'Import OpenCPN'!AC92)</f>
        <v/>
      </c>
      <c r="C91" s="12" t="str">
        <f t="shared" si="3"/>
        <v/>
      </c>
      <c r="D91" s="12" t="str">
        <f t="shared" si="5"/>
        <v/>
      </c>
    </row>
    <row r="92" spans="1:4" x14ac:dyDescent="0.2">
      <c r="A92" t="str">
        <f t="shared" si="4"/>
        <v/>
      </c>
      <c r="B92" s="12" t="str">
        <f>IF('Import OpenCPN'!AC93="","",'Import OpenCPN'!AC93)</f>
        <v/>
      </c>
      <c r="C92" s="12" t="str">
        <f t="shared" si="3"/>
        <v/>
      </c>
      <c r="D92" s="12" t="str">
        <f t="shared" si="5"/>
        <v/>
      </c>
    </row>
    <row r="93" spans="1:4" x14ac:dyDescent="0.2">
      <c r="A93" t="str">
        <f t="shared" si="4"/>
        <v/>
      </c>
      <c r="B93" s="12" t="str">
        <f>IF('Import OpenCPN'!AC94="","",'Import OpenCPN'!AC94)</f>
        <v/>
      </c>
      <c r="C93" s="12" t="str">
        <f t="shared" si="3"/>
        <v/>
      </c>
      <c r="D93" s="12" t="str">
        <f t="shared" si="5"/>
        <v/>
      </c>
    </row>
    <row r="94" spans="1:4" x14ac:dyDescent="0.2">
      <c r="A94" t="str">
        <f t="shared" si="4"/>
        <v/>
      </c>
      <c r="B94" s="12" t="str">
        <f>IF('Import OpenCPN'!AC95="","",'Import OpenCPN'!AC95)</f>
        <v/>
      </c>
      <c r="C94" s="12" t="str">
        <f t="shared" si="3"/>
        <v/>
      </c>
      <c r="D94" s="12" t="str">
        <f t="shared" si="5"/>
        <v/>
      </c>
    </row>
    <row r="95" spans="1:4" x14ac:dyDescent="0.2">
      <c r="A95" t="str">
        <f t="shared" si="4"/>
        <v/>
      </c>
      <c r="B95" s="12" t="str">
        <f>IF('Import OpenCPN'!AC96="","",'Import OpenCPN'!AC96)</f>
        <v/>
      </c>
      <c r="C95" s="12" t="str">
        <f t="shared" si="3"/>
        <v/>
      </c>
      <c r="D95" s="12" t="str">
        <f t="shared" si="5"/>
        <v/>
      </c>
    </row>
    <row r="96" spans="1:4" x14ac:dyDescent="0.2">
      <c r="A96" t="str">
        <f t="shared" si="4"/>
        <v/>
      </c>
      <c r="B96" s="12" t="str">
        <f>IF('Import OpenCPN'!AC97="","",'Import OpenCPN'!AC97)</f>
        <v/>
      </c>
      <c r="C96" s="12" t="str">
        <f t="shared" si="3"/>
        <v/>
      </c>
      <c r="D96" s="12" t="str">
        <f t="shared" si="5"/>
        <v/>
      </c>
    </row>
    <row r="97" spans="1:4" x14ac:dyDescent="0.2">
      <c r="A97" t="str">
        <f t="shared" si="4"/>
        <v/>
      </c>
      <c r="B97" s="12" t="str">
        <f>IF('Import OpenCPN'!AC98="","",'Import OpenCPN'!AC98)</f>
        <v/>
      </c>
      <c r="C97" s="12" t="str">
        <f t="shared" si="3"/>
        <v/>
      </c>
      <c r="D97" s="12" t="str">
        <f t="shared" si="5"/>
        <v/>
      </c>
    </row>
    <row r="98" spans="1:4" x14ac:dyDescent="0.2">
      <c r="A98" t="str">
        <f t="shared" si="4"/>
        <v/>
      </c>
      <c r="B98" s="12" t="str">
        <f>IF('Import OpenCPN'!AC99="","",'Import OpenCPN'!AC99)</f>
        <v/>
      </c>
      <c r="C98" s="12" t="str">
        <f t="shared" si="3"/>
        <v/>
      </c>
      <c r="D98" s="12" t="str">
        <f t="shared" si="5"/>
        <v/>
      </c>
    </row>
    <row r="99" spans="1:4" x14ac:dyDescent="0.2">
      <c r="A99" t="str">
        <f t="shared" si="4"/>
        <v/>
      </c>
      <c r="B99" s="12" t="str">
        <f>IF('Import OpenCPN'!AC100="","",'Import OpenCPN'!AC100)</f>
        <v/>
      </c>
      <c r="C99" s="12" t="str">
        <f t="shared" si="3"/>
        <v/>
      </c>
      <c r="D99" s="12" t="str">
        <f t="shared" si="5"/>
        <v/>
      </c>
    </row>
    <row r="100" spans="1:4" x14ac:dyDescent="0.2">
      <c r="A100" t="str">
        <f t="shared" si="4"/>
        <v/>
      </c>
      <c r="B100" s="12" t="str">
        <f>IF('Import OpenCPN'!AC101="","",'Import OpenCPN'!AC101)</f>
        <v/>
      </c>
      <c r="C100" s="12" t="str">
        <f t="shared" si="3"/>
        <v/>
      </c>
      <c r="D100" s="12" t="str">
        <f t="shared" si="5"/>
        <v/>
      </c>
    </row>
    <row r="101" spans="1:4" x14ac:dyDescent="0.2">
      <c r="A101" t="str">
        <f t="shared" si="4"/>
        <v/>
      </c>
      <c r="B101" s="12" t="str">
        <f>IF('Import OpenCPN'!AC102="","",'Import OpenCPN'!AC102)</f>
        <v/>
      </c>
      <c r="C101" s="12" t="str">
        <f t="shared" si="3"/>
        <v/>
      </c>
      <c r="D101" s="12" t="str">
        <f t="shared" si="5"/>
        <v/>
      </c>
    </row>
    <row r="102" spans="1:4" x14ac:dyDescent="0.2">
      <c r="A102" t="str">
        <f t="shared" si="4"/>
        <v/>
      </c>
      <c r="B102" s="12" t="str">
        <f>IF('Import OpenCPN'!AC103="","",'Import OpenCPN'!AC103)</f>
        <v/>
      </c>
      <c r="C102" s="12" t="str">
        <f t="shared" si="3"/>
        <v/>
      </c>
      <c r="D102" s="12" t="str">
        <f t="shared" si="5"/>
        <v/>
      </c>
    </row>
    <row r="103" spans="1:4" x14ac:dyDescent="0.2">
      <c r="A103" t="str">
        <f t="shared" si="4"/>
        <v/>
      </c>
      <c r="B103" s="12" t="str">
        <f>IF('Import OpenCPN'!AC104="","",'Import OpenCPN'!AC104)</f>
        <v/>
      </c>
      <c r="C103" s="12" t="str">
        <f t="shared" si="3"/>
        <v/>
      </c>
      <c r="D103" s="12" t="str">
        <f t="shared" si="5"/>
        <v/>
      </c>
    </row>
    <row r="104" spans="1:4" x14ac:dyDescent="0.2">
      <c r="A104" t="str">
        <f t="shared" si="4"/>
        <v/>
      </c>
      <c r="B104" s="12" t="str">
        <f>IF('Import OpenCPN'!AC105="","",'Import OpenCPN'!AC105)</f>
        <v/>
      </c>
      <c r="C104" s="12" t="str">
        <f t="shared" si="3"/>
        <v/>
      </c>
      <c r="D104" s="12" t="str">
        <f t="shared" si="5"/>
        <v/>
      </c>
    </row>
    <row r="105" spans="1:4" x14ac:dyDescent="0.2">
      <c r="A105" t="str">
        <f t="shared" si="4"/>
        <v/>
      </c>
      <c r="B105" s="12" t="str">
        <f>IF('Import OpenCPN'!AC106="","",'Import OpenCPN'!AC106)</f>
        <v/>
      </c>
      <c r="C105" s="12" t="str">
        <f t="shared" si="3"/>
        <v/>
      </c>
      <c r="D105" s="12" t="str">
        <f t="shared" si="5"/>
        <v/>
      </c>
    </row>
    <row r="106" spans="1:4" x14ac:dyDescent="0.2">
      <c r="A106" t="str">
        <f t="shared" si="4"/>
        <v/>
      </c>
      <c r="B106" s="12" t="str">
        <f>IF('Import OpenCPN'!AC107="","",'Import OpenCPN'!AC107)</f>
        <v/>
      </c>
      <c r="C106" s="12" t="str">
        <f t="shared" si="3"/>
        <v/>
      </c>
      <c r="D106" s="12" t="str">
        <f t="shared" si="5"/>
        <v/>
      </c>
    </row>
    <row r="107" spans="1:4" x14ac:dyDescent="0.2">
      <c r="A107" t="str">
        <f t="shared" si="4"/>
        <v/>
      </c>
      <c r="B107" s="12" t="str">
        <f>IF('Import OpenCPN'!AC108="","",'Import OpenCPN'!AC108)</f>
        <v/>
      </c>
      <c r="C107" s="12" t="str">
        <f t="shared" si="3"/>
        <v/>
      </c>
      <c r="D107" s="12" t="str">
        <f t="shared" si="5"/>
        <v/>
      </c>
    </row>
    <row r="108" spans="1:4" x14ac:dyDescent="0.2">
      <c r="A108" t="str">
        <f t="shared" si="4"/>
        <v/>
      </c>
      <c r="B108" s="12" t="str">
        <f>IF('Import OpenCPN'!AC109="","",'Import OpenCPN'!AC109)</f>
        <v/>
      </c>
      <c r="C108" s="12" t="str">
        <f t="shared" si="3"/>
        <v/>
      </c>
      <c r="D108" s="12" t="str">
        <f t="shared" si="5"/>
        <v/>
      </c>
    </row>
    <row r="109" spans="1:4" x14ac:dyDescent="0.2">
      <c r="A109" t="str">
        <f t="shared" si="4"/>
        <v/>
      </c>
      <c r="B109" s="12" t="str">
        <f>IF('Import OpenCPN'!AC110="","",'Import OpenCPN'!AC110)</f>
        <v/>
      </c>
      <c r="C109" s="12" t="str">
        <f t="shared" si="3"/>
        <v/>
      </c>
      <c r="D109" s="12" t="str">
        <f t="shared" si="5"/>
        <v/>
      </c>
    </row>
    <row r="110" spans="1:4" x14ac:dyDescent="0.2">
      <c r="A110" t="str">
        <f t="shared" si="4"/>
        <v/>
      </c>
      <c r="B110" s="12" t="str">
        <f>IF('Import OpenCPN'!AC111="","",'Import OpenCPN'!AC111)</f>
        <v/>
      </c>
      <c r="C110" s="12" t="str">
        <f t="shared" si="3"/>
        <v/>
      </c>
      <c r="D110" s="12" t="str">
        <f t="shared" si="5"/>
        <v/>
      </c>
    </row>
    <row r="111" spans="1:4" x14ac:dyDescent="0.2">
      <c r="A111" t="str">
        <f t="shared" si="4"/>
        <v/>
      </c>
      <c r="B111" s="12" t="str">
        <f>IF('Import OpenCPN'!AC112="","",'Import OpenCPN'!AC112)</f>
        <v/>
      </c>
      <c r="C111" s="12" t="str">
        <f t="shared" si="3"/>
        <v/>
      </c>
      <c r="D111" s="12" t="str">
        <f t="shared" si="5"/>
        <v/>
      </c>
    </row>
    <row r="112" spans="1:4" x14ac:dyDescent="0.2">
      <c r="A112" t="str">
        <f t="shared" si="4"/>
        <v/>
      </c>
      <c r="B112" s="12" t="str">
        <f>IF('Import OpenCPN'!AC113="","",'Import OpenCPN'!AC113)</f>
        <v/>
      </c>
      <c r="C112" s="12" t="str">
        <f t="shared" si="3"/>
        <v/>
      </c>
      <c r="D112" s="12" t="str">
        <f t="shared" si="5"/>
        <v/>
      </c>
    </row>
    <row r="113" spans="1:4" x14ac:dyDescent="0.2">
      <c r="A113" t="str">
        <f t="shared" si="4"/>
        <v/>
      </c>
      <c r="B113" s="12" t="str">
        <f>IF('Import OpenCPN'!AC114="","",'Import OpenCPN'!AC114)</f>
        <v/>
      </c>
      <c r="C113" s="12" t="str">
        <f t="shared" si="3"/>
        <v/>
      </c>
      <c r="D113" s="12" t="str">
        <f t="shared" si="5"/>
        <v/>
      </c>
    </row>
    <row r="114" spans="1:4" x14ac:dyDescent="0.2">
      <c r="A114" t="str">
        <f t="shared" si="4"/>
        <v/>
      </c>
      <c r="B114" s="12" t="str">
        <f>IF('Import OpenCPN'!AC115="","",'Import OpenCPN'!AC115)</f>
        <v/>
      </c>
      <c r="C114" s="12" t="str">
        <f t="shared" si="3"/>
        <v/>
      </c>
      <c r="D114" s="12" t="str">
        <f t="shared" si="5"/>
        <v/>
      </c>
    </row>
    <row r="115" spans="1:4" x14ac:dyDescent="0.2">
      <c r="A115" t="str">
        <f t="shared" si="4"/>
        <v/>
      </c>
      <c r="B115" s="12" t="str">
        <f>IF('Import OpenCPN'!AC116="","",'Import OpenCPN'!AC116)</f>
        <v/>
      </c>
      <c r="C115" s="12" t="str">
        <f t="shared" si="3"/>
        <v/>
      </c>
      <c r="D115" s="12" t="str">
        <f t="shared" si="5"/>
        <v/>
      </c>
    </row>
    <row r="116" spans="1:4" x14ac:dyDescent="0.2">
      <c r="A116" t="str">
        <f t="shared" si="4"/>
        <v/>
      </c>
      <c r="B116" s="12" t="str">
        <f>IF('Import OpenCPN'!AC117="","",'Import OpenCPN'!AC117)</f>
        <v/>
      </c>
      <c r="C116" s="12" t="str">
        <f t="shared" si="3"/>
        <v/>
      </c>
      <c r="D116" s="12" t="str">
        <f t="shared" si="5"/>
        <v/>
      </c>
    </row>
    <row r="117" spans="1:4" x14ac:dyDescent="0.2">
      <c r="A117" t="str">
        <f t="shared" si="4"/>
        <v/>
      </c>
      <c r="B117" s="12" t="str">
        <f>IF('Import OpenCPN'!AC118="","",'Import OpenCPN'!AC118)</f>
        <v/>
      </c>
      <c r="C117" s="12" t="str">
        <f t="shared" si="3"/>
        <v/>
      </c>
      <c r="D117" s="12" t="str">
        <f t="shared" si="5"/>
        <v/>
      </c>
    </row>
    <row r="118" spans="1:4" x14ac:dyDescent="0.2">
      <c r="A118" t="str">
        <f t="shared" si="4"/>
        <v/>
      </c>
      <c r="B118" s="12" t="str">
        <f>IF('Import OpenCPN'!AC119="","",'Import OpenCPN'!AC119)</f>
        <v/>
      </c>
      <c r="C118" s="12" t="str">
        <f t="shared" si="3"/>
        <v/>
      </c>
      <c r="D118" s="12" t="str">
        <f t="shared" si="5"/>
        <v/>
      </c>
    </row>
    <row r="119" spans="1:4" x14ac:dyDescent="0.2">
      <c r="A119" t="str">
        <f t="shared" si="4"/>
        <v/>
      </c>
      <c r="B119" s="12" t="str">
        <f>IF('Import OpenCPN'!AC120="","",'Import OpenCPN'!AC120)</f>
        <v/>
      </c>
      <c r="C119" s="12" t="str">
        <f t="shared" si="3"/>
        <v/>
      </c>
      <c r="D119" s="12" t="str">
        <f t="shared" si="5"/>
        <v/>
      </c>
    </row>
    <row r="120" spans="1:4" x14ac:dyDescent="0.2">
      <c r="A120" t="str">
        <f t="shared" si="4"/>
        <v/>
      </c>
      <c r="B120" s="12" t="str">
        <f>IF('Import OpenCPN'!AC121="","",'Import OpenCPN'!AC121)</f>
        <v/>
      </c>
      <c r="C120" s="12" t="str">
        <f t="shared" si="3"/>
        <v/>
      </c>
      <c r="D120" s="12" t="str">
        <f t="shared" si="5"/>
        <v/>
      </c>
    </row>
    <row r="121" spans="1:4" x14ac:dyDescent="0.2">
      <c r="A121" t="str">
        <f t="shared" si="4"/>
        <v/>
      </c>
      <c r="B121" s="12" t="str">
        <f>IF('Import OpenCPN'!AC122="","",'Import OpenCPN'!AC122)</f>
        <v/>
      </c>
      <c r="C121" s="12" t="str">
        <f t="shared" si="3"/>
        <v/>
      </c>
      <c r="D121" s="12" t="str">
        <f t="shared" si="5"/>
        <v/>
      </c>
    </row>
    <row r="122" spans="1:4" x14ac:dyDescent="0.2">
      <c r="A122" t="str">
        <f t="shared" si="4"/>
        <v/>
      </c>
      <c r="B122" s="12" t="str">
        <f>IF('Import OpenCPN'!AC123="","",'Import OpenCPN'!AC123)</f>
        <v/>
      </c>
      <c r="C122" s="12" t="str">
        <f t="shared" si="3"/>
        <v/>
      </c>
      <c r="D122" s="12" t="str">
        <f t="shared" si="5"/>
        <v/>
      </c>
    </row>
    <row r="123" spans="1:4" x14ac:dyDescent="0.2">
      <c r="A123" t="str">
        <f t="shared" si="4"/>
        <v/>
      </c>
      <c r="B123" s="12" t="str">
        <f>IF('Import OpenCPN'!AC124="","",'Import OpenCPN'!AC124)</f>
        <v/>
      </c>
      <c r="C123" s="12" t="str">
        <f t="shared" si="3"/>
        <v/>
      </c>
      <c r="D123" s="12" t="str">
        <f t="shared" si="5"/>
        <v/>
      </c>
    </row>
    <row r="124" spans="1:4" x14ac:dyDescent="0.2">
      <c r="A124" t="str">
        <f t="shared" si="4"/>
        <v/>
      </c>
      <c r="B124" s="12" t="str">
        <f>IF('Import OpenCPN'!AC125="","",'Import OpenCPN'!AC125)</f>
        <v/>
      </c>
      <c r="C124" s="12" t="str">
        <f t="shared" si="3"/>
        <v/>
      </c>
      <c r="D124" s="12" t="str">
        <f t="shared" si="5"/>
        <v/>
      </c>
    </row>
    <row r="125" spans="1:4" x14ac:dyDescent="0.2">
      <c r="A125" t="str">
        <f t="shared" si="4"/>
        <v/>
      </c>
      <c r="B125" s="12" t="str">
        <f>IF('Import OpenCPN'!AC126="","",'Import OpenCPN'!AC126)</f>
        <v/>
      </c>
      <c r="C125" s="12" t="str">
        <f t="shared" si="3"/>
        <v/>
      </c>
      <c r="D125" s="12" t="str">
        <f t="shared" si="5"/>
        <v/>
      </c>
    </row>
    <row r="126" spans="1:4" x14ac:dyDescent="0.2">
      <c r="A126" t="str">
        <f t="shared" si="4"/>
        <v/>
      </c>
      <c r="B126" s="12" t="str">
        <f>IF('Import OpenCPN'!AC127="","",'Import OpenCPN'!AC127)</f>
        <v/>
      </c>
      <c r="C126" s="12" t="str">
        <f t="shared" si="3"/>
        <v/>
      </c>
      <c r="D126" s="12" t="str">
        <f t="shared" si="5"/>
        <v/>
      </c>
    </row>
    <row r="127" spans="1:4" x14ac:dyDescent="0.2">
      <c r="A127" t="str">
        <f t="shared" si="4"/>
        <v/>
      </c>
      <c r="B127" s="12" t="str">
        <f>IF('Import OpenCPN'!AC128="","",'Import OpenCPN'!AC128)</f>
        <v/>
      </c>
      <c r="C127" s="12" t="str">
        <f t="shared" si="3"/>
        <v/>
      </c>
      <c r="D127" s="12" t="str">
        <f t="shared" si="5"/>
        <v/>
      </c>
    </row>
    <row r="128" spans="1:4" x14ac:dyDescent="0.2">
      <c r="A128" t="str">
        <f t="shared" si="4"/>
        <v/>
      </c>
      <c r="B128" s="12" t="str">
        <f>IF('Import OpenCPN'!AC129="","",'Import OpenCPN'!AC129)</f>
        <v/>
      </c>
      <c r="C128" s="12" t="str">
        <f t="shared" si="3"/>
        <v/>
      </c>
      <c r="D128" s="12" t="str">
        <f t="shared" si="5"/>
        <v/>
      </c>
    </row>
    <row r="129" spans="1:4" x14ac:dyDescent="0.2">
      <c r="A129" t="str">
        <f t="shared" si="4"/>
        <v/>
      </c>
      <c r="B129" s="12" t="str">
        <f>IF('Import OpenCPN'!AC130="","",'Import OpenCPN'!AC130)</f>
        <v/>
      </c>
      <c r="C129" s="12" t="str">
        <f t="shared" si="3"/>
        <v/>
      </c>
      <c r="D129" s="12" t="str">
        <f t="shared" si="5"/>
        <v/>
      </c>
    </row>
    <row r="130" spans="1:4" x14ac:dyDescent="0.2">
      <c r="A130" t="str">
        <f t="shared" si="4"/>
        <v/>
      </c>
      <c r="B130" s="12" t="str">
        <f>IF('Import OpenCPN'!AC131="","",'Import OpenCPN'!AC131)</f>
        <v/>
      </c>
      <c r="C130" s="12" t="str">
        <f t="shared" ref="C130:C193" si="6">IF(B130="","","q")</f>
        <v/>
      </c>
      <c r="D130" s="12" t="str">
        <f t="shared" si="5"/>
        <v/>
      </c>
    </row>
    <row r="131" spans="1:4" x14ac:dyDescent="0.2">
      <c r="A131" t="str">
        <f t="shared" ref="A131:A194" si="7">IF(B131="","",A130+1)</f>
        <v/>
      </c>
      <c r="B131" s="12" t="str">
        <f>IF('Import OpenCPN'!AC132="","",'Import OpenCPN'!AC132)</f>
        <v/>
      </c>
      <c r="C131" s="12" t="str">
        <f t="shared" si="6"/>
        <v/>
      </c>
      <c r="D131" s="12" t="str">
        <f t="shared" ref="D131:D194" si="8">IF(B131="","",1)</f>
        <v/>
      </c>
    </row>
    <row r="132" spans="1:4" x14ac:dyDescent="0.2">
      <c r="A132" t="str">
        <f t="shared" si="7"/>
        <v/>
      </c>
      <c r="B132" s="12" t="str">
        <f>IF('Import OpenCPN'!AC133="","",'Import OpenCPN'!AC133)</f>
        <v/>
      </c>
      <c r="C132" s="12" t="str">
        <f t="shared" si="6"/>
        <v/>
      </c>
      <c r="D132" s="12" t="str">
        <f t="shared" si="8"/>
        <v/>
      </c>
    </row>
    <row r="133" spans="1:4" x14ac:dyDescent="0.2">
      <c r="A133" t="str">
        <f t="shared" si="7"/>
        <v/>
      </c>
      <c r="B133" s="12" t="str">
        <f>IF('Import OpenCPN'!AC134="","",'Import OpenCPN'!AC134)</f>
        <v/>
      </c>
      <c r="C133" s="12" t="str">
        <f t="shared" si="6"/>
        <v/>
      </c>
      <c r="D133" s="12" t="str">
        <f t="shared" si="8"/>
        <v/>
      </c>
    </row>
    <row r="134" spans="1:4" x14ac:dyDescent="0.2">
      <c r="A134" t="str">
        <f t="shared" si="7"/>
        <v/>
      </c>
      <c r="B134" s="12" t="str">
        <f>IF('Import OpenCPN'!AC135="","",'Import OpenCPN'!AC135)</f>
        <v/>
      </c>
      <c r="C134" s="12" t="str">
        <f t="shared" si="6"/>
        <v/>
      </c>
      <c r="D134" s="12" t="str">
        <f t="shared" si="8"/>
        <v/>
      </c>
    </row>
    <row r="135" spans="1:4" x14ac:dyDescent="0.2">
      <c r="A135" t="str">
        <f t="shared" si="7"/>
        <v/>
      </c>
      <c r="B135" s="12" t="str">
        <f>IF('Import OpenCPN'!AC136="","",'Import OpenCPN'!AC136)</f>
        <v/>
      </c>
      <c r="C135" s="12" t="str">
        <f t="shared" si="6"/>
        <v/>
      </c>
      <c r="D135" s="12" t="str">
        <f t="shared" si="8"/>
        <v/>
      </c>
    </row>
    <row r="136" spans="1:4" x14ac:dyDescent="0.2">
      <c r="A136" t="str">
        <f t="shared" si="7"/>
        <v/>
      </c>
      <c r="B136" s="12" t="str">
        <f>IF('Import OpenCPN'!AC137="","",'Import OpenCPN'!AC137)</f>
        <v/>
      </c>
      <c r="C136" s="12" t="str">
        <f t="shared" si="6"/>
        <v/>
      </c>
      <c r="D136" s="12" t="str">
        <f t="shared" si="8"/>
        <v/>
      </c>
    </row>
    <row r="137" spans="1:4" x14ac:dyDescent="0.2">
      <c r="A137" t="str">
        <f t="shared" si="7"/>
        <v/>
      </c>
      <c r="B137" s="12" t="str">
        <f>IF('Import OpenCPN'!AC138="","",'Import OpenCPN'!AC138)</f>
        <v/>
      </c>
      <c r="C137" s="12" t="str">
        <f t="shared" si="6"/>
        <v/>
      </c>
      <c r="D137" s="12" t="str">
        <f t="shared" si="8"/>
        <v/>
      </c>
    </row>
    <row r="138" spans="1:4" x14ac:dyDescent="0.2">
      <c r="A138" t="str">
        <f t="shared" si="7"/>
        <v/>
      </c>
      <c r="B138" s="12" t="str">
        <f>IF('Import OpenCPN'!AC139="","",'Import OpenCPN'!AC139)</f>
        <v/>
      </c>
      <c r="C138" s="12" t="str">
        <f t="shared" si="6"/>
        <v/>
      </c>
      <c r="D138" s="12" t="str">
        <f t="shared" si="8"/>
        <v/>
      </c>
    </row>
    <row r="139" spans="1:4" x14ac:dyDescent="0.2">
      <c r="A139" t="str">
        <f t="shared" si="7"/>
        <v/>
      </c>
      <c r="B139" s="12" t="str">
        <f>IF('Import OpenCPN'!AC140="","",'Import OpenCPN'!AC140)</f>
        <v/>
      </c>
      <c r="C139" s="12" t="str">
        <f t="shared" si="6"/>
        <v/>
      </c>
      <c r="D139" s="12" t="str">
        <f t="shared" si="8"/>
        <v/>
      </c>
    </row>
    <row r="140" spans="1:4" x14ac:dyDescent="0.2">
      <c r="A140" t="str">
        <f t="shared" si="7"/>
        <v/>
      </c>
      <c r="B140" s="12" t="str">
        <f>IF('Import OpenCPN'!AC141="","",'Import OpenCPN'!AC141)</f>
        <v/>
      </c>
      <c r="C140" s="12" t="str">
        <f t="shared" si="6"/>
        <v/>
      </c>
      <c r="D140" s="12" t="str">
        <f t="shared" si="8"/>
        <v/>
      </c>
    </row>
    <row r="141" spans="1:4" x14ac:dyDescent="0.2">
      <c r="A141" t="str">
        <f t="shared" si="7"/>
        <v/>
      </c>
      <c r="B141" s="12" t="str">
        <f>IF('Import OpenCPN'!AC142="","",'Import OpenCPN'!AC142)</f>
        <v/>
      </c>
      <c r="C141" s="12" t="str">
        <f t="shared" si="6"/>
        <v/>
      </c>
      <c r="D141" s="12" t="str">
        <f t="shared" si="8"/>
        <v/>
      </c>
    </row>
    <row r="142" spans="1:4" x14ac:dyDescent="0.2">
      <c r="A142" t="str">
        <f t="shared" si="7"/>
        <v/>
      </c>
      <c r="B142" s="12" t="str">
        <f>IF('Import OpenCPN'!AC143="","",'Import OpenCPN'!AC143)</f>
        <v/>
      </c>
      <c r="C142" s="12" t="str">
        <f t="shared" si="6"/>
        <v/>
      </c>
      <c r="D142" s="12" t="str">
        <f t="shared" si="8"/>
        <v/>
      </c>
    </row>
    <row r="143" spans="1:4" x14ac:dyDescent="0.2">
      <c r="A143" t="str">
        <f t="shared" si="7"/>
        <v/>
      </c>
      <c r="B143" s="12" t="str">
        <f>IF('Import OpenCPN'!AC144="","",'Import OpenCPN'!AC144)</f>
        <v/>
      </c>
      <c r="C143" s="12" t="str">
        <f t="shared" si="6"/>
        <v/>
      </c>
      <c r="D143" s="12" t="str">
        <f t="shared" si="8"/>
        <v/>
      </c>
    </row>
    <row r="144" spans="1:4" x14ac:dyDescent="0.2">
      <c r="A144" t="str">
        <f t="shared" si="7"/>
        <v/>
      </c>
      <c r="B144" s="12" t="str">
        <f>IF('Import OpenCPN'!AC145="","",'Import OpenCPN'!AC145)</f>
        <v/>
      </c>
      <c r="C144" s="12" t="str">
        <f t="shared" si="6"/>
        <v/>
      </c>
      <c r="D144" s="12" t="str">
        <f t="shared" si="8"/>
        <v/>
      </c>
    </row>
    <row r="145" spans="1:4" x14ac:dyDescent="0.2">
      <c r="A145" t="str">
        <f t="shared" si="7"/>
        <v/>
      </c>
      <c r="B145" s="12" t="str">
        <f>IF('Import OpenCPN'!AC146="","",'Import OpenCPN'!AC146)</f>
        <v/>
      </c>
      <c r="C145" s="12" t="str">
        <f t="shared" si="6"/>
        <v/>
      </c>
      <c r="D145" s="12" t="str">
        <f t="shared" si="8"/>
        <v/>
      </c>
    </row>
    <row r="146" spans="1:4" x14ac:dyDescent="0.2">
      <c r="A146" t="str">
        <f t="shared" si="7"/>
        <v/>
      </c>
      <c r="B146" s="12" t="str">
        <f>IF('Import OpenCPN'!AC147="","",'Import OpenCPN'!AC147)</f>
        <v/>
      </c>
      <c r="C146" s="12" t="str">
        <f t="shared" si="6"/>
        <v/>
      </c>
      <c r="D146" s="12" t="str">
        <f t="shared" si="8"/>
        <v/>
      </c>
    </row>
    <row r="147" spans="1:4" x14ac:dyDescent="0.2">
      <c r="A147" t="str">
        <f t="shared" si="7"/>
        <v/>
      </c>
      <c r="B147" s="12" t="str">
        <f>IF('Import OpenCPN'!AC148="","",'Import OpenCPN'!AC148)</f>
        <v/>
      </c>
      <c r="C147" s="12" t="str">
        <f t="shared" si="6"/>
        <v/>
      </c>
      <c r="D147" s="12" t="str">
        <f t="shared" si="8"/>
        <v/>
      </c>
    </row>
    <row r="148" spans="1:4" x14ac:dyDescent="0.2">
      <c r="A148" t="str">
        <f t="shared" si="7"/>
        <v/>
      </c>
      <c r="B148" s="12" t="str">
        <f>IF('Import OpenCPN'!AC149="","",'Import OpenCPN'!AC149)</f>
        <v/>
      </c>
      <c r="C148" s="12" t="str">
        <f t="shared" si="6"/>
        <v/>
      </c>
      <c r="D148" s="12" t="str">
        <f t="shared" si="8"/>
        <v/>
      </c>
    </row>
    <row r="149" spans="1:4" x14ac:dyDescent="0.2">
      <c r="A149" t="str">
        <f t="shared" si="7"/>
        <v/>
      </c>
      <c r="B149" s="12" t="str">
        <f>IF('Import OpenCPN'!AC150="","",'Import OpenCPN'!AC150)</f>
        <v/>
      </c>
      <c r="C149" s="12" t="str">
        <f t="shared" si="6"/>
        <v/>
      </c>
      <c r="D149" s="12" t="str">
        <f t="shared" si="8"/>
        <v/>
      </c>
    </row>
    <row r="150" spans="1:4" x14ac:dyDescent="0.2">
      <c r="A150" t="str">
        <f t="shared" si="7"/>
        <v/>
      </c>
      <c r="B150" s="12" t="str">
        <f>IF('Import OpenCPN'!AC151="","",'Import OpenCPN'!AC151)</f>
        <v/>
      </c>
      <c r="C150" s="12" t="str">
        <f t="shared" si="6"/>
        <v/>
      </c>
      <c r="D150" s="12" t="str">
        <f t="shared" si="8"/>
        <v/>
      </c>
    </row>
    <row r="151" spans="1:4" x14ac:dyDescent="0.2">
      <c r="A151" t="str">
        <f t="shared" si="7"/>
        <v/>
      </c>
      <c r="B151" s="12" t="str">
        <f>IF('Import OpenCPN'!AC152="","",'Import OpenCPN'!AC152)</f>
        <v/>
      </c>
      <c r="C151" s="12" t="str">
        <f t="shared" si="6"/>
        <v/>
      </c>
      <c r="D151" s="12" t="str">
        <f t="shared" si="8"/>
        <v/>
      </c>
    </row>
    <row r="152" spans="1:4" x14ac:dyDescent="0.2">
      <c r="A152" t="str">
        <f t="shared" si="7"/>
        <v/>
      </c>
      <c r="B152" s="12" t="str">
        <f>IF('Import OpenCPN'!AC153="","",'Import OpenCPN'!AC153)</f>
        <v/>
      </c>
      <c r="C152" s="12" t="str">
        <f t="shared" si="6"/>
        <v/>
      </c>
      <c r="D152" s="12" t="str">
        <f t="shared" si="8"/>
        <v/>
      </c>
    </row>
    <row r="153" spans="1:4" x14ac:dyDescent="0.2">
      <c r="A153" t="str">
        <f t="shared" si="7"/>
        <v/>
      </c>
      <c r="B153" s="12" t="str">
        <f>IF('Import OpenCPN'!AC154="","",'Import OpenCPN'!AC154)</f>
        <v/>
      </c>
      <c r="C153" s="12" t="str">
        <f t="shared" si="6"/>
        <v/>
      </c>
      <c r="D153" s="12" t="str">
        <f t="shared" si="8"/>
        <v/>
      </c>
    </row>
    <row r="154" spans="1:4" x14ac:dyDescent="0.2">
      <c r="A154" t="str">
        <f t="shared" si="7"/>
        <v/>
      </c>
      <c r="B154" s="12" t="str">
        <f>IF('Import OpenCPN'!AC155="","",'Import OpenCPN'!AC155)</f>
        <v/>
      </c>
      <c r="C154" s="12" t="str">
        <f t="shared" si="6"/>
        <v/>
      </c>
      <c r="D154" s="12" t="str">
        <f t="shared" si="8"/>
        <v/>
      </c>
    </row>
    <row r="155" spans="1:4" x14ac:dyDescent="0.2">
      <c r="A155" t="str">
        <f t="shared" si="7"/>
        <v/>
      </c>
      <c r="B155" s="12" t="str">
        <f>IF('Import OpenCPN'!AC156="","",'Import OpenCPN'!AC156)</f>
        <v/>
      </c>
      <c r="C155" s="12" t="str">
        <f t="shared" si="6"/>
        <v/>
      </c>
      <c r="D155" s="12" t="str">
        <f t="shared" si="8"/>
        <v/>
      </c>
    </row>
    <row r="156" spans="1:4" x14ac:dyDescent="0.2">
      <c r="A156" t="str">
        <f t="shared" si="7"/>
        <v/>
      </c>
      <c r="B156" s="12" t="str">
        <f>IF('Import OpenCPN'!AC157="","",'Import OpenCPN'!AC157)</f>
        <v/>
      </c>
      <c r="C156" s="12" t="str">
        <f t="shared" si="6"/>
        <v/>
      </c>
      <c r="D156" s="12" t="str">
        <f t="shared" si="8"/>
        <v/>
      </c>
    </row>
    <row r="157" spans="1:4" x14ac:dyDescent="0.2">
      <c r="A157" t="str">
        <f t="shared" si="7"/>
        <v/>
      </c>
      <c r="B157" s="12" t="str">
        <f>IF('Import OpenCPN'!AC158="","",'Import OpenCPN'!AC158)</f>
        <v/>
      </c>
      <c r="C157" s="12" t="str">
        <f t="shared" si="6"/>
        <v/>
      </c>
      <c r="D157" s="12" t="str">
        <f t="shared" si="8"/>
        <v/>
      </c>
    </row>
    <row r="158" spans="1:4" x14ac:dyDescent="0.2">
      <c r="A158" t="str">
        <f t="shared" si="7"/>
        <v/>
      </c>
      <c r="B158" s="12" t="str">
        <f>IF('Import OpenCPN'!AC159="","",'Import OpenCPN'!AC159)</f>
        <v/>
      </c>
      <c r="C158" s="12" t="str">
        <f t="shared" si="6"/>
        <v/>
      </c>
      <c r="D158" s="12" t="str">
        <f t="shared" si="8"/>
        <v/>
      </c>
    </row>
    <row r="159" spans="1:4" x14ac:dyDescent="0.2">
      <c r="A159" t="str">
        <f t="shared" si="7"/>
        <v/>
      </c>
      <c r="B159" s="12" t="str">
        <f>IF('Import OpenCPN'!AC160="","",'Import OpenCPN'!AC160)</f>
        <v/>
      </c>
      <c r="C159" s="12" t="str">
        <f t="shared" si="6"/>
        <v/>
      </c>
      <c r="D159" s="12" t="str">
        <f t="shared" si="8"/>
        <v/>
      </c>
    </row>
    <row r="160" spans="1:4" x14ac:dyDescent="0.2">
      <c r="A160" t="str">
        <f t="shared" si="7"/>
        <v/>
      </c>
      <c r="B160" s="12" t="str">
        <f>IF('Import OpenCPN'!AC161="","",'Import OpenCPN'!AC161)</f>
        <v/>
      </c>
      <c r="C160" s="12" t="str">
        <f t="shared" si="6"/>
        <v/>
      </c>
      <c r="D160" s="12" t="str">
        <f t="shared" si="8"/>
        <v/>
      </c>
    </row>
    <row r="161" spans="1:4" x14ac:dyDescent="0.2">
      <c r="A161" t="str">
        <f t="shared" si="7"/>
        <v/>
      </c>
      <c r="B161" s="12" t="str">
        <f>IF('Import OpenCPN'!AC162="","",'Import OpenCPN'!AC162)</f>
        <v/>
      </c>
      <c r="C161" s="12" t="str">
        <f t="shared" si="6"/>
        <v/>
      </c>
      <c r="D161" s="12" t="str">
        <f t="shared" si="8"/>
        <v/>
      </c>
    </row>
    <row r="162" spans="1:4" x14ac:dyDescent="0.2">
      <c r="A162" t="str">
        <f t="shared" si="7"/>
        <v/>
      </c>
      <c r="B162" s="12" t="str">
        <f>IF('Import OpenCPN'!AC163="","",'Import OpenCPN'!AC163)</f>
        <v/>
      </c>
      <c r="C162" s="12" t="str">
        <f t="shared" si="6"/>
        <v/>
      </c>
      <c r="D162" s="12" t="str">
        <f t="shared" si="8"/>
        <v/>
      </c>
    </row>
    <row r="163" spans="1:4" x14ac:dyDescent="0.2">
      <c r="A163" t="str">
        <f t="shared" si="7"/>
        <v/>
      </c>
      <c r="B163" s="12" t="str">
        <f>IF('Import OpenCPN'!AC164="","",'Import OpenCPN'!AC164)</f>
        <v/>
      </c>
      <c r="C163" s="12" t="str">
        <f t="shared" si="6"/>
        <v/>
      </c>
      <c r="D163" s="12" t="str">
        <f t="shared" si="8"/>
        <v/>
      </c>
    </row>
    <row r="164" spans="1:4" x14ac:dyDescent="0.2">
      <c r="A164" t="str">
        <f t="shared" si="7"/>
        <v/>
      </c>
      <c r="B164" s="12" t="str">
        <f>IF('Import OpenCPN'!AC165="","",'Import OpenCPN'!AC165)</f>
        <v/>
      </c>
      <c r="C164" s="12" t="str">
        <f t="shared" si="6"/>
        <v/>
      </c>
      <c r="D164" s="12" t="str">
        <f t="shared" si="8"/>
        <v/>
      </c>
    </row>
    <row r="165" spans="1:4" x14ac:dyDescent="0.2">
      <c r="A165" t="str">
        <f t="shared" si="7"/>
        <v/>
      </c>
      <c r="B165" s="12" t="str">
        <f>IF('Import OpenCPN'!AC166="","",'Import OpenCPN'!AC166)</f>
        <v/>
      </c>
      <c r="C165" s="12" t="str">
        <f t="shared" si="6"/>
        <v/>
      </c>
      <c r="D165" s="12" t="str">
        <f t="shared" si="8"/>
        <v/>
      </c>
    </row>
    <row r="166" spans="1:4" x14ac:dyDescent="0.2">
      <c r="A166" t="str">
        <f t="shared" si="7"/>
        <v/>
      </c>
      <c r="B166" s="12" t="str">
        <f>IF('Import OpenCPN'!AC167="","",'Import OpenCPN'!AC167)</f>
        <v/>
      </c>
      <c r="C166" s="12" t="str">
        <f t="shared" si="6"/>
        <v/>
      </c>
      <c r="D166" s="12" t="str">
        <f t="shared" si="8"/>
        <v/>
      </c>
    </row>
    <row r="167" spans="1:4" x14ac:dyDescent="0.2">
      <c r="A167" t="str">
        <f t="shared" si="7"/>
        <v/>
      </c>
      <c r="B167" s="12" t="str">
        <f>IF('Import OpenCPN'!AC168="","",'Import OpenCPN'!AC168)</f>
        <v/>
      </c>
      <c r="C167" s="12" t="str">
        <f t="shared" si="6"/>
        <v/>
      </c>
      <c r="D167" s="12" t="str">
        <f t="shared" si="8"/>
        <v/>
      </c>
    </row>
    <row r="168" spans="1:4" x14ac:dyDescent="0.2">
      <c r="A168" t="str">
        <f t="shared" si="7"/>
        <v/>
      </c>
      <c r="B168" s="12" t="str">
        <f>IF('Import OpenCPN'!AC169="","",'Import OpenCPN'!AC169)</f>
        <v/>
      </c>
      <c r="C168" s="12" t="str">
        <f t="shared" si="6"/>
        <v/>
      </c>
      <c r="D168" s="12" t="str">
        <f t="shared" si="8"/>
        <v/>
      </c>
    </row>
    <row r="169" spans="1:4" x14ac:dyDescent="0.2">
      <c r="A169" t="str">
        <f t="shared" si="7"/>
        <v/>
      </c>
      <c r="B169" s="12" t="str">
        <f>IF('Import OpenCPN'!AC170="","",'Import OpenCPN'!AC170)</f>
        <v/>
      </c>
      <c r="C169" s="12" t="str">
        <f t="shared" si="6"/>
        <v/>
      </c>
      <c r="D169" s="12" t="str">
        <f t="shared" si="8"/>
        <v/>
      </c>
    </row>
    <row r="170" spans="1:4" x14ac:dyDescent="0.2">
      <c r="A170" t="str">
        <f t="shared" si="7"/>
        <v/>
      </c>
      <c r="B170" s="12" t="str">
        <f>IF('Import OpenCPN'!AC171="","",'Import OpenCPN'!AC171)</f>
        <v/>
      </c>
      <c r="C170" s="12" t="str">
        <f t="shared" si="6"/>
        <v/>
      </c>
      <c r="D170" s="12" t="str">
        <f t="shared" si="8"/>
        <v/>
      </c>
    </row>
    <row r="171" spans="1:4" x14ac:dyDescent="0.2">
      <c r="A171" t="str">
        <f t="shared" si="7"/>
        <v/>
      </c>
      <c r="B171" s="12" t="str">
        <f>IF('Import OpenCPN'!AC172="","",'Import OpenCPN'!AC172)</f>
        <v/>
      </c>
      <c r="C171" s="12" t="str">
        <f t="shared" si="6"/>
        <v/>
      </c>
      <c r="D171" s="12" t="str">
        <f t="shared" si="8"/>
        <v/>
      </c>
    </row>
    <row r="172" spans="1:4" x14ac:dyDescent="0.2">
      <c r="A172" t="str">
        <f t="shared" si="7"/>
        <v/>
      </c>
      <c r="B172" s="12" t="str">
        <f>IF('Import OpenCPN'!AC173="","",'Import OpenCPN'!AC173)</f>
        <v/>
      </c>
      <c r="C172" s="12" t="str">
        <f t="shared" si="6"/>
        <v/>
      </c>
      <c r="D172" s="12" t="str">
        <f t="shared" si="8"/>
        <v/>
      </c>
    </row>
    <row r="173" spans="1:4" x14ac:dyDescent="0.2">
      <c r="A173" t="str">
        <f t="shared" si="7"/>
        <v/>
      </c>
      <c r="B173" s="12" t="str">
        <f>IF('Import OpenCPN'!AC174="","",'Import OpenCPN'!AC174)</f>
        <v/>
      </c>
      <c r="C173" s="12" t="str">
        <f t="shared" si="6"/>
        <v/>
      </c>
      <c r="D173" s="12" t="str">
        <f t="shared" si="8"/>
        <v/>
      </c>
    </row>
    <row r="174" spans="1:4" x14ac:dyDescent="0.2">
      <c r="A174" t="str">
        <f t="shared" si="7"/>
        <v/>
      </c>
      <c r="B174" s="12" t="str">
        <f>IF('Import OpenCPN'!AC175="","",'Import OpenCPN'!AC175)</f>
        <v/>
      </c>
      <c r="C174" s="12" t="str">
        <f t="shared" si="6"/>
        <v/>
      </c>
      <c r="D174" s="12" t="str">
        <f t="shared" si="8"/>
        <v/>
      </c>
    </row>
    <row r="175" spans="1:4" x14ac:dyDescent="0.2">
      <c r="A175" t="str">
        <f t="shared" si="7"/>
        <v/>
      </c>
      <c r="B175" s="12" t="str">
        <f>IF('Import OpenCPN'!AC176="","",'Import OpenCPN'!AC176)</f>
        <v/>
      </c>
      <c r="C175" s="12" t="str">
        <f t="shared" si="6"/>
        <v/>
      </c>
      <c r="D175" s="12" t="str">
        <f t="shared" si="8"/>
        <v/>
      </c>
    </row>
    <row r="176" spans="1:4" x14ac:dyDescent="0.2">
      <c r="A176" t="str">
        <f t="shared" si="7"/>
        <v/>
      </c>
      <c r="B176" s="12" t="str">
        <f>IF('Import OpenCPN'!AC177="","",'Import OpenCPN'!AC177)</f>
        <v/>
      </c>
      <c r="C176" s="12" t="str">
        <f t="shared" si="6"/>
        <v/>
      </c>
      <c r="D176" s="12" t="str">
        <f t="shared" si="8"/>
        <v/>
      </c>
    </row>
    <row r="177" spans="1:4" x14ac:dyDescent="0.2">
      <c r="A177" t="str">
        <f t="shared" si="7"/>
        <v/>
      </c>
      <c r="B177" s="12" t="str">
        <f>IF('Import OpenCPN'!AC178="","",'Import OpenCPN'!AC178)</f>
        <v/>
      </c>
      <c r="C177" s="12" t="str">
        <f t="shared" si="6"/>
        <v/>
      </c>
      <c r="D177" s="12" t="str">
        <f t="shared" si="8"/>
        <v/>
      </c>
    </row>
    <row r="178" spans="1:4" x14ac:dyDescent="0.2">
      <c r="A178" t="str">
        <f t="shared" si="7"/>
        <v/>
      </c>
      <c r="B178" s="12" t="str">
        <f>IF('Import OpenCPN'!AC179="","",'Import OpenCPN'!AC179)</f>
        <v/>
      </c>
      <c r="C178" s="12" t="str">
        <f t="shared" si="6"/>
        <v/>
      </c>
      <c r="D178" s="12" t="str">
        <f t="shared" si="8"/>
        <v/>
      </c>
    </row>
    <row r="179" spans="1:4" x14ac:dyDescent="0.2">
      <c r="A179" t="str">
        <f t="shared" si="7"/>
        <v/>
      </c>
      <c r="B179" s="12" t="str">
        <f>IF('Import OpenCPN'!AC180="","",'Import OpenCPN'!AC180)</f>
        <v/>
      </c>
      <c r="C179" s="12" t="str">
        <f t="shared" si="6"/>
        <v/>
      </c>
      <c r="D179" s="12" t="str">
        <f t="shared" si="8"/>
        <v/>
      </c>
    </row>
    <row r="180" spans="1:4" x14ac:dyDescent="0.2">
      <c r="A180" t="str">
        <f t="shared" si="7"/>
        <v/>
      </c>
      <c r="B180" s="12" t="str">
        <f>IF('Import OpenCPN'!AC181="","",'Import OpenCPN'!AC181)</f>
        <v/>
      </c>
      <c r="C180" s="12" t="str">
        <f t="shared" si="6"/>
        <v/>
      </c>
      <c r="D180" s="12" t="str">
        <f t="shared" si="8"/>
        <v/>
      </c>
    </row>
    <row r="181" spans="1:4" x14ac:dyDescent="0.2">
      <c r="A181" t="str">
        <f t="shared" si="7"/>
        <v/>
      </c>
      <c r="B181" s="12" t="str">
        <f>IF('Import OpenCPN'!AC182="","",'Import OpenCPN'!AC182)</f>
        <v/>
      </c>
      <c r="C181" s="12" t="str">
        <f t="shared" si="6"/>
        <v/>
      </c>
      <c r="D181" s="12" t="str">
        <f t="shared" si="8"/>
        <v/>
      </c>
    </row>
    <row r="182" spans="1:4" x14ac:dyDescent="0.2">
      <c r="A182" t="str">
        <f t="shared" si="7"/>
        <v/>
      </c>
      <c r="B182" s="12" t="str">
        <f>IF('Import OpenCPN'!AC183="","",'Import OpenCPN'!AC183)</f>
        <v/>
      </c>
      <c r="C182" s="12" t="str">
        <f t="shared" si="6"/>
        <v/>
      </c>
      <c r="D182" s="12" t="str">
        <f t="shared" si="8"/>
        <v/>
      </c>
    </row>
    <row r="183" spans="1:4" x14ac:dyDescent="0.2">
      <c r="A183" t="str">
        <f t="shared" si="7"/>
        <v/>
      </c>
      <c r="B183" s="12" t="str">
        <f>IF('Import OpenCPN'!AC184="","",'Import OpenCPN'!AC184)</f>
        <v/>
      </c>
      <c r="C183" s="12" t="str">
        <f t="shared" si="6"/>
        <v/>
      </c>
      <c r="D183" s="12" t="str">
        <f t="shared" si="8"/>
        <v/>
      </c>
    </row>
    <row r="184" spans="1:4" x14ac:dyDescent="0.2">
      <c r="A184" t="str">
        <f t="shared" si="7"/>
        <v/>
      </c>
      <c r="B184" s="12" t="str">
        <f>IF('Import OpenCPN'!AC185="","",'Import OpenCPN'!AC185)</f>
        <v/>
      </c>
      <c r="C184" s="12" t="str">
        <f t="shared" si="6"/>
        <v/>
      </c>
      <c r="D184" s="12" t="str">
        <f t="shared" si="8"/>
        <v/>
      </c>
    </row>
    <row r="185" spans="1:4" x14ac:dyDescent="0.2">
      <c r="A185" t="str">
        <f t="shared" si="7"/>
        <v/>
      </c>
      <c r="B185" s="12" t="str">
        <f>IF('Import OpenCPN'!AC186="","",'Import OpenCPN'!AC186)</f>
        <v/>
      </c>
      <c r="C185" s="12" t="str">
        <f t="shared" si="6"/>
        <v/>
      </c>
      <c r="D185" s="12" t="str">
        <f t="shared" si="8"/>
        <v/>
      </c>
    </row>
    <row r="186" spans="1:4" x14ac:dyDescent="0.2">
      <c r="A186" t="str">
        <f t="shared" si="7"/>
        <v/>
      </c>
      <c r="B186" s="12" t="str">
        <f>IF('Import OpenCPN'!AC187="","",'Import OpenCPN'!AC187)</f>
        <v/>
      </c>
      <c r="C186" s="12" t="str">
        <f t="shared" si="6"/>
        <v/>
      </c>
      <c r="D186" s="12" t="str">
        <f t="shared" si="8"/>
        <v/>
      </c>
    </row>
    <row r="187" spans="1:4" x14ac:dyDescent="0.2">
      <c r="A187" t="str">
        <f t="shared" si="7"/>
        <v/>
      </c>
      <c r="B187" s="12" t="str">
        <f>IF('Import OpenCPN'!AC188="","",'Import OpenCPN'!AC188)</f>
        <v/>
      </c>
      <c r="C187" s="12" t="str">
        <f t="shared" si="6"/>
        <v/>
      </c>
      <c r="D187" s="12" t="str">
        <f t="shared" si="8"/>
        <v/>
      </c>
    </row>
    <row r="188" spans="1:4" x14ac:dyDescent="0.2">
      <c r="A188" t="str">
        <f t="shared" si="7"/>
        <v/>
      </c>
      <c r="B188" s="12" t="str">
        <f>IF('Import OpenCPN'!AC189="","",'Import OpenCPN'!AC189)</f>
        <v/>
      </c>
      <c r="C188" s="12" t="str">
        <f t="shared" si="6"/>
        <v/>
      </c>
      <c r="D188" s="12" t="str">
        <f t="shared" si="8"/>
        <v/>
      </c>
    </row>
    <row r="189" spans="1:4" x14ac:dyDescent="0.2">
      <c r="A189" t="str">
        <f t="shared" si="7"/>
        <v/>
      </c>
      <c r="B189" s="12" t="str">
        <f>IF('Import OpenCPN'!AC190="","",'Import OpenCPN'!AC190)</f>
        <v/>
      </c>
      <c r="C189" s="12" t="str">
        <f t="shared" si="6"/>
        <v/>
      </c>
      <c r="D189" s="12" t="str">
        <f t="shared" si="8"/>
        <v/>
      </c>
    </row>
    <row r="190" spans="1:4" x14ac:dyDescent="0.2">
      <c r="A190" t="str">
        <f t="shared" si="7"/>
        <v/>
      </c>
      <c r="B190" s="12" t="str">
        <f>IF('Import OpenCPN'!AC191="","",'Import OpenCPN'!AC191)</f>
        <v/>
      </c>
      <c r="C190" s="12" t="str">
        <f t="shared" si="6"/>
        <v/>
      </c>
      <c r="D190" s="12" t="str">
        <f t="shared" si="8"/>
        <v/>
      </c>
    </row>
    <row r="191" spans="1:4" x14ac:dyDescent="0.2">
      <c r="A191" t="str">
        <f t="shared" si="7"/>
        <v/>
      </c>
      <c r="B191" s="12" t="str">
        <f>IF('Import OpenCPN'!AC192="","",'Import OpenCPN'!AC192)</f>
        <v/>
      </c>
      <c r="C191" s="12" t="str">
        <f t="shared" si="6"/>
        <v/>
      </c>
      <c r="D191" s="12" t="str">
        <f t="shared" si="8"/>
        <v/>
      </c>
    </row>
    <row r="192" spans="1:4" x14ac:dyDescent="0.2">
      <c r="A192" t="str">
        <f t="shared" si="7"/>
        <v/>
      </c>
      <c r="B192" s="12" t="str">
        <f>IF('Import OpenCPN'!AC193="","",'Import OpenCPN'!AC193)</f>
        <v/>
      </c>
      <c r="C192" s="12" t="str">
        <f t="shared" si="6"/>
        <v/>
      </c>
      <c r="D192" s="12" t="str">
        <f t="shared" si="8"/>
        <v/>
      </c>
    </row>
    <row r="193" spans="1:4" x14ac:dyDescent="0.2">
      <c r="A193" t="str">
        <f t="shared" si="7"/>
        <v/>
      </c>
      <c r="B193" s="12" t="str">
        <f>IF('Import OpenCPN'!AC194="","",'Import OpenCPN'!AC194)</f>
        <v/>
      </c>
      <c r="C193" s="12" t="str">
        <f t="shared" si="6"/>
        <v/>
      </c>
      <c r="D193" s="12" t="str">
        <f t="shared" si="8"/>
        <v/>
      </c>
    </row>
    <row r="194" spans="1:4" x14ac:dyDescent="0.2">
      <c r="A194" t="str">
        <f t="shared" si="7"/>
        <v/>
      </c>
      <c r="B194" s="12" t="str">
        <f>IF('Import OpenCPN'!AC195="","",'Import OpenCPN'!AC195)</f>
        <v/>
      </c>
      <c r="C194" s="12" t="str">
        <f t="shared" ref="C194:C257" si="9">IF(B194="","","q")</f>
        <v/>
      </c>
      <c r="D194" s="12" t="str">
        <f t="shared" si="8"/>
        <v/>
      </c>
    </row>
    <row r="195" spans="1:4" x14ac:dyDescent="0.2">
      <c r="A195" t="str">
        <f t="shared" ref="A195:A258" si="10">IF(B195="","",A194+1)</f>
        <v/>
      </c>
      <c r="B195" s="12" t="str">
        <f>IF('Import OpenCPN'!AC196="","",'Import OpenCPN'!AC196)</f>
        <v/>
      </c>
      <c r="C195" s="12" t="str">
        <f t="shared" si="9"/>
        <v/>
      </c>
      <c r="D195" s="12" t="str">
        <f t="shared" ref="D195:D258" si="11">IF(B195="","",1)</f>
        <v/>
      </c>
    </row>
    <row r="196" spans="1:4" x14ac:dyDescent="0.2">
      <c r="A196" t="str">
        <f t="shared" si="10"/>
        <v/>
      </c>
      <c r="B196" s="12" t="str">
        <f>IF('Import OpenCPN'!AC197="","",'Import OpenCPN'!AC197)</f>
        <v/>
      </c>
      <c r="C196" s="12" t="str">
        <f t="shared" si="9"/>
        <v/>
      </c>
      <c r="D196" s="12" t="str">
        <f t="shared" si="11"/>
        <v/>
      </c>
    </row>
    <row r="197" spans="1:4" x14ac:dyDescent="0.2">
      <c r="A197" t="str">
        <f t="shared" si="10"/>
        <v/>
      </c>
      <c r="B197" s="12" t="str">
        <f>IF('Import OpenCPN'!AC198="","",'Import OpenCPN'!AC198)</f>
        <v/>
      </c>
      <c r="C197" s="12" t="str">
        <f t="shared" si="9"/>
        <v/>
      </c>
      <c r="D197" s="12" t="str">
        <f t="shared" si="11"/>
        <v/>
      </c>
    </row>
    <row r="198" spans="1:4" x14ac:dyDescent="0.2">
      <c r="A198" t="str">
        <f t="shared" si="10"/>
        <v/>
      </c>
      <c r="B198" s="12" t="str">
        <f>IF('Import OpenCPN'!AC199="","",'Import OpenCPN'!AC199)</f>
        <v/>
      </c>
      <c r="C198" s="12" t="str">
        <f t="shared" si="9"/>
        <v/>
      </c>
      <c r="D198" s="12" t="str">
        <f t="shared" si="11"/>
        <v/>
      </c>
    </row>
    <row r="199" spans="1:4" x14ac:dyDescent="0.2">
      <c r="A199" t="str">
        <f t="shared" si="10"/>
        <v/>
      </c>
      <c r="B199" s="12" t="str">
        <f>IF('Import OpenCPN'!AC200="","",'Import OpenCPN'!AC200)</f>
        <v/>
      </c>
      <c r="C199" s="12" t="str">
        <f t="shared" si="9"/>
        <v/>
      </c>
      <c r="D199" s="12" t="str">
        <f t="shared" si="11"/>
        <v/>
      </c>
    </row>
    <row r="200" spans="1:4" x14ac:dyDescent="0.2">
      <c r="A200" t="str">
        <f t="shared" si="10"/>
        <v/>
      </c>
      <c r="B200" s="12" t="str">
        <f>IF('Import OpenCPN'!AC201="","",'Import OpenCPN'!AC201)</f>
        <v/>
      </c>
      <c r="C200" s="12" t="str">
        <f t="shared" si="9"/>
        <v/>
      </c>
      <c r="D200" s="12" t="str">
        <f t="shared" si="11"/>
        <v/>
      </c>
    </row>
    <row r="201" spans="1:4" x14ac:dyDescent="0.2">
      <c r="A201" t="str">
        <f t="shared" si="10"/>
        <v/>
      </c>
      <c r="B201" s="12" t="str">
        <f>IF('Import OpenCPN'!AC202="","",'Import OpenCPN'!AC202)</f>
        <v/>
      </c>
      <c r="C201" s="12" t="str">
        <f t="shared" si="9"/>
        <v/>
      </c>
      <c r="D201" s="12" t="str">
        <f t="shared" si="11"/>
        <v/>
      </c>
    </row>
    <row r="202" spans="1:4" x14ac:dyDescent="0.2">
      <c r="A202" t="str">
        <f t="shared" si="10"/>
        <v/>
      </c>
      <c r="B202" s="12" t="str">
        <f>IF('Import OpenCPN'!AC203="","",'Import OpenCPN'!AC203)</f>
        <v/>
      </c>
      <c r="C202" s="12" t="str">
        <f t="shared" si="9"/>
        <v/>
      </c>
      <c r="D202" s="12" t="str">
        <f t="shared" si="11"/>
        <v/>
      </c>
    </row>
    <row r="203" spans="1:4" x14ac:dyDescent="0.2">
      <c r="A203" t="str">
        <f t="shared" si="10"/>
        <v/>
      </c>
      <c r="B203" s="12" t="str">
        <f>IF('Import OpenCPN'!AC204="","",'Import OpenCPN'!AC204)</f>
        <v/>
      </c>
      <c r="C203" s="12" t="str">
        <f t="shared" si="9"/>
        <v/>
      </c>
      <c r="D203" s="12" t="str">
        <f t="shared" si="11"/>
        <v/>
      </c>
    </row>
    <row r="204" spans="1:4" x14ac:dyDescent="0.2">
      <c r="A204" t="str">
        <f t="shared" si="10"/>
        <v/>
      </c>
      <c r="B204" s="12" t="str">
        <f>IF('Import OpenCPN'!AC205="","",'Import OpenCPN'!AC205)</f>
        <v/>
      </c>
      <c r="C204" s="12" t="str">
        <f t="shared" si="9"/>
        <v/>
      </c>
      <c r="D204" s="12" t="str">
        <f t="shared" si="11"/>
        <v/>
      </c>
    </row>
    <row r="205" spans="1:4" x14ac:dyDescent="0.2">
      <c r="A205" t="str">
        <f t="shared" si="10"/>
        <v/>
      </c>
      <c r="B205" s="12" t="str">
        <f>IF('Import OpenCPN'!AC206="","",'Import OpenCPN'!AC206)</f>
        <v/>
      </c>
      <c r="C205" s="12" t="str">
        <f t="shared" si="9"/>
        <v/>
      </c>
      <c r="D205" s="12" t="str">
        <f t="shared" si="11"/>
        <v/>
      </c>
    </row>
    <row r="206" spans="1:4" x14ac:dyDescent="0.2">
      <c r="A206" t="str">
        <f t="shared" si="10"/>
        <v/>
      </c>
      <c r="B206" s="12" t="str">
        <f>IF('Import OpenCPN'!AC207="","",'Import OpenCPN'!AC207)</f>
        <v/>
      </c>
      <c r="C206" s="12" t="str">
        <f t="shared" si="9"/>
        <v/>
      </c>
      <c r="D206" s="12" t="str">
        <f t="shared" si="11"/>
        <v/>
      </c>
    </row>
    <row r="207" spans="1:4" x14ac:dyDescent="0.2">
      <c r="A207" t="str">
        <f t="shared" si="10"/>
        <v/>
      </c>
      <c r="B207" s="12" t="str">
        <f>IF('Import OpenCPN'!AC208="","",'Import OpenCPN'!AC208)</f>
        <v/>
      </c>
      <c r="C207" s="12" t="str">
        <f t="shared" si="9"/>
        <v/>
      </c>
      <c r="D207" s="12" t="str">
        <f t="shared" si="11"/>
        <v/>
      </c>
    </row>
    <row r="208" spans="1:4" x14ac:dyDescent="0.2">
      <c r="A208" t="str">
        <f t="shared" si="10"/>
        <v/>
      </c>
      <c r="B208" s="12" t="str">
        <f>IF('Import OpenCPN'!AC209="","",'Import OpenCPN'!AC209)</f>
        <v/>
      </c>
      <c r="C208" s="12" t="str">
        <f t="shared" si="9"/>
        <v/>
      </c>
      <c r="D208" s="12" t="str">
        <f t="shared" si="11"/>
        <v/>
      </c>
    </row>
    <row r="209" spans="1:4" x14ac:dyDescent="0.2">
      <c r="A209" t="str">
        <f t="shared" si="10"/>
        <v/>
      </c>
      <c r="B209" s="12" t="str">
        <f>IF('Import OpenCPN'!AC210="","",'Import OpenCPN'!AC210)</f>
        <v/>
      </c>
      <c r="C209" s="12" t="str">
        <f t="shared" si="9"/>
        <v/>
      </c>
      <c r="D209" s="12" t="str">
        <f t="shared" si="11"/>
        <v/>
      </c>
    </row>
    <row r="210" spans="1:4" x14ac:dyDescent="0.2">
      <c r="A210" t="str">
        <f t="shared" si="10"/>
        <v/>
      </c>
      <c r="B210" s="12" t="str">
        <f>IF('Import OpenCPN'!AC211="","",'Import OpenCPN'!AC211)</f>
        <v/>
      </c>
      <c r="C210" s="12" t="str">
        <f t="shared" si="9"/>
        <v/>
      </c>
      <c r="D210" s="12" t="str">
        <f t="shared" si="11"/>
        <v/>
      </c>
    </row>
    <row r="211" spans="1:4" x14ac:dyDescent="0.2">
      <c r="A211" t="str">
        <f t="shared" si="10"/>
        <v/>
      </c>
      <c r="B211" s="12" t="str">
        <f>IF('Import OpenCPN'!AC212="","",'Import OpenCPN'!AC212)</f>
        <v/>
      </c>
      <c r="C211" s="12" t="str">
        <f t="shared" si="9"/>
        <v/>
      </c>
      <c r="D211" s="12" t="str">
        <f t="shared" si="11"/>
        <v/>
      </c>
    </row>
    <row r="212" spans="1:4" x14ac:dyDescent="0.2">
      <c r="A212" t="str">
        <f t="shared" si="10"/>
        <v/>
      </c>
      <c r="B212" s="12" t="str">
        <f>IF('Import OpenCPN'!AC213="","",'Import OpenCPN'!AC213)</f>
        <v/>
      </c>
      <c r="C212" s="12" t="str">
        <f t="shared" si="9"/>
        <v/>
      </c>
      <c r="D212" s="12" t="str">
        <f t="shared" si="11"/>
        <v/>
      </c>
    </row>
    <row r="213" spans="1:4" x14ac:dyDescent="0.2">
      <c r="A213" t="str">
        <f t="shared" si="10"/>
        <v/>
      </c>
      <c r="B213" s="12" t="str">
        <f>IF('Import OpenCPN'!AC214="","",'Import OpenCPN'!AC214)</f>
        <v/>
      </c>
      <c r="C213" s="12" t="str">
        <f t="shared" si="9"/>
        <v/>
      </c>
      <c r="D213" s="12" t="str">
        <f t="shared" si="11"/>
        <v/>
      </c>
    </row>
    <row r="214" spans="1:4" x14ac:dyDescent="0.2">
      <c r="A214" t="str">
        <f t="shared" si="10"/>
        <v/>
      </c>
      <c r="B214" s="12" t="str">
        <f>IF('Import OpenCPN'!AC215="","",'Import OpenCPN'!AC215)</f>
        <v/>
      </c>
      <c r="C214" s="12" t="str">
        <f t="shared" si="9"/>
        <v/>
      </c>
      <c r="D214" s="12" t="str">
        <f t="shared" si="11"/>
        <v/>
      </c>
    </row>
    <row r="215" spans="1:4" x14ac:dyDescent="0.2">
      <c r="A215" t="str">
        <f t="shared" si="10"/>
        <v/>
      </c>
      <c r="B215" s="12" t="str">
        <f>IF('Import OpenCPN'!AC216="","",'Import OpenCPN'!AC216)</f>
        <v/>
      </c>
      <c r="C215" s="12" t="str">
        <f t="shared" si="9"/>
        <v/>
      </c>
      <c r="D215" s="12" t="str">
        <f t="shared" si="11"/>
        <v/>
      </c>
    </row>
    <row r="216" spans="1:4" x14ac:dyDescent="0.2">
      <c r="A216" t="str">
        <f t="shared" si="10"/>
        <v/>
      </c>
      <c r="B216" s="12" t="str">
        <f>IF('Import OpenCPN'!AC217="","",'Import OpenCPN'!AC217)</f>
        <v/>
      </c>
      <c r="C216" s="12" t="str">
        <f t="shared" si="9"/>
        <v/>
      </c>
      <c r="D216" s="12" t="str">
        <f t="shared" si="11"/>
        <v/>
      </c>
    </row>
    <row r="217" spans="1:4" x14ac:dyDescent="0.2">
      <c r="A217" t="str">
        <f t="shared" si="10"/>
        <v/>
      </c>
      <c r="B217" s="12" t="str">
        <f>IF('Import OpenCPN'!AC218="","",'Import OpenCPN'!AC218)</f>
        <v/>
      </c>
      <c r="C217" s="12" t="str">
        <f t="shared" si="9"/>
        <v/>
      </c>
      <c r="D217" s="12" t="str">
        <f t="shared" si="11"/>
        <v/>
      </c>
    </row>
    <row r="218" spans="1:4" x14ac:dyDescent="0.2">
      <c r="A218" t="str">
        <f t="shared" si="10"/>
        <v/>
      </c>
      <c r="B218" s="12" t="str">
        <f>IF('Import OpenCPN'!AC219="","",'Import OpenCPN'!AC219)</f>
        <v/>
      </c>
      <c r="C218" s="12" t="str">
        <f t="shared" si="9"/>
        <v/>
      </c>
      <c r="D218" s="12" t="str">
        <f t="shared" si="11"/>
        <v/>
      </c>
    </row>
    <row r="219" spans="1:4" x14ac:dyDescent="0.2">
      <c r="A219" t="str">
        <f t="shared" si="10"/>
        <v/>
      </c>
      <c r="B219" s="12" t="str">
        <f>IF('Import OpenCPN'!AC220="","",'Import OpenCPN'!AC220)</f>
        <v/>
      </c>
      <c r="C219" s="12" t="str">
        <f t="shared" si="9"/>
        <v/>
      </c>
      <c r="D219" s="12" t="str">
        <f t="shared" si="11"/>
        <v/>
      </c>
    </row>
    <row r="220" spans="1:4" x14ac:dyDescent="0.2">
      <c r="A220" t="str">
        <f t="shared" si="10"/>
        <v/>
      </c>
      <c r="B220" s="12" t="str">
        <f>IF('Import OpenCPN'!AC221="","",'Import OpenCPN'!AC221)</f>
        <v/>
      </c>
      <c r="C220" s="12" t="str">
        <f t="shared" si="9"/>
        <v/>
      </c>
      <c r="D220" s="12" t="str">
        <f t="shared" si="11"/>
        <v/>
      </c>
    </row>
    <row r="221" spans="1:4" x14ac:dyDescent="0.2">
      <c r="A221" t="str">
        <f t="shared" si="10"/>
        <v/>
      </c>
      <c r="B221" s="12" t="str">
        <f>IF('Import OpenCPN'!AC222="","",'Import OpenCPN'!AC222)</f>
        <v/>
      </c>
      <c r="C221" s="12" t="str">
        <f t="shared" si="9"/>
        <v/>
      </c>
      <c r="D221" s="12" t="str">
        <f t="shared" si="11"/>
        <v/>
      </c>
    </row>
    <row r="222" spans="1:4" x14ac:dyDescent="0.2">
      <c r="A222" t="str">
        <f t="shared" si="10"/>
        <v/>
      </c>
      <c r="B222" s="12" t="str">
        <f>IF('Import OpenCPN'!AC223="","",'Import OpenCPN'!AC223)</f>
        <v/>
      </c>
      <c r="C222" s="12" t="str">
        <f t="shared" si="9"/>
        <v/>
      </c>
      <c r="D222" s="12" t="str">
        <f t="shared" si="11"/>
        <v/>
      </c>
    </row>
    <row r="223" spans="1:4" x14ac:dyDescent="0.2">
      <c r="A223" t="str">
        <f t="shared" si="10"/>
        <v/>
      </c>
      <c r="B223" s="12" t="str">
        <f>IF('Import OpenCPN'!AC224="","",'Import OpenCPN'!AC224)</f>
        <v/>
      </c>
      <c r="C223" s="12" t="str">
        <f t="shared" si="9"/>
        <v/>
      </c>
      <c r="D223" s="12" t="str">
        <f t="shared" si="11"/>
        <v/>
      </c>
    </row>
    <row r="224" spans="1:4" x14ac:dyDescent="0.2">
      <c r="A224" t="str">
        <f t="shared" si="10"/>
        <v/>
      </c>
      <c r="B224" s="12" t="str">
        <f>IF('Import OpenCPN'!AC225="","",'Import OpenCPN'!AC225)</f>
        <v/>
      </c>
      <c r="C224" s="12" t="str">
        <f t="shared" si="9"/>
        <v/>
      </c>
      <c r="D224" s="12" t="str">
        <f t="shared" si="11"/>
        <v/>
      </c>
    </row>
    <row r="225" spans="1:4" x14ac:dyDescent="0.2">
      <c r="A225" t="str">
        <f t="shared" si="10"/>
        <v/>
      </c>
      <c r="B225" s="12" t="str">
        <f>IF('Import OpenCPN'!AC226="","",'Import OpenCPN'!AC226)</f>
        <v/>
      </c>
      <c r="C225" s="12" t="str">
        <f t="shared" si="9"/>
        <v/>
      </c>
      <c r="D225" s="12" t="str">
        <f t="shared" si="11"/>
        <v/>
      </c>
    </row>
    <row r="226" spans="1:4" x14ac:dyDescent="0.2">
      <c r="A226" t="str">
        <f t="shared" si="10"/>
        <v/>
      </c>
      <c r="B226" s="12" t="str">
        <f>IF('Import OpenCPN'!AC227="","",'Import OpenCPN'!AC227)</f>
        <v/>
      </c>
      <c r="C226" s="12" t="str">
        <f t="shared" si="9"/>
        <v/>
      </c>
      <c r="D226" s="12" t="str">
        <f t="shared" si="11"/>
        <v/>
      </c>
    </row>
    <row r="227" spans="1:4" x14ac:dyDescent="0.2">
      <c r="A227" t="str">
        <f t="shared" si="10"/>
        <v/>
      </c>
      <c r="B227" s="12" t="str">
        <f>IF('Import OpenCPN'!AC228="","",'Import OpenCPN'!AC228)</f>
        <v/>
      </c>
      <c r="C227" s="12" t="str">
        <f t="shared" si="9"/>
        <v/>
      </c>
      <c r="D227" s="12" t="str">
        <f t="shared" si="11"/>
        <v/>
      </c>
    </row>
    <row r="228" spans="1:4" x14ac:dyDescent="0.2">
      <c r="A228" t="str">
        <f t="shared" si="10"/>
        <v/>
      </c>
      <c r="B228" s="12" t="str">
        <f>IF('Import OpenCPN'!AC229="","",'Import OpenCPN'!AC229)</f>
        <v/>
      </c>
      <c r="C228" s="12" t="str">
        <f t="shared" si="9"/>
        <v/>
      </c>
      <c r="D228" s="12" t="str">
        <f t="shared" si="11"/>
        <v/>
      </c>
    </row>
    <row r="229" spans="1:4" x14ac:dyDescent="0.2">
      <c r="A229" t="str">
        <f t="shared" si="10"/>
        <v/>
      </c>
      <c r="B229" s="12" t="str">
        <f>IF('Import OpenCPN'!AC230="","",'Import OpenCPN'!AC230)</f>
        <v/>
      </c>
      <c r="C229" s="12" t="str">
        <f t="shared" si="9"/>
        <v/>
      </c>
      <c r="D229" s="12" t="str">
        <f t="shared" si="11"/>
        <v/>
      </c>
    </row>
    <row r="230" spans="1:4" x14ac:dyDescent="0.2">
      <c r="A230" t="str">
        <f t="shared" si="10"/>
        <v/>
      </c>
      <c r="B230" s="12" t="str">
        <f>IF('Import OpenCPN'!AC231="","",'Import OpenCPN'!AC231)</f>
        <v/>
      </c>
      <c r="C230" s="12" t="str">
        <f t="shared" si="9"/>
        <v/>
      </c>
      <c r="D230" s="12" t="str">
        <f t="shared" si="11"/>
        <v/>
      </c>
    </row>
    <row r="231" spans="1:4" x14ac:dyDescent="0.2">
      <c r="A231" t="str">
        <f t="shared" si="10"/>
        <v/>
      </c>
      <c r="B231" s="12" t="str">
        <f>IF('Import OpenCPN'!AC232="","",'Import OpenCPN'!AC232)</f>
        <v/>
      </c>
      <c r="C231" s="12" t="str">
        <f t="shared" si="9"/>
        <v/>
      </c>
      <c r="D231" s="12" t="str">
        <f t="shared" si="11"/>
        <v/>
      </c>
    </row>
    <row r="232" spans="1:4" x14ac:dyDescent="0.2">
      <c r="A232" t="str">
        <f t="shared" si="10"/>
        <v/>
      </c>
      <c r="B232" s="12" t="str">
        <f>IF('Import OpenCPN'!AC233="","",'Import OpenCPN'!AC233)</f>
        <v/>
      </c>
      <c r="C232" s="12" t="str">
        <f t="shared" si="9"/>
        <v/>
      </c>
      <c r="D232" s="12" t="str">
        <f t="shared" si="11"/>
        <v/>
      </c>
    </row>
    <row r="233" spans="1:4" x14ac:dyDescent="0.2">
      <c r="A233" t="str">
        <f t="shared" si="10"/>
        <v/>
      </c>
      <c r="B233" s="12" t="str">
        <f>IF('Import OpenCPN'!AC234="","",'Import OpenCPN'!AC234)</f>
        <v/>
      </c>
      <c r="C233" s="12" t="str">
        <f t="shared" si="9"/>
        <v/>
      </c>
      <c r="D233" s="12" t="str">
        <f t="shared" si="11"/>
        <v/>
      </c>
    </row>
    <row r="234" spans="1:4" x14ac:dyDescent="0.2">
      <c r="A234" t="str">
        <f t="shared" si="10"/>
        <v/>
      </c>
      <c r="B234" s="12" t="str">
        <f>IF('Import OpenCPN'!AC235="","",'Import OpenCPN'!AC235)</f>
        <v/>
      </c>
      <c r="C234" s="12" t="str">
        <f t="shared" si="9"/>
        <v/>
      </c>
      <c r="D234" s="12" t="str">
        <f t="shared" si="11"/>
        <v/>
      </c>
    </row>
    <row r="235" spans="1:4" x14ac:dyDescent="0.2">
      <c r="A235" t="str">
        <f t="shared" si="10"/>
        <v/>
      </c>
      <c r="B235" s="12" t="str">
        <f>IF('Import OpenCPN'!AC236="","",'Import OpenCPN'!AC236)</f>
        <v/>
      </c>
      <c r="C235" s="12" t="str">
        <f t="shared" si="9"/>
        <v/>
      </c>
      <c r="D235" s="12" t="str">
        <f t="shared" si="11"/>
        <v/>
      </c>
    </row>
    <row r="236" spans="1:4" x14ac:dyDescent="0.2">
      <c r="A236" t="str">
        <f t="shared" si="10"/>
        <v/>
      </c>
      <c r="B236" s="12" t="str">
        <f>IF('Import OpenCPN'!AC237="","",'Import OpenCPN'!AC237)</f>
        <v/>
      </c>
      <c r="C236" s="12" t="str">
        <f t="shared" si="9"/>
        <v/>
      </c>
      <c r="D236" s="12" t="str">
        <f t="shared" si="11"/>
        <v/>
      </c>
    </row>
    <row r="237" spans="1:4" x14ac:dyDescent="0.2">
      <c r="A237" t="str">
        <f t="shared" si="10"/>
        <v/>
      </c>
      <c r="B237" s="12" t="str">
        <f>IF('Import OpenCPN'!AC238="","",'Import OpenCPN'!AC238)</f>
        <v/>
      </c>
      <c r="C237" s="12" t="str">
        <f t="shared" si="9"/>
        <v/>
      </c>
      <c r="D237" s="12" t="str">
        <f t="shared" si="11"/>
        <v/>
      </c>
    </row>
    <row r="238" spans="1:4" x14ac:dyDescent="0.2">
      <c r="A238" t="str">
        <f t="shared" si="10"/>
        <v/>
      </c>
      <c r="B238" s="12" t="str">
        <f>IF('Import OpenCPN'!AC239="","",'Import OpenCPN'!AC239)</f>
        <v/>
      </c>
      <c r="C238" s="12" t="str">
        <f t="shared" si="9"/>
        <v/>
      </c>
      <c r="D238" s="12" t="str">
        <f t="shared" si="11"/>
        <v/>
      </c>
    </row>
    <row r="239" spans="1:4" x14ac:dyDescent="0.2">
      <c r="A239" t="str">
        <f t="shared" si="10"/>
        <v/>
      </c>
      <c r="B239" s="12" t="str">
        <f>IF('Import OpenCPN'!AC240="","",'Import OpenCPN'!AC240)</f>
        <v/>
      </c>
      <c r="C239" s="12" t="str">
        <f t="shared" si="9"/>
        <v/>
      </c>
      <c r="D239" s="12" t="str">
        <f t="shared" si="11"/>
        <v/>
      </c>
    </row>
    <row r="240" spans="1:4" x14ac:dyDescent="0.2">
      <c r="A240" t="str">
        <f t="shared" si="10"/>
        <v/>
      </c>
      <c r="B240" s="12" t="str">
        <f>IF('Import OpenCPN'!AC241="","",'Import OpenCPN'!AC241)</f>
        <v/>
      </c>
      <c r="C240" s="12" t="str">
        <f t="shared" si="9"/>
        <v/>
      </c>
      <c r="D240" s="12" t="str">
        <f t="shared" si="11"/>
        <v/>
      </c>
    </row>
    <row r="241" spans="1:4" x14ac:dyDescent="0.2">
      <c r="A241" t="str">
        <f t="shared" si="10"/>
        <v/>
      </c>
      <c r="B241" s="12" t="str">
        <f>IF('Import OpenCPN'!AC242="","",'Import OpenCPN'!AC242)</f>
        <v/>
      </c>
      <c r="C241" s="12" t="str">
        <f t="shared" si="9"/>
        <v/>
      </c>
      <c r="D241" s="12" t="str">
        <f t="shared" si="11"/>
        <v/>
      </c>
    </row>
    <row r="242" spans="1:4" x14ac:dyDescent="0.2">
      <c r="A242" t="str">
        <f t="shared" si="10"/>
        <v/>
      </c>
      <c r="B242" s="12" t="str">
        <f>IF('Import OpenCPN'!AC243="","",'Import OpenCPN'!AC243)</f>
        <v/>
      </c>
      <c r="C242" s="12" t="str">
        <f t="shared" si="9"/>
        <v/>
      </c>
      <c r="D242" s="12" t="str">
        <f t="shared" si="11"/>
        <v/>
      </c>
    </row>
    <row r="243" spans="1:4" x14ac:dyDescent="0.2">
      <c r="A243" t="str">
        <f t="shared" si="10"/>
        <v/>
      </c>
      <c r="B243" s="12" t="str">
        <f>IF('Import OpenCPN'!AC244="","",'Import OpenCPN'!AC244)</f>
        <v/>
      </c>
      <c r="C243" s="12" t="str">
        <f t="shared" si="9"/>
        <v/>
      </c>
      <c r="D243" s="12" t="str">
        <f t="shared" si="11"/>
        <v/>
      </c>
    </row>
    <row r="244" spans="1:4" x14ac:dyDescent="0.2">
      <c r="A244" t="str">
        <f t="shared" si="10"/>
        <v/>
      </c>
      <c r="B244" s="12" t="str">
        <f>IF('Import OpenCPN'!AC245="","",'Import OpenCPN'!AC245)</f>
        <v/>
      </c>
      <c r="C244" s="12" t="str">
        <f t="shared" si="9"/>
        <v/>
      </c>
      <c r="D244" s="12" t="str">
        <f t="shared" si="11"/>
        <v/>
      </c>
    </row>
    <row r="245" spans="1:4" x14ac:dyDescent="0.2">
      <c r="A245" t="str">
        <f t="shared" si="10"/>
        <v/>
      </c>
      <c r="B245" s="12" t="str">
        <f>IF('Import OpenCPN'!AC246="","",'Import OpenCPN'!AC246)</f>
        <v/>
      </c>
      <c r="C245" s="12" t="str">
        <f t="shared" si="9"/>
        <v/>
      </c>
      <c r="D245" s="12" t="str">
        <f t="shared" si="11"/>
        <v/>
      </c>
    </row>
    <row r="246" spans="1:4" x14ac:dyDescent="0.2">
      <c r="A246" t="str">
        <f t="shared" si="10"/>
        <v/>
      </c>
      <c r="B246" s="12" t="str">
        <f>IF('Import OpenCPN'!AC247="","",'Import OpenCPN'!AC247)</f>
        <v/>
      </c>
      <c r="C246" s="12" t="str">
        <f t="shared" si="9"/>
        <v/>
      </c>
      <c r="D246" s="12" t="str">
        <f t="shared" si="11"/>
        <v/>
      </c>
    </row>
    <row r="247" spans="1:4" x14ac:dyDescent="0.2">
      <c r="A247" t="str">
        <f t="shared" si="10"/>
        <v/>
      </c>
      <c r="B247" s="12" t="str">
        <f>IF('Import OpenCPN'!AC248="","",'Import OpenCPN'!AC248)</f>
        <v/>
      </c>
      <c r="C247" s="12" t="str">
        <f t="shared" si="9"/>
        <v/>
      </c>
      <c r="D247" s="12" t="str">
        <f t="shared" si="11"/>
        <v/>
      </c>
    </row>
    <row r="248" spans="1:4" x14ac:dyDescent="0.2">
      <c r="A248" t="str">
        <f t="shared" si="10"/>
        <v/>
      </c>
      <c r="B248" s="12" t="str">
        <f>IF('Import OpenCPN'!AC249="","",'Import OpenCPN'!AC249)</f>
        <v/>
      </c>
      <c r="C248" s="12" t="str">
        <f t="shared" si="9"/>
        <v/>
      </c>
      <c r="D248" s="12" t="str">
        <f t="shared" si="11"/>
        <v/>
      </c>
    </row>
    <row r="249" spans="1:4" x14ac:dyDescent="0.2">
      <c r="A249" t="str">
        <f t="shared" si="10"/>
        <v/>
      </c>
      <c r="B249" s="12" t="str">
        <f>IF('Import OpenCPN'!AC250="","",'Import OpenCPN'!AC250)</f>
        <v/>
      </c>
      <c r="C249" s="12" t="str">
        <f t="shared" si="9"/>
        <v/>
      </c>
      <c r="D249" s="12" t="str">
        <f t="shared" si="11"/>
        <v/>
      </c>
    </row>
    <row r="250" spans="1:4" x14ac:dyDescent="0.2">
      <c r="A250" t="str">
        <f t="shared" si="10"/>
        <v/>
      </c>
      <c r="B250" s="12" t="str">
        <f>IF('Import OpenCPN'!AC251="","",'Import OpenCPN'!AC251)</f>
        <v/>
      </c>
      <c r="C250" s="12" t="str">
        <f t="shared" si="9"/>
        <v/>
      </c>
      <c r="D250" s="12" t="str">
        <f t="shared" si="11"/>
        <v/>
      </c>
    </row>
    <row r="251" spans="1:4" x14ac:dyDescent="0.2">
      <c r="A251" t="str">
        <f t="shared" si="10"/>
        <v/>
      </c>
      <c r="B251" s="12" t="str">
        <f>IF('Import OpenCPN'!AC252="","",'Import OpenCPN'!AC252)</f>
        <v/>
      </c>
      <c r="C251" s="12" t="str">
        <f t="shared" si="9"/>
        <v/>
      </c>
      <c r="D251" s="12" t="str">
        <f t="shared" si="11"/>
        <v/>
      </c>
    </row>
    <row r="252" spans="1:4" x14ac:dyDescent="0.2">
      <c r="A252" t="str">
        <f t="shared" si="10"/>
        <v/>
      </c>
      <c r="B252" s="12" t="str">
        <f>IF('Import OpenCPN'!AC253="","",'Import OpenCPN'!AC253)</f>
        <v/>
      </c>
      <c r="C252" s="12" t="str">
        <f t="shared" si="9"/>
        <v/>
      </c>
      <c r="D252" s="12" t="str">
        <f t="shared" si="11"/>
        <v/>
      </c>
    </row>
    <row r="253" spans="1:4" x14ac:dyDescent="0.2">
      <c r="A253" t="str">
        <f t="shared" si="10"/>
        <v/>
      </c>
      <c r="B253" s="12" t="str">
        <f>IF('Import OpenCPN'!AC254="","",'Import OpenCPN'!AC254)</f>
        <v/>
      </c>
      <c r="C253" s="12" t="str">
        <f t="shared" si="9"/>
        <v/>
      </c>
      <c r="D253" s="12" t="str">
        <f t="shared" si="11"/>
        <v/>
      </c>
    </row>
    <row r="254" spans="1:4" x14ac:dyDescent="0.2">
      <c r="A254" t="str">
        <f t="shared" si="10"/>
        <v/>
      </c>
      <c r="B254" s="12" t="str">
        <f>IF('Import OpenCPN'!AC255="","",'Import OpenCPN'!AC255)</f>
        <v/>
      </c>
      <c r="C254" s="12" t="str">
        <f t="shared" si="9"/>
        <v/>
      </c>
      <c r="D254" s="12" t="str">
        <f t="shared" si="11"/>
        <v/>
      </c>
    </row>
    <row r="255" spans="1:4" x14ac:dyDescent="0.2">
      <c r="A255" t="str">
        <f t="shared" si="10"/>
        <v/>
      </c>
      <c r="B255" s="12" t="str">
        <f>IF('Import OpenCPN'!AC256="","",'Import OpenCPN'!AC256)</f>
        <v/>
      </c>
      <c r="C255" s="12" t="str">
        <f t="shared" si="9"/>
        <v/>
      </c>
      <c r="D255" s="12" t="str">
        <f t="shared" si="11"/>
        <v/>
      </c>
    </row>
    <row r="256" spans="1:4" x14ac:dyDescent="0.2">
      <c r="A256" t="str">
        <f t="shared" si="10"/>
        <v/>
      </c>
      <c r="B256" s="12" t="str">
        <f>IF('Import OpenCPN'!AC257="","",'Import OpenCPN'!AC257)</f>
        <v/>
      </c>
      <c r="C256" s="12" t="str">
        <f t="shared" si="9"/>
        <v/>
      </c>
      <c r="D256" s="12" t="str">
        <f t="shared" si="11"/>
        <v/>
      </c>
    </row>
    <row r="257" spans="1:4" x14ac:dyDescent="0.2">
      <c r="A257" t="str">
        <f t="shared" si="10"/>
        <v/>
      </c>
      <c r="B257" s="12" t="str">
        <f>IF('Import OpenCPN'!AC258="","",'Import OpenCPN'!AC258)</f>
        <v/>
      </c>
      <c r="C257" s="12" t="str">
        <f t="shared" si="9"/>
        <v/>
      </c>
      <c r="D257" s="12" t="str">
        <f t="shared" si="11"/>
        <v/>
      </c>
    </row>
    <row r="258" spans="1:4" x14ac:dyDescent="0.2">
      <c r="A258" t="str">
        <f t="shared" si="10"/>
        <v/>
      </c>
      <c r="B258" s="12" t="str">
        <f>IF('Import OpenCPN'!AC259="","",'Import OpenCPN'!AC259)</f>
        <v/>
      </c>
      <c r="C258" s="12" t="str">
        <f t="shared" ref="C258:C321" si="12">IF(B258="","","q")</f>
        <v/>
      </c>
      <c r="D258" s="12" t="str">
        <f t="shared" si="11"/>
        <v/>
      </c>
    </row>
    <row r="259" spans="1:4" x14ac:dyDescent="0.2">
      <c r="A259" t="str">
        <f t="shared" ref="A259:A322" si="13">IF(B259="","",A258+1)</f>
        <v/>
      </c>
      <c r="B259" s="12" t="str">
        <f>IF('Import OpenCPN'!AC260="","",'Import OpenCPN'!AC260)</f>
        <v/>
      </c>
      <c r="C259" s="12" t="str">
        <f t="shared" si="12"/>
        <v/>
      </c>
      <c r="D259" s="12" t="str">
        <f t="shared" ref="D259:D322" si="14">IF(B259="","",1)</f>
        <v/>
      </c>
    </row>
    <row r="260" spans="1:4" x14ac:dyDescent="0.2">
      <c r="A260" t="str">
        <f t="shared" si="13"/>
        <v/>
      </c>
      <c r="B260" s="12" t="str">
        <f>IF('Import OpenCPN'!AC261="","",'Import OpenCPN'!AC261)</f>
        <v/>
      </c>
      <c r="C260" s="12" t="str">
        <f t="shared" si="12"/>
        <v/>
      </c>
      <c r="D260" s="12" t="str">
        <f t="shared" si="14"/>
        <v/>
      </c>
    </row>
    <row r="261" spans="1:4" x14ac:dyDescent="0.2">
      <c r="A261" t="str">
        <f t="shared" si="13"/>
        <v/>
      </c>
      <c r="B261" s="12" t="str">
        <f>IF('Import OpenCPN'!AC262="","",'Import OpenCPN'!AC262)</f>
        <v/>
      </c>
      <c r="C261" s="12" t="str">
        <f t="shared" si="12"/>
        <v/>
      </c>
      <c r="D261" s="12" t="str">
        <f t="shared" si="14"/>
        <v/>
      </c>
    </row>
    <row r="262" spans="1:4" x14ac:dyDescent="0.2">
      <c r="A262" t="str">
        <f t="shared" si="13"/>
        <v/>
      </c>
      <c r="B262" s="12" t="str">
        <f>IF('Import OpenCPN'!AC263="","",'Import OpenCPN'!AC263)</f>
        <v/>
      </c>
      <c r="C262" s="12" t="str">
        <f t="shared" si="12"/>
        <v/>
      </c>
      <c r="D262" s="12" t="str">
        <f t="shared" si="14"/>
        <v/>
      </c>
    </row>
    <row r="263" spans="1:4" x14ac:dyDescent="0.2">
      <c r="A263" t="str">
        <f t="shared" si="13"/>
        <v/>
      </c>
      <c r="B263" s="12" t="str">
        <f>IF('Import OpenCPN'!AC264="","",'Import OpenCPN'!AC264)</f>
        <v/>
      </c>
      <c r="C263" s="12" t="str">
        <f t="shared" si="12"/>
        <v/>
      </c>
      <c r="D263" s="12" t="str">
        <f t="shared" si="14"/>
        <v/>
      </c>
    </row>
    <row r="264" spans="1:4" x14ac:dyDescent="0.2">
      <c r="A264" t="str">
        <f t="shared" si="13"/>
        <v/>
      </c>
      <c r="B264" s="12" t="str">
        <f>IF('Import OpenCPN'!AC265="","",'Import OpenCPN'!AC265)</f>
        <v/>
      </c>
      <c r="C264" s="12" t="str">
        <f t="shared" si="12"/>
        <v/>
      </c>
      <c r="D264" s="12" t="str">
        <f t="shared" si="14"/>
        <v/>
      </c>
    </row>
    <row r="265" spans="1:4" x14ac:dyDescent="0.2">
      <c r="A265" t="str">
        <f t="shared" si="13"/>
        <v/>
      </c>
      <c r="B265" s="12" t="str">
        <f>IF('Import OpenCPN'!AC266="","",'Import OpenCPN'!AC266)</f>
        <v/>
      </c>
      <c r="C265" s="12" t="str">
        <f t="shared" si="12"/>
        <v/>
      </c>
      <c r="D265" s="12" t="str">
        <f t="shared" si="14"/>
        <v/>
      </c>
    </row>
    <row r="266" spans="1:4" x14ac:dyDescent="0.2">
      <c r="A266" t="str">
        <f t="shared" si="13"/>
        <v/>
      </c>
      <c r="B266" s="12" t="str">
        <f>IF('Import OpenCPN'!AC267="","",'Import OpenCPN'!AC267)</f>
        <v/>
      </c>
      <c r="C266" s="12" t="str">
        <f t="shared" si="12"/>
        <v/>
      </c>
      <c r="D266" s="12" t="str">
        <f t="shared" si="14"/>
        <v/>
      </c>
    </row>
    <row r="267" spans="1:4" x14ac:dyDescent="0.2">
      <c r="A267" t="str">
        <f t="shared" si="13"/>
        <v/>
      </c>
      <c r="B267" s="12" t="str">
        <f>IF('Import OpenCPN'!AC268="","",'Import OpenCPN'!AC268)</f>
        <v/>
      </c>
      <c r="C267" s="12" t="str">
        <f t="shared" si="12"/>
        <v/>
      </c>
      <c r="D267" s="12" t="str">
        <f t="shared" si="14"/>
        <v/>
      </c>
    </row>
    <row r="268" spans="1:4" x14ac:dyDescent="0.2">
      <c r="A268" t="str">
        <f t="shared" si="13"/>
        <v/>
      </c>
      <c r="B268" s="12" t="str">
        <f>IF('Import OpenCPN'!AC269="","",'Import OpenCPN'!AC269)</f>
        <v/>
      </c>
      <c r="C268" s="12" t="str">
        <f t="shared" si="12"/>
        <v/>
      </c>
      <c r="D268" s="12" t="str">
        <f t="shared" si="14"/>
        <v/>
      </c>
    </row>
    <row r="269" spans="1:4" x14ac:dyDescent="0.2">
      <c r="A269" t="str">
        <f t="shared" si="13"/>
        <v/>
      </c>
      <c r="B269" s="12" t="str">
        <f>IF('Import OpenCPN'!AC270="","",'Import OpenCPN'!AC270)</f>
        <v/>
      </c>
      <c r="C269" s="12" t="str">
        <f t="shared" si="12"/>
        <v/>
      </c>
      <c r="D269" s="12" t="str">
        <f t="shared" si="14"/>
        <v/>
      </c>
    </row>
    <row r="270" spans="1:4" x14ac:dyDescent="0.2">
      <c r="A270" t="str">
        <f t="shared" si="13"/>
        <v/>
      </c>
      <c r="B270" s="12" t="str">
        <f>IF('Import OpenCPN'!AC271="","",'Import OpenCPN'!AC271)</f>
        <v/>
      </c>
      <c r="C270" s="12" t="str">
        <f t="shared" si="12"/>
        <v/>
      </c>
      <c r="D270" s="12" t="str">
        <f t="shared" si="14"/>
        <v/>
      </c>
    </row>
    <row r="271" spans="1:4" x14ac:dyDescent="0.2">
      <c r="A271" t="str">
        <f t="shared" si="13"/>
        <v/>
      </c>
      <c r="B271" s="12" t="str">
        <f>IF('Import OpenCPN'!AC272="","",'Import OpenCPN'!AC272)</f>
        <v/>
      </c>
      <c r="C271" s="12" t="str">
        <f t="shared" si="12"/>
        <v/>
      </c>
      <c r="D271" s="12" t="str">
        <f t="shared" si="14"/>
        <v/>
      </c>
    </row>
    <row r="272" spans="1:4" x14ac:dyDescent="0.2">
      <c r="A272" t="str">
        <f t="shared" si="13"/>
        <v/>
      </c>
      <c r="B272" s="12" t="str">
        <f>IF('Import OpenCPN'!AC273="","",'Import OpenCPN'!AC273)</f>
        <v/>
      </c>
      <c r="C272" s="12" t="str">
        <f t="shared" si="12"/>
        <v/>
      </c>
      <c r="D272" s="12" t="str">
        <f t="shared" si="14"/>
        <v/>
      </c>
    </row>
    <row r="273" spans="1:4" x14ac:dyDescent="0.2">
      <c r="A273" t="str">
        <f t="shared" si="13"/>
        <v/>
      </c>
      <c r="B273" s="12" t="str">
        <f>IF('Import OpenCPN'!AC274="","",'Import OpenCPN'!AC274)</f>
        <v/>
      </c>
      <c r="C273" s="12" t="str">
        <f t="shared" si="12"/>
        <v/>
      </c>
      <c r="D273" s="12" t="str">
        <f t="shared" si="14"/>
        <v/>
      </c>
    </row>
    <row r="274" spans="1:4" x14ac:dyDescent="0.2">
      <c r="A274" t="str">
        <f t="shared" si="13"/>
        <v/>
      </c>
      <c r="B274" s="12" t="str">
        <f>IF('Import OpenCPN'!AC275="","",'Import OpenCPN'!AC275)</f>
        <v/>
      </c>
      <c r="C274" s="12" t="str">
        <f t="shared" si="12"/>
        <v/>
      </c>
      <c r="D274" s="12" t="str">
        <f t="shared" si="14"/>
        <v/>
      </c>
    </row>
    <row r="275" spans="1:4" x14ac:dyDescent="0.2">
      <c r="A275" t="str">
        <f t="shared" si="13"/>
        <v/>
      </c>
      <c r="B275" s="12" t="str">
        <f>IF('Import OpenCPN'!AC276="","",'Import OpenCPN'!AC276)</f>
        <v/>
      </c>
      <c r="C275" s="12" t="str">
        <f t="shared" si="12"/>
        <v/>
      </c>
      <c r="D275" s="12" t="str">
        <f t="shared" si="14"/>
        <v/>
      </c>
    </row>
    <row r="276" spans="1:4" x14ac:dyDescent="0.2">
      <c r="A276" t="str">
        <f t="shared" si="13"/>
        <v/>
      </c>
      <c r="B276" s="12" t="str">
        <f>IF('Import OpenCPN'!AC277="","",'Import OpenCPN'!AC277)</f>
        <v/>
      </c>
      <c r="C276" s="12" t="str">
        <f t="shared" si="12"/>
        <v/>
      </c>
      <c r="D276" s="12" t="str">
        <f t="shared" si="14"/>
        <v/>
      </c>
    </row>
    <row r="277" spans="1:4" x14ac:dyDescent="0.2">
      <c r="A277" t="str">
        <f t="shared" si="13"/>
        <v/>
      </c>
      <c r="B277" s="12" t="str">
        <f>IF('Import OpenCPN'!AC278="","",'Import OpenCPN'!AC278)</f>
        <v/>
      </c>
      <c r="C277" s="12" t="str">
        <f t="shared" si="12"/>
        <v/>
      </c>
      <c r="D277" s="12" t="str">
        <f t="shared" si="14"/>
        <v/>
      </c>
    </row>
    <row r="278" spans="1:4" x14ac:dyDescent="0.2">
      <c r="A278" t="str">
        <f t="shared" si="13"/>
        <v/>
      </c>
      <c r="B278" s="12" t="str">
        <f>IF('Import OpenCPN'!AC279="","",'Import OpenCPN'!AC279)</f>
        <v/>
      </c>
      <c r="C278" s="12" t="str">
        <f t="shared" si="12"/>
        <v/>
      </c>
      <c r="D278" s="12" t="str">
        <f t="shared" si="14"/>
        <v/>
      </c>
    </row>
    <row r="279" spans="1:4" x14ac:dyDescent="0.2">
      <c r="A279" t="str">
        <f t="shared" si="13"/>
        <v/>
      </c>
      <c r="B279" s="12" t="str">
        <f>IF('Import OpenCPN'!AC280="","",'Import OpenCPN'!AC280)</f>
        <v/>
      </c>
      <c r="C279" s="12" t="str">
        <f t="shared" si="12"/>
        <v/>
      </c>
      <c r="D279" s="12" t="str">
        <f t="shared" si="14"/>
        <v/>
      </c>
    </row>
    <row r="280" spans="1:4" x14ac:dyDescent="0.2">
      <c r="A280" t="str">
        <f t="shared" si="13"/>
        <v/>
      </c>
      <c r="B280" s="12" t="str">
        <f>IF('Import OpenCPN'!AC281="","",'Import OpenCPN'!AC281)</f>
        <v/>
      </c>
      <c r="C280" s="12" t="str">
        <f t="shared" si="12"/>
        <v/>
      </c>
      <c r="D280" s="12" t="str">
        <f t="shared" si="14"/>
        <v/>
      </c>
    </row>
    <row r="281" spans="1:4" x14ac:dyDescent="0.2">
      <c r="A281" t="str">
        <f t="shared" si="13"/>
        <v/>
      </c>
      <c r="B281" s="12" t="str">
        <f>IF('Import OpenCPN'!AC282="","",'Import OpenCPN'!AC282)</f>
        <v/>
      </c>
      <c r="C281" s="12" t="str">
        <f t="shared" si="12"/>
        <v/>
      </c>
      <c r="D281" s="12" t="str">
        <f t="shared" si="14"/>
        <v/>
      </c>
    </row>
    <row r="282" spans="1:4" x14ac:dyDescent="0.2">
      <c r="A282" t="str">
        <f t="shared" si="13"/>
        <v/>
      </c>
      <c r="B282" s="12" t="str">
        <f>IF('Import OpenCPN'!AC283="","",'Import OpenCPN'!AC283)</f>
        <v/>
      </c>
      <c r="C282" s="12" t="str">
        <f t="shared" si="12"/>
        <v/>
      </c>
      <c r="D282" s="12" t="str">
        <f t="shared" si="14"/>
        <v/>
      </c>
    </row>
    <row r="283" spans="1:4" x14ac:dyDescent="0.2">
      <c r="A283" t="str">
        <f t="shared" si="13"/>
        <v/>
      </c>
      <c r="B283" s="12" t="str">
        <f>IF('Import OpenCPN'!AC284="","",'Import OpenCPN'!AC284)</f>
        <v/>
      </c>
      <c r="C283" s="12" t="str">
        <f t="shared" si="12"/>
        <v/>
      </c>
      <c r="D283" s="12" t="str">
        <f t="shared" si="14"/>
        <v/>
      </c>
    </row>
    <row r="284" spans="1:4" x14ac:dyDescent="0.2">
      <c r="A284" t="str">
        <f t="shared" si="13"/>
        <v/>
      </c>
      <c r="B284" s="12" t="str">
        <f>IF('Import OpenCPN'!AC285="","",'Import OpenCPN'!AC285)</f>
        <v/>
      </c>
      <c r="C284" s="12" t="str">
        <f t="shared" si="12"/>
        <v/>
      </c>
      <c r="D284" s="12" t="str">
        <f t="shared" si="14"/>
        <v/>
      </c>
    </row>
    <row r="285" spans="1:4" x14ac:dyDescent="0.2">
      <c r="A285" t="str">
        <f t="shared" si="13"/>
        <v/>
      </c>
      <c r="B285" s="12" t="str">
        <f>IF('Import OpenCPN'!AC286="","",'Import OpenCPN'!AC286)</f>
        <v/>
      </c>
      <c r="C285" s="12" t="str">
        <f t="shared" si="12"/>
        <v/>
      </c>
      <c r="D285" s="12" t="str">
        <f t="shared" si="14"/>
        <v/>
      </c>
    </row>
    <row r="286" spans="1:4" x14ac:dyDescent="0.2">
      <c r="A286" t="str">
        <f t="shared" si="13"/>
        <v/>
      </c>
      <c r="B286" s="12" t="str">
        <f>IF('Import OpenCPN'!AC287="","",'Import OpenCPN'!AC287)</f>
        <v/>
      </c>
      <c r="C286" s="12" t="str">
        <f t="shared" si="12"/>
        <v/>
      </c>
      <c r="D286" s="12" t="str">
        <f t="shared" si="14"/>
        <v/>
      </c>
    </row>
    <row r="287" spans="1:4" x14ac:dyDescent="0.2">
      <c r="A287" t="str">
        <f t="shared" si="13"/>
        <v/>
      </c>
      <c r="B287" s="12" t="str">
        <f>IF('Import OpenCPN'!AC288="","",'Import OpenCPN'!AC288)</f>
        <v/>
      </c>
      <c r="C287" s="12" t="str">
        <f t="shared" si="12"/>
        <v/>
      </c>
      <c r="D287" s="12" t="str">
        <f t="shared" si="14"/>
        <v/>
      </c>
    </row>
    <row r="288" spans="1:4" x14ac:dyDescent="0.2">
      <c r="A288" t="str">
        <f t="shared" si="13"/>
        <v/>
      </c>
      <c r="B288" s="12" t="str">
        <f>IF('Import OpenCPN'!AC289="","",'Import OpenCPN'!AC289)</f>
        <v/>
      </c>
      <c r="C288" s="12" t="str">
        <f t="shared" si="12"/>
        <v/>
      </c>
      <c r="D288" s="12" t="str">
        <f t="shared" si="14"/>
        <v/>
      </c>
    </row>
    <row r="289" spans="1:4" x14ac:dyDescent="0.2">
      <c r="A289" t="str">
        <f t="shared" si="13"/>
        <v/>
      </c>
      <c r="B289" s="12" t="str">
        <f>IF('Import OpenCPN'!AC290="","",'Import OpenCPN'!AC290)</f>
        <v/>
      </c>
      <c r="C289" s="12" t="str">
        <f t="shared" si="12"/>
        <v/>
      </c>
      <c r="D289" s="12" t="str">
        <f t="shared" si="14"/>
        <v/>
      </c>
    </row>
    <row r="290" spans="1:4" x14ac:dyDescent="0.2">
      <c r="A290" t="str">
        <f t="shared" si="13"/>
        <v/>
      </c>
      <c r="B290" s="12" t="str">
        <f>IF('Import OpenCPN'!AC291="","",'Import OpenCPN'!AC291)</f>
        <v/>
      </c>
      <c r="C290" s="12" t="str">
        <f t="shared" si="12"/>
        <v/>
      </c>
      <c r="D290" s="12" t="str">
        <f t="shared" si="14"/>
        <v/>
      </c>
    </row>
    <row r="291" spans="1:4" x14ac:dyDescent="0.2">
      <c r="A291" t="str">
        <f t="shared" si="13"/>
        <v/>
      </c>
      <c r="B291" s="12" t="str">
        <f>IF('Import OpenCPN'!AC292="","",'Import OpenCPN'!AC292)</f>
        <v/>
      </c>
      <c r="C291" s="12" t="str">
        <f t="shared" si="12"/>
        <v/>
      </c>
      <c r="D291" s="12" t="str">
        <f t="shared" si="14"/>
        <v/>
      </c>
    </row>
    <row r="292" spans="1:4" x14ac:dyDescent="0.2">
      <c r="A292" t="str">
        <f t="shared" si="13"/>
        <v/>
      </c>
      <c r="B292" s="12" t="str">
        <f>IF('Import OpenCPN'!AC293="","",'Import OpenCPN'!AC293)</f>
        <v/>
      </c>
      <c r="C292" s="12" t="str">
        <f t="shared" si="12"/>
        <v/>
      </c>
      <c r="D292" s="12" t="str">
        <f t="shared" si="14"/>
        <v/>
      </c>
    </row>
    <row r="293" spans="1:4" x14ac:dyDescent="0.2">
      <c r="A293" t="str">
        <f t="shared" si="13"/>
        <v/>
      </c>
      <c r="B293" s="12" t="str">
        <f>IF('Import OpenCPN'!AC294="","",'Import OpenCPN'!AC294)</f>
        <v/>
      </c>
      <c r="C293" s="12" t="str">
        <f t="shared" si="12"/>
        <v/>
      </c>
      <c r="D293" s="12" t="str">
        <f t="shared" si="14"/>
        <v/>
      </c>
    </row>
    <row r="294" spans="1:4" x14ac:dyDescent="0.2">
      <c r="A294" t="str">
        <f t="shared" si="13"/>
        <v/>
      </c>
      <c r="B294" s="12" t="str">
        <f>IF('Import OpenCPN'!AC295="","",'Import OpenCPN'!AC295)</f>
        <v/>
      </c>
      <c r="C294" s="12" t="str">
        <f t="shared" si="12"/>
        <v/>
      </c>
      <c r="D294" s="12" t="str">
        <f t="shared" si="14"/>
        <v/>
      </c>
    </row>
    <row r="295" spans="1:4" x14ac:dyDescent="0.2">
      <c r="A295" t="str">
        <f t="shared" si="13"/>
        <v/>
      </c>
      <c r="B295" s="12" t="str">
        <f>IF('Import OpenCPN'!AC296="","",'Import OpenCPN'!AC296)</f>
        <v/>
      </c>
      <c r="C295" s="12" t="str">
        <f t="shared" si="12"/>
        <v/>
      </c>
      <c r="D295" s="12" t="str">
        <f t="shared" si="14"/>
        <v/>
      </c>
    </row>
    <row r="296" spans="1:4" x14ac:dyDescent="0.2">
      <c r="A296" t="str">
        <f t="shared" si="13"/>
        <v/>
      </c>
      <c r="B296" s="12" t="str">
        <f>IF('Import OpenCPN'!AC297="","",'Import OpenCPN'!AC297)</f>
        <v/>
      </c>
      <c r="C296" s="12" t="str">
        <f t="shared" si="12"/>
        <v/>
      </c>
      <c r="D296" s="12" t="str">
        <f t="shared" si="14"/>
        <v/>
      </c>
    </row>
    <row r="297" spans="1:4" x14ac:dyDescent="0.2">
      <c r="A297" t="str">
        <f t="shared" si="13"/>
        <v/>
      </c>
      <c r="B297" s="12" t="str">
        <f>IF('Import OpenCPN'!AC298="","",'Import OpenCPN'!AC298)</f>
        <v/>
      </c>
      <c r="C297" s="12" t="str">
        <f t="shared" si="12"/>
        <v/>
      </c>
      <c r="D297" s="12" t="str">
        <f t="shared" si="14"/>
        <v/>
      </c>
    </row>
    <row r="298" spans="1:4" x14ac:dyDescent="0.2">
      <c r="A298" t="str">
        <f t="shared" si="13"/>
        <v/>
      </c>
      <c r="B298" s="12" t="str">
        <f>IF('Import OpenCPN'!AC299="","",'Import OpenCPN'!AC299)</f>
        <v/>
      </c>
      <c r="C298" s="12" t="str">
        <f t="shared" si="12"/>
        <v/>
      </c>
      <c r="D298" s="12" t="str">
        <f t="shared" si="14"/>
        <v/>
      </c>
    </row>
    <row r="299" spans="1:4" x14ac:dyDescent="0.2">
      <c r="A299" t="str">
        <f t="shared" si="13"/>
        <v/>
      </c>
      <c r="B299" s="12" t="str">
        <f>IF('Import OpenCPN'!AC300="","",'Import OpenCPN'!AC300)</f>
        <v/>
      </c>
      <c r="C299" s="12" t="str">
        <f t="shared" si="12"/>
        <v/>
      </c>
      <c r="D299" s="12" t="str">
        <f t="shared" si="14"/>
        <v/>
      </c>
    </row>
    <row r="300" spans="1:4" x14ac:dyDescent="0.2">
      <c r="A300" t="str">
        <f t="shared" si="13"/>
        <v/>
      </c>
      <c r="B300" s="12" t="str">
        <f>IF('Import OpenCPN'!AC301="","",'Import OpenCPN'!AC301)</f>
        <v/>
      </c>
      <c r="C300" s="12" t="str">
        <f t="shared" si="12"/>
        <v/>
      </c>
      <c r="D300" s="12" t="str">
        <f t="shared" si="14"/>
        <v/>
      </c>
    </row>
    <row r="301" spans="1:4" x14ac:dyDescent="0.2">
      <c r="A301" t="str">
        <f t="shared" si="13"/>
        <v/>
      </c>
      <c r="B301" s="12" t="str">
        <f>IF('Import OpenCPN'!AC302="","",'Import OpenCPN'!AC302)</f>
        <v/>
      </c>
      <c r="C301" s="12" t="str">
        <f t="shared" si="12"/>
        <v/>
      </c>
      <c r="D301" s="12" t="str">
        <f t="shared" si="14"/>
        <v/>
      </c>
    </row>
    <row r="302" spans="1:4" x14ac:dyDescent="0.2">
      <c r="A302" t="str">
        <f t="shared" si="13"/>
        <v/>
      </c>
      <c r="B302" s="12" t="str">
        <f>IF('Import OpenCPN'!AC303="","",'Import OpenCPN'!AC303)</f>
        <v/>
      </c>
      <c r="C302" s="12" t="str">
        <f t="shared" si="12"/>
        <v/>
      </c>
      <c r="D302" s="12" t="str">
        <f t="shared" si="14"/>
        <v/>
      </c>
    </row>
    <row r="303" spans="1:4" x14ac:dyDescent="0.2">
      <c r="A303" t="str">
        <f t="shared" si="13"/>
        <v/>
      </c>
      <c r="B303" s="12" t="str">
        <f>IF('Import OpenCPN'!AC304="","",'Import OpenCPN'!AC304)</f>
        <v/>
      </c>
      <c r="C303" s="12" t="str">
        <f t="shared" si="12"/>
        <v/>
      </c>
      <c r="D303" s="12" t="str">
        <f t="shared" si="14"/>
        <v/>
      </c>
    </row>
    <row r="304" spans="1:4" x14ac:dyDescent="0.2">
      <c r="A304" t="str">
        <f t="shared" si="13"/>
        <v/>
      </c>
      <c r="B304" s="12" t="str">
        <f>IF('Import OpenCPN'!AC305="","",'Import OpenCPN'!AC305)</f>
        <v/>
      </c>
      <c r="C304" s="12" t="str">
        <f t="shared" si="12"/>
        <v/>
      </c>
      <c r="D304" s="12" t="str">
        <f t="shared" si="14"/>
        <v/>
      </c>
    </row>
    <row r="305" spans="1:4" x14ac:dyDescent="0.2">
      <c r="A305" t="str">
        <f t="shared" si="13"/>
        <v/>
      </c>
      <c r="B305" s="12" t="str">
        <f>IF('Import OpenCPN'!AC306="","",'Import OpenCPN'!AC306)</f>
        <v/>
      </c>
      <c r="C305" s="12" t="str">
        <f t="shared" si="12"/>
        <v/>
      </c>
      <c r="D305" s="12" t="str">
        <f t="shared" si="14"/>
        <v/>
      </c>
    </row>
    <row r="306" spans="1:4" x14ac:dyDescent="0.2">
      <c r="A306" t="str">
        <f t="shared" si="13"/>
        <v/>
      </c>
      <c r="B306" s="12" t="str">
        <f>IF('Import OpenCPN'!AC307="","",'Import OpenCPN'!AC307)</f>
        <v/>
      </c>
      <c r="C306" s="12" t="str">
        <f t="shared" si="12"/>
        <v/>
      </c>
      <c r="D306" s="12" t="str">
        <f t="shared" si="14"/>
        <v/>
      </c>
    </row>
    <row r="307" spans="1:4" x14ac:dyDescent="0.2">
      <c r="A307" t="str">
        <f t="shared" si="13"/>
        <v/>
      </c>
      <c r="B307" s="12" t="str">
        <f>IF('Import OpenCPN'!AC308="","",'Import OpenCPN'!AC308)</f>
        <v/>
      </c>
      <c r="C307" s="12" t="str">
        <f t="shared" si="12"/>
        <v/>
      </c>
      <c r="D307" s="12" t="str">
        <f t="shared" si="14"/>
        <v/>
      </c>
    </row>
    <row r="308" spans="1:4" x14ac:dyDescent="0.2">
      <c r="A308" t="str">
        <f t="shared" si="13"/>
        <v/>
      </c>
      <c r="B308" s="12" t="str">
        <f>IF('Import OpenCPN'!AC309="","",'Import OpenCPN'!AC309)</f>
        <v/>
      </c>
      <c r="C308" s="12" t="str">
        <f t="shared" si="12"/>
        <v/>
      </c>
      <c r="D308" s="12" t="str">
        <f t="shared" si="14"/>
        <v/>
      </c>
    </row>
    <row r="309" spans="1:4" x14ac:dyDescent="0.2">
      <c r="A309" t="str">
        <f t="shared" si="13"/>
        <v/>
      </c>
      <c r="B309" s="12" t="str">
        <f>IF('Import OpenCPN'!AC310="","",'Import OpenCPN'!AC310)</f>
        <v/>
      </c>
      <c r="C309" s="12" t="str">
        <f t="shared" si="12"/>
        <v/>
      </c>
      <c r="D309" s="12" t="str">
        <f t="shared" si="14"/>
        <v/>
      </c>
    </row>
    <row r="310" spans="1:4" x14ac:dyDescent="0.2">
      <c r="A310" t="str">
        <f t="shared" si="13"/>
        <v/>
      </c>
      <c r="B310" s="12" t="str">
        <f>IF('Import OpenCPN'!AC311="","",'Import OpenCPN'!AC311)</f>
        <v/>
      </c>
      <c r="C310" s="12" t="str">
        <f t="shared" si="12"/>
        <v/>
      </c>
      <c r="D310" s="12" t="str">
        <f t="shared" si="14"/>
        <v/>
      </c>
    </row>
    <row r="311" spans="1:4" x14ac:dyDescent="0.2">
      <c r="A311" t="str">
        <f t="shared" si="13"/>
        <v/>
      </c>
      <c r="B311" s="12" t="str">
        <f>IF('Import OpenCPN'!AC312="","",'Import OpenCPN'!AC312)</f>
        <v/>
      </c>
      <c r="C311" s="12" t="str">
        <f t="shared" si="12"/>
        <v/>
      </c>
      <c r="D311" s="12" t="str">
        <f t="shared" si="14"/>
        <v/>
      </c>
    </row>
    <row r="312" spans="1:4" x14ac:dyDescent="0.2">
      <c r="A312" t="str">
        <f t="shared" si="13"/>
        <v/>
      </c>
      <c r="B312" s="12" t="str">
        <f>IF('Import OpenCPN'!AC313="","",'Import OpenCPN'!AC313)</f>
        <v/>
      </c>
      <c r="C312" s="12" t="str">
        <f t="shared" si="12"/>
        <v/>
      </c>
      <c r="D312" s="12" t="str">
        <f t="shared" si="14"/>
        <v/>
      </c>
    </row>
    <row r="313" spans="1:4" x14ac:dyDescent="0.2">
      <c r="A313" t="str">
        <f t="shared" si="13"/>
        <v/>
      </c>
      <c r="B313" s="12" t="str">
        <f>IF('Import OpenCPN'!AC314="","",'Import OpenCPN'!AC314)</f>
        <v/>
      </c>
      <c r="C313" s="12" t="str">
        <f t="shared" si="12"/>
        <v/>
      </c>
      <c r="D313" s="12" t="str">
        <f t="shared" si="14"/>
        <v/>
      </c>
    </row>
    <row r="314" spans="1:4" x14ac:dyDescent="0.2">
      <c r="A314" t="str">
        <f t="shared" si="13"/>
        <v/>
      </c>
      <c r="B314" s="12" t="str">
        <f>IF('Import OpenCPN'!AC315="","",'Import OpenCPN'!AC315)</f>
        <v/>
      </c>
      <c r="C314" s="12" t="str">
        <f t="shared" si="12"/>
        <v/>
      </c>
      <c r="D314" s="12" t="str">
        <f t="shared" si="14"/>
        <v/>
      </c>
    </row>
    <row r="315" spans="1:4" x14ac:dyDescent="0.2">
      <c r="A315" t="str">
        <f t="shared" si="13"/>
        <v/>
      </c>
      <c r="B315" s="12" t="str">
        <f>IF('Import OpenCPN'!AC316="","",'Import OpenCPN'!AC316)</f>
        <v/>
      </c>
      <c r="C315" s="12" t="str">
        <f t="shared" si="12"/>
        <v/>
      </c>
      <c r="D315" s="12" t="str">
        <f t="shared" si="14"/>
        <v/>
      </c>
    </row>
    <row r="316" spans="1:4" x14ac:dyDescent="0.2">
      <c r="A316" t="str">
        <f t="shared" si="13"/>
        <v/>
      </c>
      <c r="B316" s="12" t="str">
        <f>IF('Import OpenCPN'!AC317="","",'Import OpenCPN'!AC317)</f>
        <v/>
      </c>
      <c r="C316" s="12" t="str">
        <f t="shared" si="12"/>
        <v/>
      </c>
      <c r="D316" s="12" t="str">
        <f t="shared" si="14"/>
        <v/>
      </c>
    </row>
    <row r="317" spans="1:4" x14ac:dyDescent="0.2">
      <c r="A317" t="str">
        <f t="shared" si="13"/>
        <v/>
      </c>
      <c r="B317" s="12" t="str">
        <f>IF('Import OpenCPN'!AC318="","",'Import OpenCPN'!AC318)</f>
        <v/>
      </c>
      <c r="C317" s="12" t="str">
        <f t="shared" si="12"/>
        <v/>
      </c>
      <c r="D317" s="12" t="str">
        <f t="shared" si="14"/>
        <v/>
      </c>
    </row>
    <row r="318" spans="1:4" x14ac:dyDescent="0.2">
      <c r="A318" t="str">
        <f t="shared" si="13"/>
        <v/>
      </c>
      <c r="B318" s="12" t="str">
        <f>IF('Import OpenCPN'!AC319="","",'Import OpenCPN'!AC319)</f>
        <v/>
      </c>
      <c r="C318" s="12" t="str">
        <f t="shared" si="12"/>
        <v/>
      </c>
      <c r="D318" s="12" t="str">
        <f t="shared" si="14"/>
        <v/>
      </c>
    </row>
    <row r="319" spans="1:4" x14ac:dyDescent="0.2">
      <c r="A319" t="str">
        <f t="shared" si="13"/>
        <v/>
      </c>
      <c r="B319" s="12" t="str">
        <f>IF('Import OpenCPN'!AC320="","",'Import OpenCPN'!AC320)</f>
        <v/>
      </c>
      <c r="C319" s="12" t="str">
        <f t="shared" si="12"/>
        <v/>
      </c>
      <c r="D319" s="12" t="str">
        <f t="shared" si="14"/>
        <v/>
      </c>
    </row>
    <row r="320" spans="1:4" x14ac:dyDescent="0.2">
      <c r="A320" t="str">
        <f t="shared" si="13"/>
        <v/>
      </c>
      <c r="B320" s="12" t="str">
        <f>IF('Import OpenCPN'!AC321="","",'Import OpenCPN'!AC321)</f>
        <v/>
      </c>
      <c r="C320" s="12" t="str">
        <f t="shared" si="12"/>
        <v/>
      </c>
      <c r="D320" s="12" t="str">
        <f t="shared" si="14"/>
        <v/>
      </c>
    </row>
    <row r="321" spans="1:4" x14ac:dyDescent="0.2">
      <c r="A321" t="str">
        <f t="shared" si="13"/>
        <v/>
      </c>
      <c r="B321" s="12" t="str">
        <f>IF('Import OpenCPN'!AC322="","",'Import OpenCPN'!AC322)</f>
        <v/>
      </c>
      <c r="C321" s="12" t="str">
        <f t="shared" si="12"/>
        <v/>
      </c>
      <c r="D321" s="12" t="str">
        <f t="shared" si="14"/>
        <v/>
      </c>
    </row>
    <row r="322" spans="1:4" x14ac:dyDescent="0.2">
      <c r="A322" t="str">
        <f t="shared" si="13"/>
        <v/>
      </c>
      <c r="B322" s="12" t="str">
        <f>IF('Import OpenCPN'!AC323="","",'Import OpenCPN'!AC323)</f>
        <v/>
      </c>
      <c r="C322" s="12" t="str">
        <f t="shared" ref="C322:C385" si="15">IF(B322="","","q")</f>
        <v/>
      </c>
      <c r="D322" s="12" t="str">
        <f t="shared" si="14"/>
        <v/>
      </c>
    </row>
    <row r="323" spans="1:4" x14ac:dyDescent="0.2">
      <c r="A323" t="str">
        <f t="shared" ref="A323:A386" si="16">IF(B323="","",A322+1)</f>
        <v/>
      </c>
      <c r="B323" s="12" t="str">
        <f>IF('Import OpenCPN'!AC324="","",'Import OpenCPN'!AC324)</f>
        <v/>
      </c>
      <c r="C323" s="12" t="str">
        <f t="shared" si="15"/>
        <v/>
      </c>
      <c r="D323" s="12" t="str">
        <f t="shared" ref="D323:D386" si="17">IF(B323="","",1)</f>
        <v/>
      </c>
    </row>
    <row r="324" spans="1:4" x14ac:dyDescent="0.2">
      <c r="A324" t="str">
        <f t="shared" si="16"/>
        <v/>
      </c>
      <c r="B324" s="12" t="str">
        <f>IF('Import OpenCPN'!AC325="","",'Import OpenCPN'!AC325)</f>
        <v/>
      </c>
      <c r="C324" s="12" t="str">
        <f t="shared" si="15"/>
        <v/>
      </c>
      <c r="D324" s="12" t="str">
        <f t="shared" si="17"/>
        <v/>
      </c>
    </row>
    <row r="325" spans="1:4" x14ac:dyDescent="0.2">
      <c r="A325" t="str">
        <f t="shared" si="16"/>
        <v/>
      </c>
      <c r="B325" s="12" t="str">
        <f>IF('Import OpenCPN'!AC326="","",'Import OpenCPN'!AC326)</f>
        <v/>
      </c>
      <c r="C325" s="12" t="str">
        <f t="shared" si="15"/>
        <v/>
      </c>
      <c r="D325" s="12" t="str">
        <f t="shared" si="17"/>
        <v/>
      </c>
    </row>
    <row r="326" spans="1:4" x14ac:dyDescent="0.2">
      <c r="A326" t="str">
        <f t="shared" si="16"/>
        <v/>
      </c>
      <c r="B326" s="12" t="str">
        <f>IF('Import OpenCPN'!AC327="","",'Import OpenCPN'!AC327)</f>
        <v/>
      </c>
      <c r="C326" s="12" t="str">
        <f t="shared" si="15"/>
        <v/>
      </c>
      <c r="D326" s="12" t="str">
        <f t="shared" si="17"/>
        <v/>
      </c>
    </row>
    <row r="327" spans="1:4" x14ac:dyDescent="0.2">
      <c r="A327" t="str">
        <f t="shared" si="16"/>
        <v/>
      </c>
      <c r="B327" s="12" t="str">
        <f>IF('Import OpenCPN'!AC328="","",'Import OpenCPN'!AC328)</f>
        <v/>
      </c>
      <c r="C327" s="12" t="str">
        <f t="shared" si="15"/>
        <v/>
      </c>
      <c r="D327" s="12" t="str">
        <f t="shared" si="17"/>
        <v/>
      </c>
    </row>
    <row r="328" spans="1:4" x14ac:dyDescent="0.2">
      <c r="A328" t="str">
        <f t="shared" si="16"/>
        <v/>
      </c>
      <c r="B328" s="12" t="str">
        <f>IF('Import OpenCPN'!AC329="","",'Import OpenCPN'!AC329)</f>
        <v/>
      </c>
      <c r="C328" s="12" t="str">
        <f t="shared" si="15"/>
        <v/>
      </c>
      <c r="D328" s="12" t="str">
        <f t="shared" si="17"/>
        <v/>
      </c>
    </row>
    <row r="329" spans="1:4" x14ac:dyDescent="0.2">
      <c r="A329" t="str">
        <f t="shared" si="16"/>
        <v/>
      </c>
      <c r="B329" s="12" t="str">
        <f>IF('Import OpenCPN'!AC330="","",'Import OpenCPN'!AC330)</f>
        <v/>
      </c>
      <c r="C329" s="12" t="str">
        <f t="shared" si="15"/>
        <v/>
      </c>
      <c r="D329" s="12" t="str">
        <f t="shared" si="17"/>
        <v/>
      </c>
    </row>
    <row r="330" spans="1:4" x14ac:dyDescent="0.2">
      <c r="A330" t="str">
        <f t="shared" si="16"/>
        <v/>
      </c>
      <c r="B330" s="12" t="str">
        <f>IF('Import OpenCPN'!AC331="","",'Import OpenCPN'!AC331)</f>
        <v/>
      </c>
      <c r="C330" s="12" t="str">
        <f t="shared" si="15"/>
        <v/>
      </c>
      <c r="D330" s="12" t="str">
        <f t="shared" si="17"/>
        <v/>
      </c>
    </row>
    <row r="331" spans="1:4" x14ac:dyDescent="0.2">
      <c r="A331" t="str">
        <f t="shared" si="16"/>
        <v/>
      </c>
      <c r="B331" s="12" t="str">
        <f>IF('Import OpenCPN'!AC332="","",'Import OpenCPN'!AC332)</f>
        <v/>
      </c>
      <c r="C331" s="12" t="str">
        <f t="shared" si="15"/>
        <v/>
      </c>
      <c r="D331" s="12" t="str">
        <f t="shared" si="17"/>
        <v/>
      </c>
    </row>
    <row r="332" spans="1:4" x14ac:dyDescent="0.2">
      <c r="A332" t="str">
        <f t="shared" si="16"/>
        <v/>
      </c>
      <c r="B332" s="12" t="str">
        <f>IF('Import OpenCPN'!AC333="","",'Import OpenCPN'!AC333)</f>
        <v/>
      </c>
      <c r="C332" s="12" t="str">
        <f t="shared" si="15"/>
        <v/>
      </c>
      <c r="D332" s="12" t="str">
        <f t="shared" si="17"/>
        <v/>
      </c>
    </row>
    <row r="333" spans="1:4" x14ac:dyDescent="0.2">
      <c r="A333" t="str">
        <f t="shared" si="16"/>
        <v/>
      </c>
      <c r="B333" s="12" t="str">
        <f>IF('Import OpenCPN'!AC334="","",'Import OpenCPN'!AC334)</f>
        <v/>
      </c>
      <c r="C333" s="12" t="str">
        <f t="shared" si="15"/>
        <v/>
      </c>
      <c r="D333" s="12" t="str">
        <f t="shared" si="17"/>
        <v/>
      </c>
    </row>
    <row r="334" spans="1:4" x14ac:dyDescent="0.2">
      <c r="A334" t="str">
        <f t="shared" si="16"/>
        <v/>
      </c>
      <c r="B334" s="12" t="str">
        <f>IF('Import OpenCPN'!AC335="","",'Import OpenCPN'!AC335)</f>
        <v/>
      </c>
      <c r="C334" s="12" t="str">
        <f t="shared" si="15"/>
        <v/>
      </c>
      <c r="D334" s="12" t="str">
        <f t="shared" si="17"/>
        <v/>
      </c>
    </row>
    <row r="335" spans="1:4" x14ac:dyDescent="0.2">
      <c r="A335" t="str">
        <f t="shared" si="16"/>
        <v/>
      </c>
      <c r="B335" s="12" t="str">
        <f>IF('Import OpenCPN'!AC336="","",'Import OpenCPN'!AC336)</f>
        <v/>
      </c>
      <c r="C335" s="12" t="str">
        <f t="shared" si="15"/>
        <v/>
      </c>
      <c r="D335" s="12" t="str">
        <f t="shared" si="17"/>
        <v/>
      </c>
    </row>
    <row r="336" spans="1:4" x14ac:dyDescent="0.2">
      <c r="A336" t="str">
        <f t="shared" si="16"/>
        <v/>
      </c>
      <c r="B336" s="12" t="str">
        <f>IF('Import OpenCPN'!AC337="","",'Import OpenCPN'!AC337)</f>
        <v/>
      </c>
      <c r="C336" s="12" t="str">
        <f t="shared" si="15"/>
        <v/>
      </c>
      <c r="D336" s="12" t="str">
        <f t="shared" si="17"/>
        <v/>
      </c>
    </row>
    <row r="337" spans="1:4" x14ac:dyDescent="0.2">
      <c r="A337" t="str">
        <f t="shared" si="16"/>
        <v/>
      </c>
      <c r="B337" s="12" t="str">
        <f>IF('Import OpenCPN'!AC338="","",'Import OpenCPN'!AC338)</f>
        <v/>
      </c>
      <c r="C337" s="12" t="str">
        <f t="shared" si="15"/>
        <v/>
      </c>
      <c r="D337" s="12" t="str">
        <f t="shared" si="17"/>
        <v/>
      </c>
    </row>
    <row r="338" spans="1:4" x14ac:dyDescent="0.2">
      <c r="A338" t="str">
        <f t="shared" si="16"/>
        <v/>
      </c>
      <c r="B338" s="12" t="str">
        <f>IF('Import OpenCPN'!AC339="","",'Import OpenCPN'!AC339)</f>
        <v/>
      </c>
      <c r="C338" s="12" t="str">
        <f t="shared" si="15"/>
        <v/>
      </c>
      <c r="D338" s="12" t="str">
        <f t="shared" si="17"/>
        <v/>
      </c>
    </row>
    <row r="339" spans="1:4" x14ac:dyDescent="0.2">
      <c r="A339" t="str">
        <f t="shared" si="16"/>
        <v/>
      </c>
      <c r="B339" s="12" t="str">
        <f>IF('Import OpenCPN'!AC340="","",'Import OpenCPN'!AC340)</f>
        <v/>
      </c>
      <c r="C339" s="12" t="str">
        <f t="shared" si="15"/>
        <v/>
      </c>
      <c r="D339" s="12" t="str">
        <f t="shared" si="17"/>
        <v/>
      </c>
    </row>
    <row r="340" spans="1:4" x14ac:dyDescent="0.2">
      <c r="A340" t="str">
        <f t="shared" si="16"/>
        <v/>
      </c>
      <c r="B340" s="12" t="str">
        <f>IF('Import OpenCPN'!AC341="","",'Import OpenCPN'!AC341)</f>
        <v/>
      </c>
      <c r="C340" s="12" t="str">
        <f t="shared" si="15"/>
        <v/>
      </c>
      <c r="D340" s="12" t="str">
        <f t="shared" si="17"/>
        <v/>
      </c>
    </row>
    <row r="341" spans="1:4" x14ac:dyDescent="0.2">
      <c r="A341" t="str">
        <f t="shared" si="16"/>
        <v/>
      </c>
      <c r="B341" s="12" t="str">
        <f>IF('Import OpenCPN'!AC342="","",'Import OpenCPN'!AC342)</f>
        <v/>
      </c>
      <c r="C341" s="12" t="str">
        <f t="shared" si="15"/>
        <v/>
      </c>
      <c r="D341" s="12" t="str">
        <f t="shared" si="17"/>
        <v/>
      </c>
    </row>
    <row r="342" spans="1:4" x14ac:dyDescent="0.2">
      <c r="A342" t="str">
        <f t="shared" si="16"/>
        <v/>
      </c>
      <c r="B342" s="12" t="str">
        <f>IF('Import OpenCPN'!AC343="","",'Import OpenCPN'!AC343)</f>
        <v/>
      </c>
      <c r="C342" s="12" t="str">
        <f t="shared" si="15"/>
        <v/>
      </c>
      <c r="D342" s="12" t="str">
        <f t="shared" si="17"/>
        <v/>
      </c>
    </row>
    <row r="343" spans="1:4" x14ac:dyDescent="0.2">
      <c r="A343" t="str">
        <f t="shared" si="16"/>
        <v/>
      </c>
      <c r="B343" s="12" t="str">
        <f>IF('Import OpenCPN'!AC344="","",'Import OpenCPN'!AC344)</f>
        <v/>
      </c>
      <c r="C343" s="12" t="str">
        <f t="shared" si="15"/>
        <v/>
      </c>
      <c r="D343" s="12" t="str">
        <f t="shared" si="17"/>
        <v/>
      </c>
    </row>
    <row r="344" spans="1:4" x14ac:dyDescent="0.2">
      <c r="A344" t="str">
        <f t="shared" si="16"/>
        <v/>
      </c>
      <c r="B344" s="12" t="str">
        <f>IF('Import OpenCPN'!AC345="","",'Import OpenCPN'!AC345)</f>
        <v/>
      </c>
      <c r="C344" s="12" t="str">
        <f t="shared" si="15"/>
        <v/>
      </c>
      <c r="D344" s="12" t="str">
        <f t="shared" si="17"/>
        <v/>
      </c>
    </row>
    <row r="345" spans="1:4" x14ac:dyDescent="0.2">
      <c r="A345" t="str">
        <f t="shared" si="16"/>
        <v/>
      </c>
      <c r="B345" s="12" t="str">
        <f>IF('Import OpenCPN'!AC346="","",'Import OpenCPN'!AC346)</f>
        <v/>
      </c>
      <c r="C345" s="12" t="str">
        <f t="shared" si="15"/>
        <v/>
      </c>
      <c r="D345" s="12" t="str">
        <f t="shared" si="17"/>
        <v/>
      </c>
    </row>
    <row r="346" spans="1:4" x14ac:dyDescent="0.2">
      <c r="A346" t="str">
        <f t="shared" si="16"/>
        <v/>
      </c>
      <c r="B346" s="12" t="str">
        <f>IF('Import OpenCPN'!AC347="","",'Import OpenCPN'!AC347)</f>
        <v/>
      </c>
      <c r="C346" s="12" t="str">
        <f t="shared" si="15"/>
        <v/>
      </c>
      <c r="D346" s="12" t="str">
        <f t="shared" si="17"/>
        <v/>
      </c>
    </row>
    <row r="347" spans="1:4" x14ac:dyDescent="0.2">
      <c r="A347" t="str">
        <f t="shared" si="16"/>
        <v/>
      </c>
      <c r="B347" s="12" t="str">
        <f>IF('Import OpenCPN'!AC348="","",'Import OpenCPN'!AC348)</f>
        <v/>
      </c>
      <c r="C347" s="12" t="str">
        <f t="shared" si="15"/>
        <v/>
      </c>
      <c r="D347" s="12" t="str">
        <f t="shared" si="17"/>
        <v/>
      </c>
    </row>
    <row r="348" spans="1:4" x14ac:dyDescent="0.2">
      <c r="A348" t="str">
        <f t="shared" si="16"/>
        <v/>
      </c>
      <c r="B348" s="12" t="str">
        <f>IF('Import OpenCPN'!AC349="","",'Import OpenCPN'!AC349)</f>
        <v/>
      </c>
      <c r="C348" s="12" t="str">
        <f t="shared" si="15"/>
        <v/>
      </c>
      <c r="D348" s="12" t="str">
        <f t="shared" si="17"/>
        <v/>
      </c>
    </row>
    <row r="349" spans="1:4" x14ac:dyDescent="0.2">
      <c r="A349" t="str">
        <f t="shared" si="16"/>
        <v/>
      </c>
      <c r="B349" s="12" t="str">
        <f>IF('Import OpenCPN'!AC350="","",'Import OpenCPN'!AC350)</f>
        <v/>
      </c>
      <c r="C349" s="12" t="str">
        <f t="shared" si="15"/>
        <v/>
      </c>
      <c r="D349" s="12" t="str">
        <f t="shared" si="17"/>
        <v/>
      </c>
    </row>
    <row r="350" spans="1:4" x14ac:dyDescent="0.2">
      <c r="A350" t="str">
        <f t="shared" si="16"/>
        <v/>
      </c>
      <c r="B350" s="12" t="str">
        <f>IF('Import OpenCPN'!AC351="","",'Import OpenCPN'!AC351)</f>
        <v/>
      </c>
      <c r="C350" s="12" t="str">
        <f t="shared" si="15"/>
        <v/>
      </c>
      <c r="D350" s="12" t="str">
        <f t="shared" si="17"/>
        <v/>
      </c>
    </row>
    <row r="351" spans="1:4" x14ac:dyDescent="0.2">
      <c r="A351" t="str">
        <f t="shared" si="16"/>
        <v/>
      </c>
      <c r="B351" s="12" t="str">
        <f>IF('Import OpenCPN'!AC352="","",'Import OpenCPN'!AC352)</f>
        <v/>
      </c>
      <c r="C351" s="12" t="str">
        <f t="shared" si="15"/>
        <v/>
      </c>
      <c r="D351" s="12" t="str">
        <f t="shared" si="17"/>
        <v/>
      </c>
    </row>
    <row r="352" spans="1:4" x14ac:dyDescent="0.2">
      <c r="A352" t="str">
        <f t="shared" si="16"/>
        <v/>
      </c>
      <c r="B352" s="12" t="str">
        <f>IF('Import OpenCPN'!AC353="","",'Import OpenCPN'!AC353)</f>
        <v/>
      </c>
      <c r="C352" s="12" t="str">
        <f t="shared" si="15"/>
        <v/>
      </c>
      <c r="D352" s="12" t="str">
        <f t="shared" si="17"/>
        <v/>
      </c>
    </row>
    <row r="353" spans="1:4" x14ac:dyDescent="0.2">
      <c r="A353" t="str">
        <f t="shared" si="16"/>
        <v/>
      </c>
      <c r="B353" s="12" t="str">
        <f>IF('Import OpenCPN'!AC354="","",'Import OpenCPN'!AC354)</f>
        <v/>
      </c>
      <c r="C353" s="12" t="str">
        <f t="shared" si="15"/>
        <v/>
      </c>
      <c r="D353" s="12" t="str">
        <f t="shared" si="17"/>
        <v/>
      </c>
    </row>
    <row r="354" spans="1:4" x14ac:dyDescent="0.2">
      <c r="A354" t="str">
        <f t="shared" si="16"/>
        <v/>
      </c>
      <c r="B354" s="12" t="str">
        <f>IF('Import OpenCPN'!AC355="","",'Import OpenCPN'!AC355)</f>
        <v/>
      </c>
      <c r="C354" s="12" t="str">
        <f t="shared" si="15"/>
        <v/>
      </c>
      <c r="D354" s="12" t="str">
        <f t="shared" si="17"/>
        <v/>
      </c>
    </row>
    <row r="355" spans="1:4" x14ac:dyDescent="0.2">
      <c r="A355" t="str">
        <f t="shared" si="16"/>
        <v/>
      </c>
      <c r="B355" s="12" t="str">
        <f>IF('Import OpenCPN'!AC356="","",'Import OpenCPN'!AC356)</f>
        <v/>
      </c>
      <c r="C355" s="12" t="str">
        <f t="shared" si="15"/>
        <v/>
      </c>
      <c r="D355" s="12" t="str">
        <f t="shared" si="17"/>
        <v/>
      </c>
    </row>
    <row r="356" spans="1:4" x14ac:dyDescent="0.2">
      <c r="A356" t="str">
        <f t="shared" si="16"/>
        <v/>
      </c>
      <c r="B356" s="12" t="str">
        <f>IF('Import OpenCPN'!AC357="","",'Import OpenCPN'!AC357)</f>
        <v/>
      </c>
      <c r="C356" s="12" t="str">
        <f t="shared" si="15"/>
        <v/>
      </c>
      <c r="D356" s="12" t="str">
        <f t="shared" si="17"/>
        <v/>
      </c>
    </row>
    <row r="357" spans="1:4" x14ac:dyDescent="0.2">
      <c r="A357" t="str">
        <f t="shared" si="16"/>
        <v/>
      </c>
      <c r="B357" s="12" t="str">
        <f>IF('Import OpenCPN'!AC358="","",'Import OpenCPN'!AC358)</f>
        <v/>
      </c>
      <c r="C357" s="12" t="str">
        <f t="shared" si="15"/>
        <v/>
      </c>
      <c r="D357" s="12" t="str">
        <f t="shared" si="17"/>
        <v/>
      </c>
    </row>
    <row r="358" spans="1:4" x14ac:dyDescent="0.2">
      <c r="A358" t="str">
        <f t="shared" si="16"/>
        <v/>
      </c>
      <c r="B358" s="12" t="str">
        <f>IF('Import OpenCPN'!AC359="","",'Import OpenCPN'!AC359)</f>
        <v/>
      </c>
      <c r="C358" s="12" t="str">
        <f t="shared" si="15"/>
        <v/>
      </c>
      <c r="D358" s="12" t="str">
        <f t="shared" si="17"/>
        <v/>
      </c>
    </row>
    <row r="359" spans="1:4" x14ac:dyDescent="0.2">
      <c r="A359" t="str">
        <f t="shared" si="16"/>
        <v/>
      </c>
      <c r="B359" s="12" t="str">
        <f>IF('Import OpenCPN'!AC360="","",'Import OpenCPN'!AC360)</f>
        <v/>
      </c>
      <c r="C359" s="12" t="str">
        <f t="shared" si="15"/>
        <v/>
      </c>
      <c r="D359" s="12" t="str">
        <f t="shared" si="17"/>
        <v/>
      </c>
    </row>
    <row r="360" spans="1:4" x14ac:dyDescent="0.2">
      <c r="A360" t="str">
        <f t="shared" si="16"/>
        <v/>
      </c>
      <c r="B360" s="12" t="str">
        <f>IF('Import OpenCPN'!AC361="","",'Import OpenCPN'!AC361)</f>
        <v/>
      </c>
      <c r="C360" s="12" t="str">
        <f t="shared" si="15"/>
        <v/>
      </c>
      <c r="D360" s="12" t="str">
        <f t="shared" si="17"/>
        <v/>
      </c>
    </row>
    <row r="361" spans="1:4" x14ac:dyDescent="0.2">
      <c r="A361" t="str">
        <f t="shared" si="16"/>
        <v/>
      </c>
      <c r="B361" s="12" t="str">
        <f>IF('Import OpenCPN'!AC362="","",'Import OpenCPN'!AC362)</f>
        <v/>
      </c>
      <c r="C361" s="12" t="str">
        <f t="shared" si="15"/>
        <v/>
      </c>
      <c r="D361" s="12" t="str">
        <f t="shared" si="17"/>
        <v/>
      </c>
    </row>
    <row r="362" spans="1:4" x14ac:dyDescent="0.2">
      <c r="A362" t="str">
        <f t="shared" si="16"/>
        <v/>
      </c>
      <c r="B362" s="12" t="str">
        <f>IF('Import OpenCPN'!AC363="","",'Import OpenCPN'!AC363)</f>
        <v/>
      </c>
      <c r="C362" s="12" t="str">
        <f t="shared" si="15"/>
        <v/>
      </c>
      <c r="D362" s="12" t="str">
        <f t="shared" si="17"/>
        <v/>
      </c>
    </row>
    <row r="363" spans="1:4" x14ac:dyDescent="0.2">
      <c r="A363" t="str">
        <f t="shared" si="16"/>
        <v/>
      </c>
      <c r="B363" s="12" t="str">
        <f>IF('Import OpenCPN'!AC364="","",'Import OpenCPN'!AC364)</f>
        <v/>
      </c>
      <c r="C363" s="12" t="str">
        <f t="shared" si="15"/>
        <v/>
      </c>
      <c r="D363" s="12" t="str">
        <f t="shared" si="17"/>
        <v/>
      </c>
    </row>
    <row r="364" spans="1:4" x14ac:dyDescent="0.2">
      <c r="A364" t="str">
        <f t="shared" si="16"/>
        <v/>
      </c>
      <c r="B364" s="12" t="str">
        <f>IF('Import OpenCPN'!AC365="","",'Import OpenCPN'!AC365)</f>
        <v/>
      </c>
      <c r="C364" s="12" t="str">
        <f t="shared" si="15"/>
        <v/>
      </c>
      <c r="D364" s="12" t="str">
        <f t="shared" si="17"/>
        <v/>
      </c>
    </row>
    <row r="365" spans="1:4" x14ac:dyDescent="0.2">
      <c r="A365" t="str">
        <f t="shared" si="16"/>
        <v/>
      </c>
      <c r="B365" s="12" t="str">
        <f>IF('Import OpenCPN'!AC366="","",'Import OpenCPN'!AC366)</f>
        <v/>
      </c>
      <c r="C365" s="12" t="str">
        <f t="shared" si="15"/>
        <v/>
      </c>
      <c r="D365" s="12" t="str">
        <f t="shared" si="17"/>
        <v/>
      </c>
    </row>
    <row r="366" spans="1:4" x14ac:dyDescent="0.2">
      <c r="A366" t="str">
        <f t="shared" si="16"/>
        <v/>
      </c>
      <c r="B366" s="12" t="str">
        <f>IF('Import OpenCPN'!AC367="","",'Import OpenCPN'!AC367)</f>
        <v/>
      </c>
      <c r="C366" s="12" t="str">
        <f t="shared" si="15"/>
        <v/>
      </c>
      <c r="D366" s="12" t="str">
        <f t="shared" si="17"/>
        <v/>
      </c>
    </row>
    <row r="367" spans="1:4" x14ac:dyDescent="0.2">
      <c r="A367" t="str">
        <f t="shared" si="16"/>
        <v/>
      </c>
      <c r="B367" s="12" t="str">
        <f>IF('Import OpenCPN'!AC368="","",'Import OpenCPN'!AC368)</f>
        <v/>
      </c>
      <c r="C367" s="12" t="str">
        <f t="shared" si="15"/>
        <v/>
      </c>
      <c r="D367" s="12" t="str">
        <f t="shared" si="17"/>
        <v/>
      </c>
    </row>
    <row r="368" spans="1:4" x14ac:dyDescent="0.2">
      <c r="A368" t="str">
        <f t="shared" si="16"/>
        <v/>
      </c>
      <c r="B368" s="12" t="str">
        <f>IF('Import OpenCPN'!AC369="","",'Import OpenCPN'!AC369)</f>
        <v/>
      </c>
      <c r="C368" s="12" t="str">
        <f t="shared" si="15"/>
        <v/>
      </c>
      <c r="D368" s="12" t="str">
        <f t="shared" si="17"/>
        <v/>
      </c>
    </row>
    <row r="369" spans="1:4" x14ac:dyDescent="0.2">
      <c r="A369" t="str">
        <f t="shared" si="16"/>
        <v/>
      </c>
      <c r="B369" s="12" t="str">
        <f>IF('Import OpenCPN'!AC370="","",'Import OpenCPN'!AC370)</f>
        <v/>
      </c>
      <c r="C369" s="12" t="str">
        <f t="shared" si="15"/>
        <v/>
      </c>
      <c r="D369" s="12" t="str">
        <f t="shared" si="17"/>
        <v/>
      </c>
    </row>
    <row r="370" spans="1:4" x14ac:dyDescent="0.2">
      <c r="A370" t="str">
        <f t="shared" si="16"/>
        <v/>
      </c>
      <c r="B370" s="12" t="str">
        <f>IF('Import OpenCPN'!AC371="","",'Import OpenCPN'!AC371)</f>
        <v/>
      </c>
      <c r="C370" s="12" t="str">
        <f t="shared" si="15"/>
        <v/>
      </c>
      <c r="D370" s="12" t="str">
        <f t="shared" si="17"/>
        <v/>
      </c>
    </row>
    <row r="371" spans="1:4" x14ac:dyDescent="0.2">
      <c r="A371" t="str">
        <f t="shared" si="16"/>
        <v/>
      </c>
      <c r="B371" s="12" t="str">
        <f>IF('Import OpenCPN'!AC372="","",'Import OpenCPN'!AC372)</f>
        <v/>
      </c>
      <c r="C371" s="12" t="str">
        <f t="shared" si="15"/>
        <v/>
      </c>
      <c r="D371" s="12" t="str">
        <f t="shared" si="17"/>
        <v/>
      </c>
    </row>
    <row r="372" spans="1:4" x14ac:dyDescent="0.2">
      <c r="A372" t="str">
        <f t="shared" si="16"/>
        <v/>
      </c>
      <c r="B372" s="12" t="str">
        <f>IF('Import OpenCPN'!AC373="","",'Import OpenCPN'!AC373)</f>
        <v/>
      </c>
      <c r="C372" s="12" t="str">
        <f t="shared" si="15"/>
        <v/>
      </c>
      <c r="D372" s="12" t="str">
        <f t="shared" si="17"/>
        <v/>
      </c>
    </row>
    <row r="373" spans="1:4" x14ac:dyDescent="0.2">
      <c r="A373" t="str">
        <f t="shared" si="16"/>
        <v/>
      </c>
      <c r="B373" s="12" t="str">
        <f>IF('Import OpenCPN'!AC374="","",'Import OpenCPN'!AC374)</f>
        <v/>
      </c>
      <c r="C373" s="12" t="str">
        <f t="shared" si="15"/>
        <v/>
      </c>
      <c r="D373" s="12" t="str">
        <f t="shared" si="17"/>
        <v/>
      </c>
    </row>
    <row r="374" spans="1:4" x14ac:dyDescent="0.2">
      <c r="A374" t="str">
        <f t="shared" si="16"/>
        <v/>
      </c>
      <c r="B374" s="12" t="str">
        <f>IF('Import OpenCPN'!AC375="","",'Import OpenCPN'!AC375)</f>
        <v/>
      </c>
      <c r="C374" s="12" t="str">
        <f t="shared" si="15"/>
        <v/>
      </c>
      <c r="D374" s="12" t="str">
        <f t="shared" si="17"/>
        <v/>
      </c>
    </row>
    <row r="375" spans="1:4" x14ac:dyDescent="0.2">
      <c r="A375" t="str">
        <f t="shared" si="16"/>
        <v/>
      </c>
      <c r="B375" s="12" t="str">
        <f>IF('Import OpenCPN'!AC376="","",'Import OpenCPN'!AC376)</f>
        <v/>
      </c>
      <c r="C375" s="12" t="str">
        <f t="shared" si="15"/>
        <v/>
      </c>
      <c r="D375" s="12" t="str">
        <f t="shared" si="17"/>
        <v/>
      </c>
    </row>
    <row r="376" spans="1:4" x14ac:dyDescent="0.2">
      <c r="A376" t="str">
        <f t="shared" si="16"/>
        <v/>
      </c>
      <c r="B376" s="12" t="str">
        <f>IF('Import OpenCPN'!AC377="","",'Import OpenCPN'!AC377)</f>
        <v/>
      </c>
      <c r="C376" s="12" t="str">
        <f t="shared" si="15"/>
        <v/>
      </c>
      <c r="D376" s="12" t="str">
        <f t="shared" si="17"/>
        <v/>
      </c>
    </row>
    <row r="377" spans="1:4" x14ac:dyDescent="0.2">
      <c r="A377" t="str">
        <f t="shared" si="16"/>
        <v/>
      </c>
      <c r="B377" s="12" t="str">
        <f>IF('Import OpenCPN'!AC378="","",'Import OpenCPN'!AC378)</f>
        <v/>
      </c>
      <c r="C377" s="12" t="str">
        <f t="shared" si="15"/>
        <v/>
      </c>
      <c r="D377" s="12" t="str">
        <f t="shared" si="17"/>
        <v/>
      </c>
    </row>
    <row r="378" spans="1:4" x14ac:dyDescent="0.2">
      <c r="A378" t="str">
        <f t="shared" si="16"/>
        <v/>
      </c>
      <c r="B378" s="12" t="str">
        <f>IF('Import OpenCPN'!AC379="","",'Import OpenCPN'!AC379)</f>
        <v/>
      </c>
      <c r="C378" s="12" t="str">
        <f t="shared" si="15"/>
        <v/>
      </c>
      <c r="D378" s="12" t="str">
        <f t="shared" si="17"/>
        <v/>
      </c>
    </row>
    <row r="379" spans="1:4" x14ac:dyDescent="0.2">
      <c r="A379" t="str">
        <f t="shared" si="16"/>
        <v/>
      </c>
      <c r="B379" s="12" t="str">
        <f>IF('Import OpenCPN'!AC380="","",'Import OpenCPN'!AC380)</f>
        <v/>
      </c>
      <c r="C379" s="12" t="str">
        <f t="shared" si="15"/>
        <v/>
      </c>
      <c r="D379" s="12" t="str">
        <f t="shared" si="17"/>
        <v/>
      </c>
    </row>
    <row r="380" spans="1:4" x14ac:dyDescent="0.2">
      <c r="A380" t="str">
        <f t="shared" si="16"/>
        <v/>
      </c>
      <c r="B380" s="12" t="str">
        <f>IF('Import OpenCPN'!AC381="","",'Import OpenCPN'!AC381)</f>
        <v/>
      </c>
      <c r="C380" s="12" t="str">
        <f t="shared" si="15"/>
        <v/>
      </c>
      <c r="D380" s="12" t="str">
        <f t="shared" si="17"/>
        <v/>
      </c>
    </row>
    <row r="381" spans="1:4" x14ac:dyDescent="0.2">
      <c r="A381" t="str">
        <f t="shared" si="16"/>
        <v/>
      </c>
      <c r="B381" s="12" t="str">
        <f>IF('Import OpenCPN'!AC382="","",'Import OpenCPN'!AC382)</f>
        <v/>
      </c>
      <c r="C381" s="12" t="str">
        <f t="shared" si="15"/>
        <v/>
      </c>
      <c r="D381" s="12" t="str">
        <f t="shared" si="17"/>
        <v/>
      </c>
    </row>
    <row r="382" spans="1:4" x14ac:dyDescent="0.2">
      <c r="A382" t="str">
        <f t="shared" si="16"/>
        <v/>
      </c>
      <c r="B382" s="12" t="str">
        <f>IF('Import OpenCPN'!AC383="","",'Import OpenCPN'!AC383)</f>
        <v/>
      </c>
      <c r="C382" s="12" t="str">
        <f t="shared" si="15"/>
        <v/>
      </c>
      <c r="D382" s="12" t="str">
        <f t="shared" si="17"/>
        <v/>
      </c>
    </row>
    <row r="383" spans="1:4" x14ac:dyDescent="0.2">
      <c r="A383" t="str">
        <f t="shared" si="16"/>
        <v/>
      </c>
      <c r="B383" s="12" t="str">
        <f>IF('Import OpenCPN'!AC384="","",'Import OpenCPN'!AC384)</f>
        <v/>
      </c>
      <c r="C383" s="12" t="str">
        <f t="shared" si="15"/>
        <v/>
      </c>
      <c r="D383" s="12" t="str">
        <f t="shared" si="17"/>
        <v/>
      </c>
    </row>
    <row r="384" spans="1:4" x14ac:dyDescent="0.2">
      <c r="A384" t="str">
        <f t="shared" si="16"/>
        <v/>
      </c>
      <c r="B384" s="12" t="str">
        <f>IF('Import OpenCPN'!AC385="","",'Import OpenCPN'!AC385)</f>
        <v/>
      </c>
      <c r="C384" s="12" t="str">
        <f t="shared" si="15"/>
        <v/>
      </c>
      <c r="D384" s="12" t="str">
        <f t="shared" si="17"/>
        <v/>
      </c>
    </row>
    <row r="385" spans="1:4" x14ac:dyDescent="0.2">
      <c r="A385" t="str">
        <f t="shared" si="16"/>
        <v/>
      </c>
      <c r="B385" s="12" t="str">
        <f>IF('Import OpenCPN'!AC386="","",'Import OpenCPN'!AC386)</f>
        <v/>
      </c>
      <c r="C385" s="12" t="str">
        <f t="shared" si="15"/>
        <v/>
      </c>
      <c r="D385" s="12" t="str">
        <f t="shared" si="17"/>
        <v/>
      </c>
    </row>
    <row r="386" spans="1:4" x14ac:dyDescent="0.2">
      <c r="A386" t="str">
        <f t="shared" si="16"/>
        <v/>
      </c>
      <c r="B386" s="12" t="str">
        <f>IF('Import OpenCPN'!AC387="","",'Import OpenCPN'!AC387)</f>
        <v/>
      </c>
      <c r="C386" s="12" t="str">
        <f t="shared" ref="C386:C449" si="18">IF(B386="","","q")</f>
        <v/>
      </c>
      <c r="D386" s="12" t="str">
        <f t="shared" si="17"/>
        <v/>
      </c>
    </row>
    <row r="387" spans="1:4" x14ac:dyDescent="0.2">
      <c r="A387" t="str">
        <f t="shared" ref="A387:A450" si="19">IF(B387="","",A386+1)</f>
        <v/>
      </c>
      <c r="B387" s="12" t="str">
        <f>IF('Import OpenCPN'!AC388="","",'Import OpenCPN'!AC388)</f>
        <v/>
      </c>
      <c r="C387" s="12" t="str">
        <f t="shared" si="18"/>
        <v/>
      </c>
      <c r="D387" s="12" t="str">
        <f t="shared" ref="D387:D450" si="20">IF(B387="","",1)</f>
        <v/>
      </c>
    </row>
    <row r="388" spans="1:4" x14ac:dyDescent="0.2">
      <c r="A388" t="str">
        <f t="shared" si="19"/>
        <v/>
      </c>
      <c r="B388" s="12" t="str">
        <f>IF('Import OpenCPN'!AC389="","",'Import OpenCPN'!AC389)</f>
        <v/>
      </c>
      <c r="C388" s="12" t="str">
        <f t="shared" si="18"/>
        <v/>
      </c>
      <c r="D388" s="12" t="str">
        <f t="shared" si="20"/>
        <v/>
      </c>
    </row>
    <row r="389" spans="1:4" x14ac:dyDescent="0.2">
      <c r="A389" t="str">
        <f t="shared" si="19"/>
        <v/>
      </c>
      <c r="B389" s="12" t="str">
        <f>IF('Import OpenCPN'!AC390="","",'Import OpenCPN'!AC390)</f>
        <v/>
      </c>
      <c r="C389" s="12" t="str">
        <f t="shared" si="18"/>
        <v/>
      </c>
      <c r="D389" s="12" t="str">
        <f t="shared" si="20"/>
        <v/>
      </c>
    </row>
    <row r="390" spans="1:4" x14ac:dyDescent="0.2">
      <c r="A390" t="str">
        <f t="shared" si="19"/>
        <v/>
      </c>
      <c r="B390" s="12" t="str">
        <f>IF('Import OpenCPN'!AC391="","",'Import OpenCPN'!AC391)</f>
        <v/>
      </c>
      <c r="C390" s="12" t="str">
        <f t="shared" si="18"/>
        <v/>
      </c>
      <c r="D390" s="12" t="str">
        <f t="shared" si="20"/>
        <v/>
      </c>
    </row>
    <row r="391" spans="1:4" x14ac:dyDescent="0.2">
      <c r="A391" t="str">
        <f t="shared" si="19"/>
        <v/>
      </c>
      <c r="B391" s="12" t="str">
        <f>IF('Import OpenCPN'!AC392="","",'Import OpenCPN'!AC392)</f>
        <v/>
      </c>
      <c r="C391" s="12" t="str">
        <f t="shared" si="18"/>
        <v/>
      </c>
      <c r="D391" s="12" t="str">
        <f t="shared" si="20"/>
        <v/>
      </c>
    </row>
    <row r="392" spans="1:4" x14ac:dyDescent="0.2">
      <c r="A392" t="str">
        <f t="shared" si="19"/>
        <v/>
      </c>
      <c r="B392" s="12" t="str">
        <f>IF('Import OpenCPN'!AC393="","",'Import OpenCPN'!AC393)</f>
        <v/>
      </c>
      <c r="C392" s="12" t="str">
        <f t="shared" si="18"/>
        <v/>
      </c>
      <c r="D392" s="12" t="str">
        <f t="shared" si="20"/>
        <v/>
      </c>
    </row>
    <row r="393" spans="1:4" x14ac:dyDescent="0.2">
      <c r="A393" t="str">
        <f t="shared" si="19"/>
        <v/>
      </c>
      <c r="B393" s="12" t="str">
        <f>IF('Import OpenCPN'!AC394="","",'Import OpenCPN'!AC394)</f>
        <v/>
      </c>
      <c r="C393" s="12" t="str">
        <f t="shared" si="18"/>
        <v/>
      </c>
      <c r="D393" s="12" t="str">
        <f t="shared" si="20"/>
        <v/>
      </c>
    </row>
    <row r="394" spans="1:4" x14ac:dyDescent="0.2">
      <c r="A394" t="str">
        <f t="shared" si="19"/>
        <v/>
      </c>
      <c r="B394" s="12" t="str">
        <f>IF('Import OpenCPN'!AC395="","",'Import OpenCPN'!AC395)</f>
        <v/>
      </c>
      <c r="C394" s="12" t="str">
        <f t="shared" si="18"/>
        <v/>
      </c>
      <c r="D394" s="12" t="str">
        <f t="shared" si="20"/>
        <v/>
      </c>
    </row>
    <row r="395" spans="1:4" x14ac:dyDescent="0.2">
      <c r="A395" t="str">
        <f t="shared" si="19"/>
        <v/>
      </c>
      <c r="B395" s="12" t="str">
        <f>IF('Import OpenCPN'!AC396="","",'Import OpenCPN'!AC396)</f>
        <v/>
      </c>
      <c r="C395" s="12" t="str">
        <f t="shared" si="18"/>
        <v/>
      </c>
      <c r="D395" s="12" t="str">
        <f t="shared" si="20"/>
        <v/>
      </c>
    </row>
    <row r="396" spans="1:4" x14ac:dyDescent="0.2">
      <c r="A396" t="str">
        <f t="shared" si="19"/>
        <v/>
      </c>
      <c r="B396" s="12" t="str">
        <f>IF('Import OpenCPN'!AC397="","",'Import OpenCPN'!AC397)</f>
        <v/>
      </c>
      <c r="C396" s="12" t="str">
        <f t="shared" si="18"/>
        <v/>
      </c>
      <c r="D396" s="12" t="str">
        <f t="shared" si="20"/>
        <v/>
      </c>
    </row>
    <row r="397" spans="1:4" x14ac:dyDescent="0.2">
      <c r="A397" t="str">
        <f t="shared" si="19"/>
        <v/>
      </c>
      <c r="B397" s="12" t="str">
        <f>IF('Import OpenCPN'!AC398="","",'Import OpenCPN'!AC398)</f>
        <v/>
      </c>
      <c r="C397" s="12" t="str">
        <f t="shared" si="18"/>
        <v/>
      </c>
      <c r="D397" s="12" t="str">
        <f t="shared" si="20"/>
        <v/>
      </c>
    </row>
    <row r="398" spans="1:4" x14ac:dyDescent="0.2">
      <c r="A398" t="str">
        <f t="shared" si="19"/>
        <v/>
      </c>
      <c r="B398" s="12" t="str">
        <f>IF('Import OpenCPN'!AC399="","",'Import OpenCPN'!AC399)</f>
        <v/>
      </c>
      <c r="C398" s="12" t="str">
        <f t="shared" si="18"/>
        <v/>
      </c>
      <c r="D398" s="12" t="str">
        <f t="shared" si="20"/>
        <v/>
      </c>
    </row>
    <row r="399" spans="1:4" x14ac:dyDescent="0.2">
      <c r="A399" t="str">
        <f t="shared" si="19"/>
        <v/>
      </c>
      <c r="B399" s="12" t="str">
        <f>IF('Import OpenCPN'!AC400="","",'Import OpenCPN'!AC400)</f>
        <v/>
      </c>
      <c r="C399" s="12" t="str">
        <f t="shared" si="18"/>
        <v/>
      </c>
      <c r="D399" s="12" t="str">
        <f t="shared" si="20"/>
        <v/>
      </c>
    </row>
    <row r="400" spans="1:4" x14ac:dyDescent="0.2">
      <c r="A400" t="str">
        <f t="shared" si="19"/>
        <v/>
      </c>
      <c r="B400" s="12" t="str">
        <f>IF('Import OpenCPN'!AC401="","",'Import OpenCPN'!AC401)</f>
        <v/>
      </c>
      <c r="C400" s="12" t="str">
        <f t="shared" si="18"/>
        <v/>
      </c>
      <c r="D400" s="12" t="str">
        <f t="shared" si="20"/>
        <v/>
      </c>
    </row>
    <row r="401" spans="1:4" x14ac:dyDescent="0.2">
      <c r="A401" t="str">
        <f t="shared" si="19"/>
        <v/>
      </c>
      <c r="B401" s="12" t="str">
        <f>IF('Import OpenCPN'!AC402="","",'Import OpenCPN'!AC402)</f>
        <v/>
      </c>
      <c r="C401" s="12" t="str">
        <f t="shared" si="18"/>
        <v/>
      </c>
      <c r="D401" s="12" t="str">
        <f t="shared" si="20"/>
        <v/>
      </c>
    </row>
    <row r="402" spans="1:4" x14ac:dyDescent="0.2">
      <c r="A402" t="str">
        <f t="shared" si="19"/>
        <v/>
      </c>
      <c r="B402" s="12" t="str">
        <f>IF('Import OpenCPN'!AC403="","",'Import OpenCPN'!AC403)</f>
        <v/>
      </c>
      <c r="C402" s="12" t="str">
        <f t="shared" si="18"/>
        <v/>
      </c>
      <c r="D402" s="12" t="str">
        <f t="shared" si="20"/>
        <v/>
      </c>
    </row>
    <row r="403" spans="1:4" x14ac:dyDescent="0.2">
      <c r="A403" t="str">
        <f t="shared" si="19"/>
        <v/>
      </c>
      <c r="B403" s="12" t="str">
        <f>IF('Import OpenCPN'!AC404="","",'Import OpenCPN'!AC404)</f>
        <v/>
      </c>
      <c r="C403" s="12" t="str">
        <f t="shared" si="18"/>
        <v/>
      </c>
      <c r="D403" s="12" t="str">
        <f t="shared" si="20"/>
        <v/>
      </c>
    </row>
    <row r="404" spans="1:4" x14ac:dyDescent="0.2">
      <c r="A404" t="str">
        <f t="shared" si="19"/>
        <v/>
      </c>
      <c r="B404" s="12" t="str">
        <f>IF('Import OpenCPN'!AC405="","",'Import OpenCPN'!AC405)</f>
        <v/>
      </c>
      <c r="C404" s="12" t="str">
        <f t="shared" si="18"/>
        <v/>
      </c>
      <c r="D404" s="12" t="str">
        <f t="shared" si="20"/>
        <v/>
      </c>
    </row>
    <row r="405" spans="1:4" x14ac:dyDescent="0.2">
      <c r="A405" t="str">
        <f t="shared" si="19"/>
        <v/>
      </c>
      <c r="B405" s="12" t="str">
        <f>IF('Import OpenCPN'!AC406="","",'Import OpenCPN'!AC406)</f>
        <v/>
      </c>
      <c r="C405" s="12" t="str">
        <f t="shared" si="18"/>
        <v/>
      </c>
      <c r="D405" s="12" t="str">
        <f t="shared" si="20"/>
        <v/>
      </c>
    </row>
    <row r="406" spans="1:4" x14ac:dyDescent="0.2">
      <c r="A406" t="str">
        <f t="shared" si="19"/>
        <v/>
      </c>
      <c r="B406" s="12" t="str">
        <f>IF('Import OpenCPN'!AC407="","",'Import OpenCPN'!AC407)</f>
        <v/>
      </c>
      <c r="C406" s="12" t="str">
        <f t="shared" si="18"/>
        <v/>
      </c>
      <c r="D406" s="12" t="str">
        <f t="shared" si="20"/>
        <v/>
      </c>
    </row>
    <row r="407" spans="1:4" x14ac:dyDescent="0.2">
      <c r="A407" t="str">
        <f t="shared" si="19"/>
        <v/>
      </c>
      <c r="B407" s="12" t="str">
        <f>IF('Import OpenCPN'!AC408="","",'Import OpenCPN'!AC408)</f>
        <v/>
      </c>
      <c r="C407" s="12" t="str">
        <f t="shared" si="18"/>
        <v/>
      </c>
      <c r="D407" s="12" t="str">
        <f t="shared" si="20"/>
        <v/>
      </c>
    </row>
    <row r="408" spans="1:4" x14ac:dyDescent="0.2">
      <c r="A408" t="str">
        <f t="shared" si="19"/>
        <v/>
      </c>
      <c r="B408" s="12" t="str">
        <f>IF('Import OpenCPN'!AC409="","",'Import OpenCPN'!AC409)</f>
        <v/>
      </c>
      <c r="C408" s="12" t="str">
        <f t="shared" si="18"/>
        <v/>
      </c>
      <c r="D408" s="12" t="str">
        <f t="shared" si="20"/>
        <v/>
      </c>
    </row>
    <row r="409" spans="1:4" x14ac:dyDescent="0.2">
      <c r="A409" t="str">
        <f t="shared" si="19"/>
        <v/>
      </c>
      <c r="B409" s="12" t="str">
        <f>IF('Import OpenCPN'!AC410="","",'Import OpenCPN'!AC410)</f>
        <v/>
      </c>
      <c r="C409" s="12" t="str">
        <f t="shared" si="18"/>
        <v/>
      </c>
      <c r="D409" s="12" t="str">
        <f t="shared" si="20"/>
        <v/>
      </c>
    </row>
    <row r="410" spans="1:4" x14ac:dyDescent="0.2">
      <c r="A410" t="str">
        <f t="shared" si="19"/>
        <v/>
      </c>
      <c r="B410" s="12" t="str">
        <f>IF('Import OpenCPN'!AC411="","",'Import OpenCPN'!AC411)</f>
        <v/>
      </c>
      <c r="C410" s="12" t="str">
        <f t="shared" si="18"/>
        <v/>
      </c>
      <c r="D410" s="12" t="str">
        <f t="shared" si="20"/>
        <v/>
      </c>
    </row>
    <row r="411" spans="1:4" x14ac:dyDescent="0.2">
      <c r="A411" t="str">
        <f t="shared" si="19"/>
        <v/>
      </c>
      <c r="B411" s="12" t="str">
        <f>IF('Import OpenCPN'!AC412="","",'Import OpenCPN'!AC412)</f>
        <v/>
      </c>
      <c r="C411" s="12" t="str">
        <f t="shared" si="18"/>
        <v/>
      </c>
      <c r="D411" s="12" t="str">
        <f t="shared" si="20"/>
        <v/>
      </c>
    </row>
    <row r="412" spans="1:4" x14ac:dyDescent="0.2">
      <c r="A412" t="str">
        <f t="shared" si="19"/>
        <v/>
      </c>
      <c r="B412" s="12" t="str">
        <f>IF('Import OpenCPN'!AC413="","",'Import OpenCPN'!AC413)</f>
        <v/>
      </c>
      <c r="C412" s="12" t="str">
        <f t="shared" si="18"/>
        <v/>
      </c>
      <c r="D412" s="12" t="str">
        <f t="shared" si="20"/>
        <v/>
      </c>
    </row>
    <row r="413" spans="1:4" x14ac:dyDescent="0.2">
      <c r="A413" t="str">
        <f t="shared" si="19"/>
        <v/>
      </c>
      <c r="B413" s="12" t="str">
        <f>IF('Import OpenCPN'!AC414="","",'Import OpenCPN'!AC414)</f>
        <v/>
      </c>
      <c r="C413" s="12" t="str">
        <f t="shared" si="18"/>
        <v/>
      </c>
      <c r="D413" s="12" t="str">
        <f t="shared" si="20"/>
        <v/>
      </c>
    </row>
    <row r="414" spans="1:4" x14ac:dyDescent="0.2">
      <c r="A414" t="str">
        <f t="shared" si="19"/>
        <v/>
      </c>
      <c r="B414" s="12" t="str">
        <f>IF('Import OpenCPN'!AC415="","",'Import OpenCPN'!AC415)</f>
        <v/>
      </c>
      <c r="C414" s="12" t="str">
        <f t="shared" si="18"/>
        <v/>
      </c>
      <c r="D414" s="12" t="str">
        <f t="shared" si="20"/>
        <v/>
      </c>
    </row>
    <row r="415" spans="1:4" x14ac:dyDescent="0.2">
      <c r="A415" t="str">
        <f t="shared" si="19"/>
        <v/>
      </c>
      <c r="B415" s="12" t="str">
        <f>IF('Import OpenCPN'!AC416="","",'Import OpenCPN'!AC416)</f>
        <v/>
      </c>
      <c r="C415" s="12" t="str">
        <f t="shared" si="18"/>
        <v/>
      </c>
      <c r="D415" s="12" t="str">
        <f t="shared" si="20"/>
        <v/>
      </c>
    </row>
    <row r="416" spans="1:4" x14ac:dyDescent="0.2">
      <c r="A416" t="str">
        <f t="shared" si="19"/>
        <v/>
      </c>
      <c r="B416" s="12" t="str">
        <f>IF('Import OpenCPN'!AC417="","",'Import OpenCPN'!AC417)</f>
        <v/>
      </c>
      <c r="C416" s="12" t="str">
        <f t="shared" si="18"/>
        <v/>
      </c>
      <c r="D416" s="12" t="str">
        <f t="shared" si="20"/>
        <v/>
      </c>
    </row>
    <row r="417" spans="1:4" x14ac:dyDescent="0.2">
      <c r="A417" t="str">
        <f t="shared" si="19"/>
        <v/>
      </c>
      <c r="B417" s="12" t="str">
        <f>IF('Import OpenCPN'!AC418="","",'Import OpenCPN'!AC418)</f>
        <v/>
      </c>
      <c r="C417" s="12" t="str">
        <f t="shared" si="18"/>
        <v/>
      </c>
      <c r="D417" s="12" t="str">
        <f t="shared" si="20"/>
        <v/>
      </c>
    </row>
    <row r="418" spans="1:4" x14ac:dyDescent="0.2">
      <c r="A418" t="str">
        <f t="shared" si="19"/>
        <v/>
      </c>
      <c r="B418" s="12" t="str">
        <f>IF('Import OpenCPN'!AC419="","",'Import OpenCPN'!AC419)</f>
        <v/>
      </c>
      <c r="C418" s="12" t="str">
        <f t="shared" si="18"/>
        <v/>
      </c>
      <c r="D418" s="12" t="str">
        <f t="shared" si="20"/>
        <v/>
      </c>
    </row>
    <row r="419" spans="1:4" x14ac:dyDescent="0.2">
      <c r="A419" t="str">
        <f t="shared" si="19"/>
        <v/>
      </c>
      <c r="B419" s="12" t="str">
        <f>IF('Import OpenCPN'!AC420="","",'Import OpenCPN'!AC420)</f>
        <v/>
      </c>
      <c r="C419" s="12" t="str">
        <f t="shared" si="18"/>
        <v/>
      </c>
      <c r="D419" s="12" t="str">
        <f t="shared" si="20"/>
        <v/>
      </c>
    </row>
    <row r="420" spans="1:4" x14ac:dyDescent="0.2">
      <c r="A420" t="str">
        <f t="shared" si="19"/>
        <v/>
      </c>
      <c r="B420" s="12" t="str">
        <f>IF('Import OpenCPN'!AC421="","",'Import OpenCPN'!AC421)</f>
        <v/>
      </c>
      <c r="C420" s="12" t="str">
        <f t="shared" si="18"/>
        <v/>
      </c>
      <c r="D420" s="12" t="str">
        <f t="shared" si="20"/>
        <v/>
      </c>
    </row>
    <row r="421" spans="1:4" x14ac:dyDescent="0.2">
      <c r="A421" t="str">
        <f t="shared" si="19"/>
        <v/>
      </c>
      <c r="B421" s="12" t="str">
        <f>IF('Import OpenCPN'!AC422="","",'Import OpenCPN'!AC422)</f>
        <v/>
      </c>
      <c r="C421" s="12" t="str">
        <f t="shared" si="18"/>
        <v/>
      </c>
      <c r="D421" s="12" t="str">
        <f t="shared" si="20"/>
        <v/>
      </c>
    </row>
    <row r="422" spans="1:4" x14ac:dyDescent="0.2">
      <c r="A422" t="str">
        <f t="shared" si="19"/>
        <v/>
      </c>
      <c r="B422" s="12" t="str">
        <f>IF('Import OpenCPN'!AC423="","",'Import OpenCPN'!AC423)</f>
        <v/>
      </c>
      <c r="C422" s="12" t="str">
        <f t="shared" si="18"/>
        <v/>
      </c>
      <c r="D422" s="12" t="str">
        <f t="shared" si="20"/>
        <v/>
      </c>
    </row>
    <row r="423" spans="1:4" x14ac:dyDescent="0.2">
      <c r="A423" t="str">
        <f t="shared" si="19"/>
        <v/>
      </c>
      <c r="B423" s="12" t="str">
        <f>IF('Import OpenCPN'!AC424="","",'Import OpenCPN'!AC424)</f>
        <v/>
      </c>
      <c r="C423" s="12" t="str">
        <f t="shared" si="18"/>
        <v/>
      </c>
      <c r="D423" s="12" t="str">
        <f t="shared" si="20"/>
        <v/>
      </c>
    </row>
    <row r="424" spans="1:4" x14ac:dyDescent="0.2">
      <c r="A424" t="str">
        <f t="shared" si="19"/>
        <v/>
      </c>
      <c r="B424" s="12" t="str">
        <f>IF('Import OpenCPN'!AC425="","",'Import OpenCPN'!AC425)</f>
        <v/>
      </c>
      <c r="C424" s="12" t="str">
        <f t="shared" si="18"/>
        <v/>
      </c>
      <c r="D424" s="12" t="str">
        <f t="shared" si="20"/>
        <v/>
      </c>
    </row>
    <row r="425" spans="1:4" x14ac:dyDescent="0.2">
      <c r="A425" t="str">
        <f t="shared" si="19"/>
        <v/>
      </c>
      <c r="B425" s="12" t="str">
        <f>IF('Import OpenCPN'!AC426="","",'Import OpenCPN'!AC426)</f>
        <v/>
      </c>
      <c r="C425" s="12" t="str">
        <f t="shared" si="18"/>
        <v/>
      </c>
      <c r="D425" s="12" t="str">
        <f t="shared" si="20"/>
        <v/>
      </c>
    </row>
    <row r="426" spans="1:4" x14ac:dyDescent="0.2">
      <c r="A426" t="str">
        <f t="shared" si="19"/>
        <v/>
      </c>
      <c r="B426" s="12" t="str">
        <f>IF('Import OpenCPN'!AC427="","",'Import OpenCPN'!AC427)</f>
        <v/>
      </c>
      <c r="C426" s="12" t="str">
        <f t="shared" si="18"/>
        <v/>
      </c>
      <c r="D426" s="12" t="str">
        <f t="shared" si="20"/>
        <v/>
      </c>
    </row>
    <row r="427" spans="1:4" x14ac:dyDescent="0.2">
      <c r="A427" t="str">
        <f t="shared" si="19"/>
        <v/>
      </c>
      <c r="B427" s="12" t="str">
        <f>IF('Import OpenCPN'!AC428="","",'Import OpenCPN'!AC428)</f>
        <v/>
      </c>
      <c r="C427" s="12" t="str">
        <f t="shared" si="18"/>
        <v/>
      </c>
      <c r="D427" s="12" t="str">
        <f t="shared" si="20"/>
        <v/>
      </c>
    </row>
    <row r="428" spans="1:4" x14ac:dyDescent="0.2">
      <c r="A428" t="str">
        <f t="shared" si="19"/>
        <v/>
      </c>
      <c r="B428" s="12" t="str">
        <f>IF('Import OpenCPN'!AC429="","",'Import OpenCPN'!AC429)</f>
        <v/>
      </c>
      <c r="C428" s="12" t="str">
        <f t="shared" si="18"/>
        <v/>
      </c>
      <c r="D428" s="12" t="str">
        <f t="shared" si="20"/>
        <v/>
      </c>
    </row>
    <row r="429" spans="1:4" x14ac:dyDescent="0.2">
      <c r="A429" t="str">
        <f t="shared" si="19"/>
        <v/>
      </c>
      <c r="B429" s="12" t="str">
        <f>IF('Import OpenCPN'!AC430="","",'Import OpenCPN'!AC430)</f>
        <v/>
      </c>
      <c r="C429" s="12" t="str">
        <f t="shared" si="18"/>
        <v/>
      </c>
      <c r="D429" s="12" t="str">
        <f t="shared" si="20"/>
        <v/>
      </c>
    </row>
    <row r="430" spans="1:4" x14ac:dyDescent="0.2">
      <c r="A430" t="str">
        <f t="shared" si="19"/>
        <v/>
      </c>
      <c r="B430" s="12" t="str">
        <f>IF('Import OpenCPN'!AC431="","",'Import OpenCPN'!AC431)</f>
        <v/>
      </c>
      <c r="C430" s="12" t="str">
        <f t="shared" si="18"/>
        <v/>
      </c>
      <c r="D430" s="12" t="str">
        <f t="shared" si="20"/>
        <v/>
      </c>
    </row>
    <row r="431" spans="1:4" x14ac:dyDescent="0.2">
      <c r="A431" t="str">
        <f t="shared" si="19"/>
        <v/>
      </c>
      <c r="B431" s="12" t="str">
        <f>IF('Import OpenCPN'!AC432="","",'Import OpenCPN'!AC432)</f>
        <v/>
      </c>
      <c r="C431" s="12" t="str">
        <f t="shared" si="18"/>
        <v/>
      </c>
      <c r="D431" s="12" t="str">
        <f t="shared" si="20"/>
        <v/>
      </c>
    </row>
    <row r="432" spans="1:4" x14ac:dyDescent="0.2">
      <c r="A432" t="str">
        <f t="shared" si="19"/>
        <v/>
      </c>
      <c r="B432" s="12" t="str">
        <f>IF('Import OpenCPN'!AC433="","",'Import OpenCPN'!AC433)</f>
        <v/>
      </c>
      <c r="C432" s="12" t="str">
        <f t="shared" si="18"/>
        <v/>
      </c>
      <c r="D432" s="12" t="str">
        <f t="shared" si="20"/>
        <v/>
      </c>
    </row>
    <row r="433" spans="1:4" x14ac:dyDescent="0.2">
      <c r="A433" t="str">
        <f t="shared" si="19"/>
        <v/>
      </c>
      <c r="B433" s="12" t="str">
        <f>IF('Import OpenCPN'!AC434="","",'Import OpenCPN'!AC434)</f>
        <v/>
      </c>
      <c r="C433" s="12" t="str">
        <f t="shared" si="18"/>
        <v/>
      </c>
      <c r="D433" s="12" t="str">
        <f t="shared" si="20"/>
        <v/>
      </c>
    </row>
    <row r="434" spans="1:4" x14ac:dyDescent="0.2">
      <c r="A434" t="str">
        <f t="shared" si="19"/>
        <v/>
      </c>
      <c r="B434" s="12" t="str">
        <f>IF('Import OpenCPN'!AC435="","",'Import OpenCPN'!AC435)</f>
        <v/>
      </c>
      <c r="C434" s="12" t="str">
        <f t="shared" si="18"/>
        <v/>
      </c>
      <c r="D434" s="12" t="str">
        <f t="shared" si="20"/>
        <v/>
      </c>
    </row>
    <row r="435" spans="1:4" x14ac:dyDescent="0.2">
      <c r="A435" t="str">
        <f t="shared" si="19"/>
        <v/>
      </c>
      <c r="B435" s="12" t="str">
        <f>IF('Import OpenCPN'!AC436="","",'Import OpenCPN'!AC436)</f>
        <v/>
      </c>
      <c r="C435" s="12" t="str">
        <f t="shared" si="18"/>
        <v/>
      </c>
      <c r="D435" s="12" t="str">
        <f t="shared" si="20"/>
        <v/>
      </c>
    </row>
    <row r="436" spans="1:4" x14ac:dyDescent="0.2">
      <c r="A436" t="str">
        <f t="shared" si="19"/>
        <v/>
      </c>
      <c r="B436" s="12" t="str">
        <f>IF('Import OpenCPN'!AC437="","",'Import OpenCPN'!AC437)</f>
        <v/>
      </c>
      <c r="C436" s="12" t="str">
        <f t="shared" si="18"/>
        <v/>
      </c>
      <c r="D436" s="12" t="str">
        <f t="shared" si="20"/>
        <v/>
      </c>
    </row>
    <row r="437" spans="1:4" x14ac:dyDescent="0.2">
      <c r="A437" t="str">
        <f t="shared" si="19"/>
        <v/>
      </c>
      <c r="B437" s="12" t="str">
        <f>IF('Import OpenCPN'!AC438="","",'Import OpenCPN'!AC438)</f>
        <v/>
      </c>
      <c r="C437" s="12" t="str">
        <f t="shared" si="18"/>
        <v/>
      </c>
      <c r="D437" s="12" t="str">
        <f t="shared" si="20"/>
        <v/>
      </c>
    </row>
    <row r="438" spans="1:4" x14ac:dyDescent="0.2">
      <c r="A438" t="str">
        <f t="shared" si="19"/>
        <v/>
      </c>
      <c r="B438" s="12" t="str">
        <f>IF('Import OpenCPN'!AC439="","",'Import OpenCPN'!AC439)</f>
        <v/>
      </c>
      <c r="C438" s="12" t="str">
        <f t="shared" si="18"/>
        <v/>
      </c>
      <c r="D438" s="12" t="str">
        <f t="shared" si="20"/>
        <v/>
      </c>
    </row>
    <row r="439" spans="1:4" x14ac:dyDescent="0.2">
      <c r="A439" t="str">
        <f t="shared" si="19"/>
        <v/>
      </c>
      <c r="B439" s="12" t="str">
        <f>IF('Import OpenCPN'!AC440="","",'Import OpenCPN'!AC440)</f>
        <v/>
      </c>
      <c r="C439" s="12" t="str">
        <f t="shared" si="18"/>
        <v/>
      </c>
      <c r="D439" s="12" t="str">
        <f t="shared" si="20"/>
        <v/>
      </c>
    </row>
    <row r="440" spans="1:4" x14ac:dyDescent="0.2">
      <c r="A440" t="str">
        <f t="shared" si="19"/>
        <v/>
      </c>
      <c r="B440" s="12" t="str">
        <f>IF('Import OpenCPN'!AC441="","",'Import OpenCPN'!AC441)</f>
        <v/>
      </c>
      <c r="C440" s="12" t="str">
        <f t="shared" si="18"/>
        <v/>
      </c>
      <c r="D440" s="12" t="str">
        <f t="shared" si="20"/>
        <v/>
      </c>
    </row>
    <row r="441" spans="1:4" x14ac:dyDescent="0.2">
      <c r="A441" t="str">
        <f t="shared" si="19"/>
        <v/>
      </c>
      <c r="B441" s="12" t="str">
        <f>IF('Import OpenCPN'!AC442="","",'Import OpenCPN'!AC442)</f>
        <v/>
      </c>
      <c r="C441" s="12" t="str">
        <f t="shared" si="18"/>
        <v/>
      </c>
      <c r="D441" s="12" t="str">
        <f t="shared" si="20"/>
        <v/>
      </c>
    </row>
    <row r="442" spans="1:4" x14ac:dyDescent="0.2">
      <c r="A442" t="str">
        <f t="shared" si="19"/>
        <v/>
      </c>
      <c r="B442" s="12" t="str">
        <f>IF('Import OpenCPN'!AC443="","",'Import OpenCPN'!AC443)</f>
        <v/>
      </c>
      <c r="C442" s="12" t="str">
        <f t="shared" si="18"/>
        <v/>
      </c>
      <c r="D442" s="12" t="str">
        <f t="shared" si="20"/>
        <v/>
      </c>
    </row>
    <row r="443" spans="1:4" x14ac:dyDescent="0.2">
      <c r="A443" t="str">
        <f t="shared" si="19"/>
        <v/>
      </c>
      <c r="B443" s="12" t="str">
        <f>IF('Import OpenCPN'!AC444="","",'Import OpenCPN'!AC444)</f>
        <v/>
      </c>
      <c r="C443" s="12" t="str">
        <f t="shared" si="18"/>
        <v/>
      </c>
      <c r="D443" s="12" t="str">
        <f t="shared" si="20"/>
        <v/>
      </c>
    </row>
    <row r="444" spans="1:4" x14ac:dyDescent="0.2">
      <c r="A444" t="str">
        <f t="shared" si="19"/>
        <v/>
      </c>
      <c r="B444" s="12" t="str">
        <f>IF('Import OpenCPN'!AC445="","",'Import OpenCPN'!AC445)</f>
        <v/>
      </c>
      <c r="C444" s="12" t="str">
        <f t="shared" si="18"/>
        <v/>
      </c>
      <c r="D444" s="12" t="str">
        <f t="shared" si="20"/>
        <v/>
      </c>
    </row>
    <row r="445" spans="1:4" x14ac:dyDescent="0.2">
      <c r="A445" t="str">
        <f t="shared" si="19"/>
        <v/>
      </c>
      <c r="B445" s="12" t="str">
        <f>IF('Import OpenCPN'!AC446="","",'Import OpenCPN'!AC446)</f>
        <v/>
      </c>
      <c r="C445" s="12" t="str">
        <f t="shared" si="18"/>
        <v/>
      </c>
      <c r="D445" s="12" t="str">
        <f t="shared" si="20"/>
        <v/>
      </c>
    </row>
    <row r="446" spans="1:4" x14ac:dyDescent="0.2">
      <c r="A446" t="str">
        <f t="shared" si="19"/>
        <v/>
      </c>
      <c r="B446" s="12" t="str">
        <f>IF('Import OpenCPN'!AC447="","",'Import OpenCPN'!AC447)</f>
        <v/>
      </c>
      <c r="C446" s="12" t="str">
        <f t="shared" si="18"/>
        <v/>
      </c>
      <c r="D446" s="12" t="str">
        <f t="shared" si="20"/>
        <v/>
      </c>
    </row>
    <row r="447" spans="1:4" x14ac:dyDescent="0.2">
      <c r="A447" t="str">
        <f t="shared" si="19"/>
        <v/>
      </c>
      <c r="B447" s="12" t="str">
        <f>IF('Import OpenCPN'!AC448="","",'Import OpenCPN'!AC448)</f>
        <v/>
      </c>
      <c r="C447" s="12" t="str">
        <f t="shared" si="18"/>
        <v/>
      </c>
      <c r="D447" s="12" t="str">
        <f t="shared" si="20"/>
        <v/>
      </c>
    </row>
    <row r="448" spans="1:4" x14ac:dyDescent="0.2">
      <c r="A448" t="str">
        <f t="shared" si="19"/>
        <v/>
      </c>
      <c r="B448" s="12" t="str">
        <f>IF('Import OpenCPN'!AC449="","",'Import OpenCPN'!AC449)</f>
        <v/>
      </c>
      <c r="C448" s="12" t="str">
        <f t="shared" si="18"/>
        <v/>
      </c>
      <c r="D448" s="12" t="str">
        <f t="shared" si="20"/>
        <v/>
      </c>
    </row>
    <row r="449" spans="1:4" x14ac:dyDescent="0.2">
      <c r="A449" t="str">
        <f t="shared" si="19"/>
        <v/>
      </c>
      <c r="B449" s="12" t="str">
        <f>IF('Import OpenCPN'!AC450="","",'Import OpenCPN'!AC450)</f>
        <v/>
      </c>
      <c r="C449" s="12" t="str">
        <f t="shared" si="18"/>
        <v/>
      </c>
      <c r="D449" s="12" t="str">
        <f t="shared" si="20"/>
        <v/>
      </c>
    </row>
    <row r="450" spans="1:4" x14ac:dyDescent="0.2">
      <c r="A450" t="str">
        <f t="shared" si="19"/>
        <v/>
      </c>
      <c r="B450" s="12" t="str">
        <f>IF('Import OpenCPN'!AC451="","",'Import OpenCPN'!AC451)</f>
        <v/>
      </c>
      <c r="C450" s="12" t="str">
        <f t="shared" ref="C450:C513" si="21">IF(B450="","","q")</f>
        <v/>
      </c>
      <c r="D450" s="12" t="str">
        <f t="shared" si="20"/>
        <v/>
      </c>
    </row>
    <row r="451" spans="1:4" x14ac:dyDescent="0.2">
      <c r="A451" t="str">
        <f t="shared" ref="A451:A514" si="22">IF(B451="","",A450+1)</f>
        <v/>
      </c>
      <c r="B451" s="12" t="str">
        <f>IF('Import OpenCPN'!AC452="","",'Import OpenCPN'!AC452)</f>
        <v/>
      </c>
      <c r="C451" s="12" t="str">
        <f t="shared" si="21"/>
        <v/>
      </c>
      <c r="D451" s="12" t="str">
        <f t="shared" ref="D451:D514" si="23">IF(B451="","",1)</f>
        <v/>
      </c>
    </row>
    <row r="452" spans="1:4" x14ac:dyDescent="0.2">
      <c r="A452" t="str">
        <f t="shared" si="22"/>
        <v/>
      </c>
      <c r="B452" s="12" t="str">
        <f>IF('Import OpenCPN'!AC453="","",'Import OpenCPN'!AC453)</f>
        <v/>
      </c>
      <c r="C452" s="12" t="str">
        <f t="shared" si="21"/>
        <v/>
      </c>
      <c r="D452" s="12" t="str">
        <f t="shared" si="23"/>
        <v/>
      </c>
    </row>
    <row r="453" spans="1:4" x14ac:dyDescent="0.2">
      <c r="A453" t="str">
        <f t="shared" si="22"/>
        <v/>
      </c>
      <c r="B453" s="12" t="str">
        <f>IF('Import OpenCPN'!AC454="","",'Import OpenCPN'!AC454)</f>
        <v/>
      </c>
      <c r="C453" s="12" t="str">
        <f t="shared" si="21"/>
        <v/>
      </c>
      <c r="D453" s="12" t="str">
        <f t="shared" si="23"/>
        <v/>
      </c>
    </row>
    <row r="454" spans="1:4" x14ac:dyDescent="0.2">
      <c r="A454" t="str">
        <f t="shared" si="22"/>
        <v/>
      </c>
      <c r="B454" s="12" t="str">
        <f>IF('Import OpenCPN'!AC455="","",'Import OpenCPN'!AC455)</f>
        <v/>
      </c>
      <c r="C454" s="12" t="str">
        <f t="shared" si="21"/>
        <v/>
      </c>
      <c r="D454" s="12" t="str">
        <f t="shared" si="23"/>
        <v/>
      </c>
    </row>
    <row r="455" spans="1:4" x14ac:dyDescent="0.2">
      <c r="A455" t="str">
        <f t="shared" si="22"/>
        <v/>
      </c>
      <c r="B455" s="12" t="str">
        <f>IF('Import OpenCPN'!AC456="","",'Import OpenCPN'!AC456)</f>
        <v/>
      </c>
      <c r="C455" s="12" t="str">
        <f t="shared" si="21"/>
        <v/>
      </c>
      <c r="D455" s="12" t="str">
        <f t="shared" si="23"/>
        <v/>
      </c>
    </row>
    <row r="456" spans="1:4" x14ac:dyDescent="0.2">
      <c r="A456" t="str">
        <f t="shared" si="22"/>
        <v/>
      </c>
      <c r="B456" s="12" t="str">
        <f>IF('Import OpenCPN'!AC457="","",'Import OpenCPN'!AC457)</f>
        <v/>
      </c>
      <c r="C456" s="12" t="str">
        <f t="shared" si="21"/>
        <v/>
      </c>
      <c r="D456" s="12" t="str">
        <f t="shared" si="23"/>
        <v/>
      </c>
    </row>
    <row r="457" spans="1:4" x14ac:dyDescent="0.2">
      <c r="A457" t="str">
        <f t="shared" si="22"/>
        <v/>
      </c>
      <c r="B457" s="12" t="str">
        <f>IF('Import OpenCPN'!AC458="","",'Import OpenCPN'!AC458)</f>
        <v/>
      </c>
      <c r="C457" s="12" t="str">
        <f t="shared" si="21"/>
        <v/>
      </c>
      <c r="D457" s="12" t="str">
        <f t="shared" si="23"/>
        <v/>
      </c>
    </row>
    <row r="458" spans="1:4" x14ac:dyDescent="0.2">
      <c r="A458" t="str">
        <f t="shared" si="22"/>
        <v/>
      </c>
      <c r="B458" s="12" t="str">
        <f>IF('Import OpenCPN'!AC459="","",'Import OpenCPN'!AC459)</f>
        <v/>
      </c>
      <c r="C458" s="12" t="str">
        <f t="shared" si="21"/>
        <v/>
      </c>
      <c r="D458" s="12" t="str">
        <f t="shared" si="23"/>
        <v/>
      </c>
    </row>
    <row r="459" spans="1:4" x14ac:dyDescent="0.2">
      <c r="A459" t="str">
        <f t="shared" si="22"/>
        <v/>
      </c>
      <c r="B459" s="12" t="str">
        <f>IF('Import OpenCPN'!AC460="","",'Import OpenCPN'!AC460)</f>
        <v/>
      </c>
      <c r="C459" s="12" t="str">
        <f t="shared" si="21"/>
        <v/>
      </c>
      <c r="D459" s="12" t="str">
        <f t="shared" si="23"/>
        <v/>
      </c>
    </row>
    <row r="460" spans="1:4" x14ac:dyDescent="0.2">
      <c r="A460" t="str">
        <f t="shared" si="22"/>
        <v/>
      </c>
      <c r="B460" s="12" t="str">
        <f>IF('Import OpenCPN'!AC461="","",'Import OpenCPN'!AC461)</f>
        <v/>
      </c>
      <c r="C460" s="12" t="str">
        <f t="shared" si="21"/>
        <v/>
      </c>
      <c r="D460" s="12" t="str">
        <f t="shared" si="23"/>
        <v/>
      </c>
    </row>
    <row r="461" spans="1:4" x14ac:dyDescent="0.2">
      <c r="A461" t="str">
        <f t="shared" si="22"/>
        <v/>
      </c>
      <c r="B461" s="12" t="str">
        <f>IF('Import OpenCPN'!AC462="","",'Import OpenCPN'!AC462)</f>
        <v/>
      </c>
      <c r="C461" s="12" t="str">
        <f t="shared" si="21"/>
        <v/>
      </c>
      <c r="D461" s="12" t="str">
        <f t="shared" si="23"/>
        <v/>
      </c>
    </row>
    <row r="462" spans="1:4" x14ac:dyDescent="0.2">
      <c r="A462" t="str">
        <f t="shared" si="22"/>
        <v/>
      </c>
      <c r="B462" s="12" t="str">
        <f>IF('Import OpenCPN'!AC463="","",'Import OpenCPN'!AC463)</f>
        <v/>
      </c>
      <c r="C462" s="12" t="str">
        <f t="shared" si="21"/>
        <v/>
      </c>
      <c r="D462" s="12" t="str">
        <f t="shared" si="23"/>
        <v/>
      </c>
    </row>
    <row r="463" spans="1:4" x14ac:dyDescent="0.2">
      <c r="A463" t="str">
        <f t="shared" si="22"/>
        <v/>
      </c>
      <c r="B463" s="12" t="str">
        <f>IF('Import OpenCPN'!AC464="","",'Import OpenCPN'!AC464)</f>
        <v/>
      </c>
      <c r="C463" s="12" t="str">
        <f t="shared" si="21"/>
        <v/>
      </c>
      <c r="D463" s="12" t="str">
        <f t="shared" si="23"/>
        <v/>
      </c>
    </row>
    <row r="464" spans="1:4" x14ac:dyDescent="0.2">
      <c r="A464" t="str">
        <f t="shared" si="22"/>
        <v/>
      </c>
      <c r="B464" s="12" t="str">
        <f>IF('Import OpenCPN'!AC465="","",'Import OpenCPN'!AC465)</f>
        <v/>
      </c>
      <c r="C464" s="12" t="str">
        <f t="shared" si="21"/>
        <v/>
      </c>
      <c r="D464" s="12" t="str">
        <f t="shared" si="23"/>
        <v/>
      </c>
    </row>
    <row r="465" spans="1:4" x14ac:dyDescent="0.2">
      <c r="A465" t="str">
        <f t="shared" si="22"/>
        <v/>
      </c>
      <c r="B465" s="12" t="str">
        <f>IF('Import OpenCPN'!AC466="","",'Import OpenCPN'!AC466)</f>
        <v/>
      </c>
      <c r="C465" s="12" t="str">
        <f t="shared" si="21"/>
        <v/>
      </c>
      <c r="D465" s="12" t="str">
        <f t="shared" si="23"/>
        <v/>
      </c>
    </row>
    <row r="466" spans="1:4" x14ac:dyDescent="0.2">
      <c r="A466" t="str">
        <f t="shared" si="22"/>
        <v/>
      </c>
      <c r="B466" s="12" t="str">
        <f>IF('Import OpenCPN'!AC467="","",'Import OpenCPN'!AC467)</f>
        <v/>
      </c>
      <c r="C466" s="12" t="str">
        <f t="shared" si="21"/>
        <v/>
      </c>
      <c r="D466" s="12" t="str">
        <f t="shared" si="23"/>
        <v/>
      </c>
    </row>
    <row r="467" spans="1:4" x14ac:dyDescent="0.2">
      <c r="A467" t="str">
        <f t="shared" si="22"/>
        <v/>
      </c>
      <c r="B467" s="12" t="str">
        <f>IF('Import OpenCPN'!AC468="","",'Import OpenCPN'!AC468)</f>
        <v/>
      </c>
      <c r="C467" s="12" t="str">
        <f t="shared" si="21"/>
        <v/>
      </c>
      <c r="D467" s="12" t="str">
        <f t="shared" si="23"/>
        <v/>
      </c>
    </row>
    <row r="468" spans="1:4" x14ac:dyDescent="0.2">
      <c r="A468" t="str">
        <f t="shared" si="22"/>
        <v/>
      </c>
      <c r="B468" s="12" t="str">
        <f>IF('Import OpenCPN'!AC469="","",'Import OpenCPN'!AC469)</f>
        <v/>
      </c>
      <c r="C468" s="12" t="str">
        <f t="shared" si="21"/>
        <v/>
      </c>
      <c r="D468" s="12" t="str">
        <f t="shared" si="23"/>
        <v/>
      </c>
    </row>
    <row r="469" spans="1:4" x14ac:dyDescent="0.2">
      <c r="A469" t="str">
        <f t="shared" si="22"/>
        <v/>
      </c>
      <c r="B469" s="12" t="str">
        <f>IF('Import OpenCPN'!AC470="","",'Import OpenCPN'!AC470)</f>
        <v/>
      </c>
      <c r="C469" s="12" t="str">
        <f t="shared" si="21"/>
        <v/>
      </c>
      <c r="D469" s="12" t="str">
        <f t="shared" si="23"/>
        <v/>
      </c>
    </row>
    <row r="470" spans="1:4" x14ac:dyDescent="0.2">
      <c r="A470" t="str">
        <f t="shared" si="22"/>
        <v/>
      </c>
      <c r="B470" s="12" t="str">
        <f>IF('Import OpenCPN'!AC471="","",'Import OpenCPN'!AC471)</f>
        <v/>
      </c>
      <c r="C470" s="12" t="str">
        <f t="shared" si="21"/>
        <v/>
      </c>
      <c r="D470" s="12" t="str">
        <f t="shared" si="23"/>
        <v/>
      </c>
    </row>
    <row r="471" spans="1:4" x14ac:dyDescent="0.2">
      <c r="A471" t="str">
        <f t="shared" si="22"/>
        <v/>
      </c>
      <c r="B471" s="12" t="str">
        <f>IF('Import OpenCPN'!AC472="","",'Import OpenCPN'!AC472)</f>
        <v/>
      </c>
      <c r="C471" s="12" t="str">
        <f t="shared" si="21"/>
        <v/>
      </c>
      <c r="D471" s="12" t="str">
        <f t="shared" si="23"/>
        <v/>
      </c>
    </row>
    <row r="472" spans="1:4" x14ac:dyDescent="0.2">
      <c r="A472" t="str">
        <f t="shared" si="22"/>
        <v/>
      </c>
      <c r="B472" s="12" t="str">
        <f>IF('Import OpenCPN'!AC473="","",'Import OpenCPN'!AC473)</f>
        <v/>
      </c>
      <c r="C472" s="12" t="str">
        <f t="shared" si="21"/>
        <v/>
      </c>
      <c r="D472" s="12" t="str">
        <f t="shared" si="23"/>
        <v/>
      </c>
    </row>
    <row r="473" spans="1:4" x14ac:dyDescent="0.2">
      <c r="A473" t="str">
        <f t="shared" si="22"/>
        <v/>
      </c>
      <c r="B473" s="12" t="str">
        <f>IF('Import OpenCPN'!AC474="","",'Import OpenCPN'!AC474)</f>
        <v/>
      </c>
      <c r="C473" s="12" t="str">
        <f t="shared" si="21"/>
        <v/>
      </c>
      <c r="D473" s="12" t="str">
        <f t="shared" si="23"/>
        <v/>
      </c>
    </row>
    <row r="474" spans="1:4" x14ac:dyDescent="0.2">
      <c r="A474" t="str">
        <f t="shared" si="22"/>
        <v/>
      </c>
      <c r="B474" s="12" t="str">
        <f>IF('Import OpenCPN'!AC475="","",'Import OpenCPN'!AC475)</f>
        <v/>
      </c>
      <c r="C474" s="12" t="str">
        <f t="shared" si="21"/>
        <v/>
      </c>
      <c r="D474" s="12" t="str">
        <f t="shared" si="23"/>
        <v/>
      </c>
    </row>
    <row r="475" spans="1:4" x14ac:dyDescent="0.2">
      <c r="A475" t="str">
        <f t="shared" si="22"/>
        <v/>
      </c>
      <c r="B475" s="12" t="str">
        <f>IF('Import OpenCPN'!AC476="","",'Import OpenCPN'!AC476)</f>
        <v/>
      </c>
      <c r="C475" s="12" t="str">
        <f t="shared" si="21"/>
        <v/>
      </c>
      <c r="D475" s="12" t="str">
        <f t="shared" si="23"/>
        <v/>
      </c>
    </row>
    <row r="476" spans="1:4" x14ac:dyDescent="0.2">
      <c r="A476" t="str">
        <f t="shared" si="22"/>
        <v/>
      </c>
      <c r="B476" s="12" t="str">
        <f>IF('Import OpenCPN'!AC477="","",'Import OpenCPN'!AC477)</f>
        <v/>
      </c>
      <c r="C476" s="12" t="str">
        <f t="shared" si="21"/>
        <v/>
      </c>
      <c r="D476" s="12" t="str">
        <f t="shared" si="23"/>
        <v/>
      </c>
    </row>
    <row r="477" spans="1:4" x14ac:dyDescent="0.2">
      <c r="A477" t="str">
        <f t="shared" si="22"/>
        <v/>
      </c>
      <c r="B477" s="12" t="str">
        <f>IF('Import OpenCPN'!AC478="","",'Import OpenCPN'!AC478)</f>
        <v/>
      </c>
      <c r="C477" s="12" t="str">
        <f t="shared" si="21"/>
        <v/>
      </c>
      <c r="D477" s="12" t="str">
        <f t="shared" si="23"/>
        <v/>
      </c>
    </row>
    <row r="478" spans="1:4" x14ac:dyDescent="0.2">
      <c r="A478" t="str">
        <f t="shared" si="22"/>
        <v/>
      </c>
      <c r="B478" s="12" t="str">
        <f>IF('Import OpenCPN'!AC479="","",'Import OpenCPN'!AC479)</f>
        <v/>
      </c>
      <c r="C478" s="12" t="str">
        <f t="shared" si="21"/>
        <v/>
      </c>
      <c r="D478" s="12" t="str">
        <f t="shared" si="23"/>
        <v/>
      </c>
    </row>
    <row r="479" spans="1:4" x14ac:dyDescent="0.2">
      <c r="A479" t="str">
        <f t="shared" si="22"/>
        <v/>
      </c>
      <c r="B479" s="12" t="str">
        <f>IF('Import OpenCPN'!AC480="","",'Import OpenCPN'!AC480)</f>
        <v/>
      </c>
      <c r="C479" s="12" t="str">
        <f t="shared" si="21"/>
        <v/>
      </c>
      <c r="D479" s="12" t="str">
        <f t="shared" si="23"/>
        <v/>
      </c>
    </row>
    <row r="480" spans="1:4" x14ac:dyDescent="0.2">
      <c r="A480" t="str">
        <f t="shared" si="22"/>
        <v/>
      </c>
      <c r="B480" s="12" t="str">
        <f>IF('Import OpenCPN'!AC481="","",'Import OpenCPN'!AC481)</f>
        <v/>
      </c>
      <c r="C480" s="12" t="str">
        <f t="shared" si="21"/>
        <v/>
      </c>
      <c r="D480" s="12" t="str">
        <f t="shared" si="23"/>
        <v/>
      </c>
    </row>
    <row r="481" spans="1:4" x14ac:dyDescent="0.2">
      <c r="A481" t="str">
        <f t="shared" si="22"/>
        <v/>
      </c>
      <c r="B481" s="12" t="str">
        <f>IF('Import OpenCPN'!AC482="","",'Import OpenCPN'!AC482)</f>
        <v/>
      </c>
      <c r="C481" s="12" t="str">
        <f t="shared" si="21"/>
        <v/>
      </c>
      <c r="D481" s="12" t="str">
        <f t="shared" si="23"/>
        <v/>
      </c>
    </row>
    <row r="482" spans="1:4" x14ac:dyDescent="0.2">
      <c r="A482" t="str">
        <f t="shared" si="22"/>
        <v/>
      </c>
      <c r="B482" s="12" t="str">
        <f>IF('Import OpenCPN'!AC483="","",'Import OpenCPN'!AC483)</f>
        <v/>
      </c>
      <c r="C482" s="12" t="str">
        <f t="shared" si="21"/>
        <v/>
      </c>
      <c r="D482" s="12" t="str">
        <f t="shared" si="23"/>
        <v/>
      </c>
    </row>
    <row r="483" spans="1:4" x14ac:dyDescent="0.2">
      <c r="A483" t="str">
        <f t="shared" si="22"/>
        <v/>
      </c>
      <c r="B483" s="12" t="str">
        <f>IF('Import OpenCPN'!AC484="","",'Import OpenCPN'!AC484)</f>
        <v/>
      </c>
      <c r="C483" s="12" t="str">
        <f t="shared" si="21"/>
        <v/>
      </c>
      <c r="D483" s="12" t="str">
        <f t="shared" si="23"/>
        <v/>
      </c>
    </row>
    <row r="484" spans="1:4" x14ac:dyDescent="0.2">
      <c r="A484" t="str">
        <f t="shared" si="22"/>
        <v/>
      </c>
      <c r="B484" s="12" t="str">
        <f>IF('Import OpenCPN'!AC485="","",'Import OpenCPN'!AC485)</f>
        <v/>
      </c>
      <c r="C484" s="12" t="str">
        <f t="shared" si="21"/>
        <v/>
      </c>
      <c r="D484" s="12" t="str">
        <f t="shared" si="23"/>
        <v/>
      </c>
    </row>
    <row r="485" spans="1:4" x14ac:dyDescent="0.2">
      <c r="A485" t="str">
        <f t="shared" si="22"/>
        <v/>
      </c>
      <c r="B485" s="12" t="str">
        <f>IF('Import OpenCPN'!AC486="","",'Import OpenCPN'!AC486)</f>
        <v/>
      </c>
      <c r="C485" s="12" t="str">
        <f t="shared" si="21"/>
        <v/>
      </c>
      <c r="D485" s="12" t="str">
        <f t="shared" si="23"/>
        <v/>
      </c>
    </row>
    <row r="486" spans="1:4" x14ac:dyDescent="0.2">
      <c r="A486" t="str">
        <f t="shared" si="22"/>
        <v/>
      </c>
      <c r="B486" s="12" t="str">
        <f>IF('Import OpenCPN'!AC487="","",'Import OpenCPN'!AC487)</f>
        <v/>
      </c>
      <c r="C486" s="12" t="str">
        <f t="shared" si="21"/>
        <v/>
      </c>
      <c r="D486" s="12" t="str">
        <f t="shared" si="23"/>
        <v/>
      </c>
    </row>
    <row r="487" spans="1:4" x14ac:dyDescent="0.2">
      <c r="A487" t="str">
        <f t="shared" si="22"/>
        <v/>
      </c>
      <c r="B487" s="12" t="str">
        <f>IF('Import OpenCPN'!AC488="","",'Import OpenCPN'!AC488)</f>
        <v/>
      </c>
      <c r="C487" s="12" t="str">
        <f t="shared" si="21"/>
        <v/>
      </c>
      <c r="D487" s="12" t="str">
        <f t="shared" si="23"/>
        <v/>
      </c>
    </row>
    <row r="488" spans="1:4" x14ac:dyDescent="0.2">
      <c r="A488" t="str">
        <f t="shared" si="22"/>
        <v/>
      </c>
      <c r="B488" s="12" t="str">
        <f>IF('Import OpenCPN'!AC489="","",'Import OpenCPN'!AC489)</f>
        <v/>
      </c>
      <c r="C488" s="12" t="str">
        <f t="shared" si="21"/>
        <v/>
      </c>
      <c r="D488" s="12" t="str">
        <f t="shared" si="23"/>
        <v/>
      </c>
    </row>
    <row r="489" spans="1:4" x14ac:dyDescent="0.2">
      <c r="A489" t="str">
        <f t="shared" si="22"/>
        <v/>
      </c>
      <c r="B489" s="12" t="str">
        <f>IF('Import OpenCPN'!AC490="","",'Import OpenCPN'!AC490)</f>
        <v/>
      </c>
      <c r="C489" s="12" t="str">
        <f t="shared" si="21"/>
        <v/>
      </c>
      <c r="D489" s="12" t="str">
        <f t="shared" si="23"/>
        <v/>
      </c>
    </row>
    <row r="490" spans="1:4" x14ac:dyDescent="0.2">
      <c r="A490" t="str">
        <f t="shared" si="22"/>
        <v/>
      </c>
      <c r="B490" s="12" t="str">
        <f>IF('Import OpenCPN'!AC491="","",'Import OpenCPN'!AC491)</f>
        <v/>
      </c>
      <c r="C490" s="12" t="str">
        <f t="shared" si="21"/>
        <v/>
      </c>
      <c r="D490" s="12" t="str">
        <f t="shared" si="23"/>
        <v/>
      </c>
    </row>
    <row r="491" spans="1:4" x14ac:dyDescent="0.2">
      <c r="A491" t="str">
        <f t="shared" si="22"/>
        <v/>
      </c>
      <c r="B491" s="12" t="str">
        <f>IF('Import OpenCPN'!AC492="","",'Import OpenCPN'!AC492)</f>
        <v/>
      </c>
      <c r="C491" s="12" t="str">
        <f t="shared" si="21"/>
        <v/>
      </c>
      <c r="D491" s="12" t="str">
        <f t="shared" si="23"/>
        <v/>
      </c>
    </row>
    <row r="492" spans="1:4" x14ac:dyDescent="0.2">
      <c r="A492" t="str">
        <f t="shared" si="22"/>
        <v/>
      </c>
      <c r="B492" s="12" t="str">
        <f>IF('Import OpenCPN'!AC493="","",'Import OpenCPN'!AC493)</f>
        <v/>
      </c>
      <c r="C492" s="12" t="str">
        <f t="shared" si="21"/>
        <v/>
      </c>
      <c r="D492" s="12" t="str">
        <f t="shared" si="23"/>
        <v/>
      </c>
    </row>
    <row r="493" spans="1:4" x14ac:dyDescent="0.2">
      <c r="A493" t="str">
        <f t="shared" si="22"/>
        <v/>
      </c>
      <c r="B493" s="12" t="str">
        <f>IF('Import OpenCPN'!AC494="","",'Import OpenCPN'!AC494)</f>
        <v/>
      </c>
      <c r="C493" s="12" t="str">
        <f t="shared" si="21"/>
        <v/>
      </c>
      <c r="D493" s="12" t="str">
        <f t="shared" si="23"/>
        <v/>
      </c>
    </row>
    <row r="494" spans="1:4" x14ac:dyDescent="0.2">
      <c r="A494" t="str">
        <f t="shared" si="22"/>
        <v/>
      </c>
      <c r="B494" s="12" t="str">
        <f>IF('Import OpenCPN'!AC495="","",'Import OpenCPN'!AC495)</f>
        <v/>
      </c>
      <c r="C494" s="12" t="str">
        <f t="shared" si="21"/>
        <v/>
      </c>
      <c r="D494" s="12" t="str">
        <f t="shared" si="23"/>
        <v/>
      </c>
    </row>
    <row r="495" spans="1:4" x14ac:dyDescent="0.2">
      <c r="A495" t="str">
        <f t="shared" si="22"/>
        <v/>
      </c>
      <c r="B495" s="12" t="str">
        <f>IF('Import OpenCPN'!AC496="","",'Import OpenCPN'!AC496)</f>
        <v/>
      </c>
      <c r="C495" s="12" t="str">
        <f t="shared" si="21"/>
        <v/>
      </c>
      <c r="D495" s="12" t="str">
        <f t="shared" si="23"/>
        <v/>
      </c>
    </row>
    <row r="496" spans="1:4" x14ac:dyDescent="0.2">
      <c r="A496" t="str">
        <f t="shared" si="22"/>
        <v/>
      </c>
      <c r="B496" s="12" t="str">
        <f>IF('Import OpenCPN'!AC497="","",'Import OpenCPN'!AC497)</f>
        <v/>
      </c>
      <c r="C496" s="12" t="str">
        <f t="shared" si="21"/>
        <v/>
      </c>
      <c r="D496" s="12" t="str">
        <f t="shared" si="23"/>
        <v/>
      </c>
    </row>
    <row r="497" spans="1:4" x14ac:dyDescent="0.2">
      <c r="A497" t="str">
        <f t="shared" si="22"/>
        <v/>
      </c>
      <c r="B497" s="12" t="str">
        <f>IF('Import OpenCPN'!AC498="","",'Import OpenCPN'!AC498)</f>
        <v/>
      </c>
      <c r="C497" s="12" t="str">
        <f t="shared" si="21"/>
        <v/>
      </c>
      <c r="D497" s="12" t="str">
        <f t="shared" si="23"/>
        <v/>
      </c>
    </row>
    <row r="498" spans="1:4" x14ac:dyDescent="0.2">
      <c r="A498" t="str">
        <f t="shared" si="22"/>
        <v/>
      </c>
      <c r="B498" s="12" t="str">
        <f>IF('Import OpenCPN'!AC499="","",'Import OpenCPN'!AC499)</f>
        <v/>
      </c>
      <c r="C498" s="12" t="str">
        <f t="shared" si="21"/>
        <v/>
      </c>
      <c r="D498" s="12" t="str">
        <f t="shared" si="23"/>
        <v/>
      </c>
    </row>
    <row r="499" spans="1:4" x14ac:dyDescent="0.2">
      <c r="A499" t="str">
        <f t="shared" si="22"/>
        <v/>
      </c>
      <c r="B499" s="12" t="str">
        <f>IF('Import OpenCPN'!AC500="","",'Import OpenCPN'!AC500)</f>
        <v/>
      </c>
      <c r="C499" s="12" t="str">
        <f t="shared" si="21"/>
        <v/>
      </c>
      <c r="D499" s="12" t="str">
        <f t="shared" si="23"/>
        <v/>
      </c>
    </row>
    <row r="500" spans="1:4" x14ac:dyDescent="0.2">
      <c r="A500" t="str">
        <f t="shared" si="22"/>
        <v/>
      </c>
      <c r="B500" s="12" t="str">
        <f>IF('Import OpenCPN'!AC501="","",'Import OpenCPN'!AC501)</f>
        <v/>
      </c>
      <c r="C500" s="12" t="str">
        <f t="shared" si="21"/>
        <v/>
      </c>
      <c r="D500" s="12" t="str">
        <f t="shared" si="23"/>
        <v/>
      </c>
    </row>
    <row r="501" spans="1:4" x14ac:dyDescent="0.2">
      <c r="A501" t="str">
        <f t="shared" si="22"/>
        <v/>
      </c>
      <c r="B501" s="12" t="str">
        <f>IF('Import OpenCPN'!AC502="","",'Import OpenCPN'!AC502)</f>
        <v/>
      </c>
      <c r="C501" s="12" t="str">
        <f t="shared" si="21"/>
        <v/>
      </c>
      <c r="D501" s="12" t="str">
        <f t="shared" si="23"/>
        <v/>
      </c>
    </row>
    <row r="502" spans="1:4" x14ac:dyDescent="0.2">
      <c r="A502" t="str">
        <f t="shared" si="22"/>
        <v/>
      </c>
      <c r="B502" s="12" t="str">
        <f>IF('Import OpenCPN'!AC503="","",'Import OpenCPN'!AC503)</f>
        <v/>
      </c>
      <c r="C502" s="12" t="str">
        <f t="shared" si="21"/>
        <v/>
      </c>
      <c r="D502" s="12" t="str">
        <f t="shared" si="23"/>
        <v/>
      </c>
    </row>
    <row r="503" spans="1:4" x14ac:dyDescent="0.2">
      <c r="A503" t="str">
        <f t="shared" si="22"/>
        <v/>
      </c>
      <c r="B503" s="12" t="str">
        <f>IF('Import OpenCPN'!AC504="","",'Import OpenCPN'!AC504)</f>
        <v/>
      </c>
      <c r="C503" s="12" t="str">
        <f t="shared" si="21"/>
        <v/>
      </c>
      <c r="D503" s="12" t="str">
        <f t="shared" si="23"/>
        <v/>
      </c>
    </row>
    <row r="504" spans="1:4" x14ac:dyDescent="0.2">
      <c r="A504" t="str">
        <f t="shared" si="22"/>
        <v/>
      </c>
      <c r="B504" s="12" t="str">
        <f>IF('Import OpenCPN'!AC505="","",'Import OpenCPN'!AC505)</f>
        <v/>
      </c>
      <c r="C504" s="12" t="str">
        <f t="shared" si="21"/>
        <v/>
      </c>
      <c r="D504" s="12" t="str">
        <f t="shared" si="23"/>
        <v/>
      </c>
    </row>
    <row r="505" spans="1:4" x14ac:dyDescent="0.2">
      <c r="A505" t="str">
        <f t="shared" si="22"/>
        <v/>
      </c>
      <c r="B505" s="12" t="str">
        <f>IF('Import OpenCPN'!AC506="","",'Import OpenCPN'!AC506)</f>
        <v/>
      </c>
      <c r="C505" s="12" t="str">
        <f t="shared" si="21"/>
        <v/>
      </c>
      <c r="D505" s="12" t="str">
        <f t="shared" si="23"/>
        <v/>
      </c>
    </row>
    <row r="506" spans="1:4" x14ac:dyDescent="0.2">
      <c r="A506" t="str">
        <f t="shared" si="22"/>
        <v/>
      </c>
      <c r="B506" s="12" t="str">
        <f>IF('Import OpenCPN'!AC507="","",'Import OpenCPN'!AC507)</f>
        <v/>
      </c>
      <c r="C506" s="12" t="str">
        <f t="shared" si="21"/>
        <v/>
      </c>
      <c r="D506" s="12" t="str">
        <f t="shared" si="23"/>
        <v/>
      </c>
    </row>
    <row r="507" spans="1:4" x14ac:dyDescent="0.2">
      <c r="A507" t="str">
        <f t="shared" si="22"/>
        <v/>
      </c>
      <c r="B507" s="12" t="str">
        <f>IF('Import OpenCPN'!AC508="","",'Import OpenCPN'!AC508)</f>
        <v/>
      </c>
      <c r="C507" s="12" t="str">
        <f t="shared" si="21"/>
        <v/>
      </c>
      <c r="D507" s="12" t="str">
        <f t="shared" si="23"/>
        <v/>
      </c>
    </row>
    <row r="508" spans="1:4" x14ac:dyDescent="0.2">
      <c r="A508" t="str">
        <f t="shared" si="22"/>
        <v/>
      </c>
      <c r="B508" s="12" t="str">
        <f>IF('Import OpenCPN'!AC509="","",'Import OpenCPN'!AC509)</f>
        <v/>
      </c>
      <c r="C508" s="12" t="str">
        <f t="shared" si="21"/>
        <v/>
      </c>
      <c r="D508" s="12" t="str">
        <f t="shared" si="23"/>
        <v/>
      </c>
    </row>
    <row r="509" spans="1:4" x14ac:dyDescent="0.2">
      <c r="A509" t="str">
        <f t="shared" si="22"/>
        <v/>
      </c>
      <c r="B509" s="12" t="str">
        <f>IF('Import OpenCPN'!AC510="","",'Import OpenCPN'!AC510)</f>
        <v/>
      </c>
      <c r="C509" s="12" t="str">
        <f t="shared" si="21"/>
        <v/>
      </c>
      <c r="D509" s="12" t="str">
        <f t="shared" si="23"/>
        <v/>
      </c>
    </row>
    <row r="510" spans="1:4" x14ac:dyDescent="0.2">
      <c r="A510" t="str">
        <f t="shared" si="22"/>
        <v/>
      </c>
      <c r="B510" s="12" t="str">
        <f>IF('Import OpenCPN'!AC511="","",'Import OpenCPN'!AC511)</f>
        <v/>
      </c>
      <c r="C510" s="12" t="str">
        <f t="shared" si="21"/>
        <v/>
      </c>
      <c r="D510" s="12" t="str">
        <f t="shared" si="23"/>
        <v/>
      </c>
    </row>
    <row r="511" spans="1:4" x14ac:dyDescent="0.2">
      <c r="A511" t="str">
        <f t="shared" si="22"/>
        <v/>
      </c>
      <c r="B511" s="12" t="str">
        <f>IF('Import OpenCPN'!AC512="","",'Import OpenCPN'!AC512)</f>
        <v/>
      </c>
      <c r="C511" s="12" t="str">
        <f t="shared" si="21"/>
        <v/>
      </c>
      <c r="D511" s="12" t="str">
        <f t="shared" si="23"/>
        <v/>
      </c>
    </row>
    <row r="512" spans="1:4" x14ac:dyDescent="0.2">
      <c r="A512" t="str">
        <f t="shared" si="22"/>
        <v/>
      </c>
      <c r="B512" s="12" t="str">
        <f>IF('Import OpenCPN'!AC513="","",'Import OpenCPN'!AC513)</f>
        <v/>
      </c>
      <c r="C512" s="12" t="str">
        <f t="shared" si="21"/>
        <v/>
      </c>
      <c r="D512" s="12" t="str">
        <f t="shared" si="23"/>
        <v/>
      </c>
    </row>
    <row r="513" spans="1:4" x14ac:dyDescent="0.2">
      <c r="A513" t="str">
        <f t="shared" si="22"/>
        <v/>
      </c>
      <c r="B513" s="12" t="str">
        <f>IF('Import OpenCPN'!AC514="","",'Import OpenCPN'!AC514)</f>
        <v/>
      </c>
      <c r="C513" s="12" t="str">
        <f t="shared" si="21"/>
        <v/>
      </c>
      <c r="D513" s="12" t="str">
        <f t="shared" si="23"/>
        <v/>
      </c>
    </row>
    <row r="514" spans="1:4" x14ac:dyDescent="0.2">
      <c r="A514" t="str">
        <f t="shared" si="22"/>
        <v/>
      </c>
      <c r="B514" s="12" t="str">
        <f>IF('Import OpenCPN'!AC515="","",'Import OpenCPN'!AC515)</f>
        <v/>
      </c>
      <c r="C514" s="12" t="str">
        <f t="shared" ref="C514:C577" si="24">IF(B514="","","q")</f>
        <v/>
      </c>
      <c r="D514" s="12" t="str">
        <f t="shared" si="23"/>
        <v/>
      </c>
    </row>
    <row r="515" spans="1:4" x14ac:dyDescent="0.2">
      <c r="A515" t="str">
        <f t="shared" ref="A515:A578" si="25">IF(B515="","",A514+1)</f>
        <v/>
      </c>
      <c r="B515" s="12" t="str">
        <f>IF('Import OpenCPN'!AC516="","",'Import OpenCPN'!AC516)</f>
        <v/>
      </c>
      <c r="C515" s="12" t="str">
        <f t="shared" si="24"/>
        <v/>
      </c>
      <c r="D515" s="12" t="str">
        <f t="shared" ref="D515:D578" si="26">IF(B515="","",1)</f>
        <v/>
      </c>
    </row>
    <row r="516" spans="1:4" x14ac:dyDescent="0.2">
      <c r="A516" t="str">
        <f t="shared" si="25"/>
        <v/>
      </c>
      <c r="B516" s="12" t="str">
        <f>IF('Import OpenCPN'!AC517="","",'Import OpenCPN'!AC517)</f>
        <v/>
      </c>
      <c r="C516" s="12" t="str">
        <f t="shared" si="24"/>
        <v/>
      </c>
      <c r="D516" s="12" t="str">
        <f t="shared" si="26"/>
        <v/>
      </c>
    </row>
    <row r="517" spans="1:4" x14ac:dyDescent="0.2">
      <c r="A517" t="str">
        <f t="shared" si="25"/>
        <v/>
      </c>
      <c r="B517" s="12" t="str">
        <f>IF('Import OpenCPN'!AC518="","",'Import OpenCPN'!AC518)</f>
        <v/>
      </c>
      <c r="C517" s="12" t="str">
        <f t="shared" si="24"/>
        <v/>
      </c>
      <c r="D517" s="12" t="str">
        <f t="shared" si="26"/>
        <v/>
      </c>
    </row>
    <row r="518" spans="1:4" x14ac:dyDescent="0.2">
      <c r="A518" t="str">
        <f t="shared" si="25"/>
        <v/>
      </c>
      <c r="B518" s="12" t="str">
        <f>IF('Import OpenCPN'!AC519="","",'Import OpenCPN'!AC519)</f>
        <v/>
      </c>
      <c r="C518" s="12" t="str">
        <f t="shared" si="24"/>
        <v/>
      </c>
      <c r="D518" s="12" t="str">
        <f t="shared" si="26"/>
        <v/>
      </c>
    </row>
    <row r="519" spans="1:4" x14ac:dyDescent="0.2">
      <c r="A519" t="str">
        <f t="shared" si="25"/>
        <v/>
      </c>
      <c r="B519" s="12" t="str">
        <f>IF('Import OpenCPN'!AC520="","",'Import OpenCPN'!AC520)</f>
        <v/>
      </c>
      <c r="C519" s="12" t="str">
        <f t="shared" si="24"/>
        <v/>
      </c>
      <c r="D519" s="12" t="str">
        <f t="shared" si="26"/>
        <v/>
      </c>
    </row>
    <row r="520" spans="1:4" x14ac:dyDescent="0.2">
      <c r="A520" t="str">
        <f t="shared" si="25"/>
        <v/>
      </c>
      <c r="B520" s="12" t="str">
        <f>IF('Import OpenCPN'!AC521="","",'Import OpenCPN'!AC521)</f>
        <v/>
      </c>
      <c r="C520" s="12" t="str">
        <f t="shared" si="24"/>
        <v/>
      </c>
      <c r="D520" s="12" t="str">
        <f t="shared" si="26"/>
        <v/>
      </c>
    </row>
    <row r="521" spans="1:4" x14ac:dyDescent="0.2">
      <c r="A521" t="str">
        <f t="shared" si="25"/>
        <v/>
      </c>
      <c r="B521" s="12" t="str">
        <f>IF('Import OpenCPN'!AC522="","",'Import OpenCPN'!AC522)</f>
        <v/>
      </c>
      <c r="C521" s="12" t="str">
        <f t="shared" si="24"/>
        <v/>
      </c>
      <c r="D521" s="12" t="str">
        <f t="shared" si="26"/>
        <v/>
      </c>
    </row>
    <row r="522" spans="1:4" x14ac:dyDescent="0.2">
      <c r="A522" t="str">
        <f t="shared" si="25"/>
        <v/>
      </c>
      <c r="B522" s="12" t="str">
        <f>IF('Import OpenCPN'!AC523="","",'Import OpenCPN'!AC523)</f>
        <v/>
      </c>
      <c r="C522" s="12" t="str">
        <f t="shared" si="24"/>
        <v/>
      </c>
      <c r="D522" s="12" t="str">
        <f t="shared" si="26"/>
        <v/>
      </c>
    </row>
    <row r="523" spans="1:4" x14ac:dyDescent="0.2">
      <c r="A523" t="str">
        <f t="shared" si="25"/>
        <v/>
      </c>
      <c r="B523" s="12" t="str">
        <f>IF('Import OpenCPN'!AC524="","",'Import OpenCPN'!AC524)</f>
        <v/>
      </c>
      <c r="C523" s="12" t="str">
        <f t="shared" si="24"/>
        <v/>
      </c>
      <c r="D523" s="12" t="str">
        <f t="shared" si="26"/>
        <v/>
      </c>
    </row>
    <row r="524" spans="1:4" x14ac:dyDescent="0.2">
      <c r="A524" t="str">
        <f t="shared" si="25"/>
        <v/>
      </c>
      <c r="B524" s="12" t="str">
        <f>IF('Import OpenCPN'!AC525="","",'Import OpenCPN'!AC525)</f>
        <v/>
      </c>
      <c r="C524" s="12" t="str">
        <f t="shared" si="24"/>
        <v/>
      </c>
      <c r="D524" s="12" t="str">
        <f t="shared" si="26"/>
        <v/>
      </c>
    </row>
    <row r="525" spans="1:4" x14ac:dyDescent="0.2">
      <c r="A525" t="str">
        <f t="shared" si="25"/>
        <v/>
      </c>
      <c r="B525" s="12" t="str">
        <f>IF('Import OpenCPN'!AC526="","",'Import OpenCPN'!AC526)</f>
        <v/>
      </c>
      <c r="C525" s="12" t="str">
        <f t="shared" si="24"/>
        <v/>
      </c>
      <c r="D525" s="12" t="str">
        <f t="shared" si="26"/>
        <v/>
      </c>
    </row>
    <row r="526" spans="1:4" x14ac:dyDescent="0.2">
      <c r="A526" t="str">
        <f t="shared" si="25"/>
        <v/>
      </c>
      <c r="B526" s="12" t="str">
        <f>IF('Import OpenCPN'!AC527="","",'Import OpenCPN'!AC527)</f>
        <v/>
      </c>
      <c r="C526" s="12" t="str">
        <f t="shared" si="24"/>
        <v/>
      </c>
      <c r="D526" s="12" t="str">
        <f t="shared" si="26"/>
        <v/>
      </c>
    </row>
    <row r="527" spans="1:4" x14ac:dyDescent="0.2">
      <c r="A527" t="str">
        <f t="shared" si="25"/>
        <v/>
      </c>
      <c r="B527" s="12" t="str">
        <f>IF('Import OpenCPN'!AC528="","",'Import OpenCPN'!AC528)</f>
        <v/>
      </c>
      <c r="C527" s="12" t="str">
        <f t="shared" si="24"/>
        <v/>
      </c>
      <c r="D527" s="12" t="str">
        <f t="shared" si="26"/>
        <v/>
      </c>
    </row>
    <row r="528" spans="1:4" x14ac:dyDescent="0.2">
      <c r="A528" t="str">
        <f t="shared" si="25"/>
        <v/>
      </c>
      <c r="B528" s="12" t="str">
        <f>IF('Import OpenCPN'!AC529="","",'Import OpenCPN'!AC529)</f>
        <v/>
      </c>
      <c r="C528" s="12" t="str">
        <f t="shared" si="24"/>
        <v/>
      </c>
      <c r="D528" s="12" t="str">
        <f t="shared" si="26"/>
        <v/>
      </c>
    </row>
    <row r="529" spans="1:4" x14ac:dyDescent="0.2">
      <c r="A529" t="str">
        <f t="shared" si="25"/>
        <v/>
      </c>
      <c r="B529" s="12" t="str">
        <f>IF('Import OpenCPN'!AC530="","",'Import OpenCPN'!AC530)</f>
        <v/>
      </c>
      <c r="C529" s="12" t="str">
        <f t="shared" si="24"/>
        <v/>
      </c>
      <c r="D529" s="12" t="str">
        <f t="shared" si="26"/>
        <v/>
      </c>
    </row>
    <row r="530" spans="1:4" x14ac:dyDescent="0.2">
      <c r="A530" t="str">
        <f t="shared" si="25"/>
        <v/>
      </c>
      <c r="B530" s="12" t="str">
        <f>IF('Import OpenCPN'!AC531="","",'Import OpenCPN'!AC531)</f>
        <v/>
      </c>
      <c r="C530" s="12" t="str">
        <f t="shared" si="24"/>
        <v/>
      </c>
      <c r="D530" s="12" t="str">
        <f t="shared" si="26"/>
        <v/>
      </c>
    </row>
    <row r="531" spans="1:4" x14ac:dyDescent="0.2">
      <c r="A531" t="str">
        <f t="shared" si="25"/>
        <v/>
      </c>
      <c r="B531" s="12" t="str">
        <f>IF('Import OpenCPN'!AC532="","",'Import OpenCPN'!AC532)</f>
        <v/>
      </c>
      <c r="C531" s="12" t="str">
        <f t="shared" si="24"/>
        <v/>
      </c>
      <c r="D531" s="12" t="str">
        <f t="shared" si="26"/>
        <v/>
      </c>
    </row>
    <row r="532" spans="1:4" x14ac:dyDescent="0.2">
      <c r="A532" t="str">
        <f t="shared" si="25"/>
        <v/>
      </c>
      <c r="B532" s="12" t="str">
        <f>IF('Import OpenCPN'!AC533="","",'Import OpenCPN'!AC533)</f>
        <v/>
      </c>
      <c r="C532" s="12" t="str">
        <f t="shared" si="24"/>
        <v/>
      </c>
      <c r="D532" s="12" t="str">
        <f t="shared" si="26"/>
        <v/>
      </c>
    </row>
    <row r="533" spans="1:4" x14ac:dyDescent="0.2">
      <c r="A533" t="str">
        <f t="shared" si="25"/>
        <v/>
      </c>
      <c r="B533" s="12" t="str">
        <f>IF('Import OpenCPN'!AC534="","",'Import OpenCPN'!AC534)</f>
        <v/>
      </c>
      <c r="C533" s="12" t="str">
        <f t="shared" si="24"/>
        <v/>
      </c>
      <c r="D533" s="12" t="str">
        <f t="shared" si="26"/>
        <v/>
      </c>
    </row>
    <row r="534" spans="1:4" x14ac:dyDescent="0.2">
      <c r="A534" t="str">
        <f t="shared" si="25"/>
        <v/>
      </c>
      <c r="B534" s="12" t="str">
        <f>IF('Import OpenCPN'!AC535="","",'Import OpenCPN'!AC535)</f>
        <v/>
      </c>
      <c r="C534" s="12" t="str">
        <f t="shared" si="24"/>
        <v/>
      </c>
      <c r="D534" s="12" t="str">
        <f t="shared" si="26"/>
        <v/>
      </c>
    </row>
    <row r="535" spans="1:4" x14ac:dyDescent="0.2">
      <c r="A535" t="str">
        <f t="shared" si="25"/>
        <v/>
      </c>
      <c r="B535" s="12" t="str">
        <f>IF('Import OpenCPN'!AC536="","",'Import OpenCPN'!AC536)</f>
        <v/>
      </c>
      <c r="C535" s="12" t="str">
        <f t="shared" si="24"/>
        <v/>
      </c>
      <c r="D535" s="12" t="str">
        <f t="shared" si="26"/>
        <v/>
      </c>
    </row>
    <row r="536" spans="1:4" x14ac:dyDescent="0.2">
      <c r="A536" t="str">
        <f t="shared" si="25"/>
        <v/>
      </c>
      <c r="B536" s="12" t="str">
        <f>IF('Import OpenCPN'!AC537="","",'Import OpenCPN'!AC537)</f>
        <v/>
      </c>
      <c r="C536" s="12" t="str">
        <f t="shared" si="24"/>
        <v/>
      </c>
      <c r="D536" s="12" t="str">
        <f t="shared" si="26"/>
        <v/>
      </c>
    </row>
    <row r="537" spans="1:4" x14ac:dyDescent="0.2">
      <c r="A537" t="str">
        <f t="shared" si="25"/>
        <v/>
      </c>
      <c r="B537" s="12" t="str">
        <f>IF('Import OpenCPN'!AC538="","",'Import OpenCPN'!AC538)</f>
        <v/>
      </c>
      <c r="C537" s="12" t="str">
        <f t="shared" si="24"/>
        <v/>
      </c>
      <c r="D537" s="12" t="str">
        <f t="shared" si="26"/>
        <v/>
      </c>
    </row>
    <row r="538" spans="1:4" x14ac:dyDescent="0.2">
      <c r="A538" t="str">
        <f t="shared" si="25"/>
        <v/>
      </c>
      <c r="B538" s="12" t="str">
        <f>IF('Import OpenCPN'!AC539="","",'Import OpenCPN'!AC539)</f>
        <v/>
      </c>
      <c r="C538" s="12" t="str">
        <f t="shared" si="24"/>
        <v/>
      </c>
      <c r="D538" s="12" t="str">
        <f t="shared" si="26"/>
        <v/>
      </c>
    </row>
    <row r="539" spans="1:4" x14ac:dyDescent="0.2">
      <c r="A539" t="str">
        <f t="shared" si="25"/>
        <v/>
      </c>
      <c r="B539" s="12" t="str">
        <f>IF('Import OpenCPN'!AC540="","",'Import OpenCPN'!AC540)</f>
        <v/>
      </c>
      <c r="C539" s="12" t="str">
        <f t="shared" si="24"/>
        <v/>
      </c>
      <c r="D539" s="12" t="str">
        <f t="shared" si="26"/>
        <v/>
      </c>
    </row>
    <row r="540" spans="1:4" x14ac:dyDescent="0.2">
      <c r="A540" t="str">
        <f t="shared" si="25"/>
        <v/>
      </c>
      <c r="B540" s="12" t="str">
        <f>IF('Import OpenCPN'!AC541="","",'Import OpenCPN'!AC541)</f>
        <v/>
      </c>
      <c r="C540" s="12" t="str">
        <f t="shared" si="24"/>
        <v/>
      </c>
      <c r="D540" s="12" t="str">
        <f t="shared" si="26"/>
        <v/>
      </c>
    </row>
    <row r="541" spans="1:4" x14ac:dyDescent="0.2">
      <c r="A541" t="str">
        <f t="shared" si="25"/>
        <v/>
      </c>
      <c r="B541" s="12" t="str">
        <f>IF('Import OpenCPN'!AC542="","",'Import OpenCPN'!AC542)</f>
        <v/>
      </c>
      <c r="C541" s="12" t="str">
        <f t="shared" si="24"/>
        <v/>
      </c>
      <c r="D541" s="12" t="str">
        <f t="shared" si="26"/>
        <v/>
      </c>
    </row>
    <row r="542" spans="1:4" x14ac:dyDescent="0.2">
      <c r="A542" t="str">
        <f t="shared" si="25"/>
        <v/>
      </c>
      <c r="B542" s="12" t="str">
        <f>IF('Import OpenCPN'!AC543="","",'Import OpenCPN'!AC543)</f>
        <v/>
      </c>
      <c r="C542" s="12" t="str">
        <f t="shared" si="24"/>
        <v/>
      </c>
      <c r="D542" s="12" t="str">
        <f t="shared" si="26"/>
        <v/>
      </c>
    </row>
    <row r="543" spans="1:4" x14ac:dyDescent="0.2">
      <c r="A543" t="str">
        <f t="shared" si="25"/>
        <v/>
      </c>
      <c r="B543" s="12" t="str">
        <f>IF('Import OpenCPN'!AC544="","",'Import OpenCPN'!AC544)</f>
        <v/>
      </c>
      <c r="C543" s="12" t="str">
        <f t="shared" si="24"/>
        <v/>
      </c>
      <c r="D543" s="12" t="str">
        <f t="shared" si="26"/>
        <v/>
      </c>
    </row>
    <row r="544" spans="1:4" x14ac:dyDescent="0.2">
      <c r="A544" t="str">
        <f t="shared" si="25"/>
        <v/>
      </c>
      <c r="B544" s="12" t="str">
        <f>IF('Import OpenCPN'!AC545="","",'Import OpenCPN'!AC545)</f>
        <v/>
      </c>
      <c r="C544" s="12" t="str">
        <f t="shared" si="24"/>
        <v/>
      </c>
      <c r="D544" s="12" t="str">
        <f t="shared" si="26"/>
        <v/>
      </c>
    </row>
    <row r="545" spans="1:4" x14ac:dyDescent="0.2">
      <c r="A545" t="str">
        <f t="shared" si="25"/>
        <v/>
      </c>
      <c r="B545" s="12" t="str">
        <f>IF('Import OpenCPN'!AC546="","",'Import OpenCPN'!AC546)</f>
        <v/>
      </c>
      <c r="C545" s="12" t="str">
        <f t="shared" si="24"/>
        <v/>
      </c>
      <c r="D545" s="12" t="str">
        <f t="shared" si="26"/>
        <v/>
      </c>
    </row>
    <row r="546" spans="1:4" x14ac:dyDescent="0.2">
      <c r="A546" t="str">
        <f t="shared" si="25"/>
        <v/>
      </c>
      <c r="B546" s="12" t="str">
        <f>IF('Import OpenCPN'!AC547="","",'Import OpenCPN'!AC547)</f>
        <v/>
      </c>
      <c r="C546" s="12" t="str">
        <f t="shared" si="24"/>
        <v/>
      </c>
      <c r="D546" s="12" t="str">
        <f t="shared" si="26"/>
        <v/>
      </c>
    </row>
    <row r="547" spans="1:4" x14ac:dyDescent="0.2">
      <c r="A547" t="str">
        <f t="shared" si="25"/>
        <v/>
      </c>
      <c r="B547" s="12" t="str">
        <f>IF('Import OpenCPN'!AC548="","",'Import OpenCPN'!AC548)</f>
        <v/>
      </c>
      <c r="C547" s="12" t="str">
        <f t="shared" si="24"/>
        <v/>
      </c>
      <c r="D547" s="12" t="str">
        <f t="shared" si="26"/>
        <v/>
      </c>
    </row>
    <row r="548" spans="1:4" x14ac:dyDescent="0.2">
      <c r="A548" t="str">
        <f t="shared" si="25"/>
        <v/>
      </c>
      <c r="B548" s="12" t="str">
        <f>IF('Import OpenCPN'!AC549="","",'Import OpenCPN'!AC549)</f>
        <v/>
      </c>
      <c r="C548" s="12" t="str">
        <f t="shared" si="24"/>
        <v/>
      </c>
      <c r="D548" s="12" t="str">
        <f t="shared" si="26"/>
        <v/>
      </c>
    </row>
    <row r="549" spans="1:4" x14ac:dyDescent="0.2">
      <c r="A549" t="str">
        <f t="shared" si="25"/>
        <v/>
      </c>
      <c r="B549" s="12" t="str">
        <f>IF('Import OpenCPN'!AC550="","",'Import OpenCPN'!AC550)</f>
        <v/>
      </c>
      <c r="C549" s="12" t="str">
        <f t="shared" si="24"/>
        <v/>
      </c>
      <c r="D549" s="12" t="str">
        <f t="shared" si="26"/>
        <v/>
      </c>
    </row>
    <row r="550" spans="1:4" x14ac:dyDescent="0.2">
      <c r="A550" t="str">
        <f t="shared" si="25"/>
        <v/>
      </c>
      <c r="B550" s="12" t="str">
        <f>IF('Import OpenCPN'!AC551="","",'Import OpenCPN'!AC551)</f>
        <v/>
      </c>
      <c r="C550" s="12" t="str">
        <f t="shared" si="24"/>
        <v/>
      </c>
      <c r="D550" s="12" t="str">
        <f t="shared" si="26"/>
        <v/>
      </c>
    </row>
    <row r="551" spans="1:4" x14ac:dyDescent="0.2">
      <c r="A551" t="str">
        <f t="shared" si="25"/>
        <v/>
      </c>
      <c r="B551" s="12" t="str">
        <f>IF('Import OpenCPN'!AC552="","",'Import OpenCPN'!AC552)</f>
        <v/>
      </c>
      <c r="C551" s="12" t="str">
        <f t="shared" si="24"/>
        <v/>
      </c>
      <c r="D551" s="12" t="str">
        <f t="shared" si="26"/>
        <v/>
      </c>
    </row>
    <row r="552" spans="1:4" x14ac:dyDescent="0.2">
      <c r="A552" t="str">
        <f t="shared" si="25"/>
        <v/>
      </c>
      <c r="B552" s="12" t="str">
        <f>IF('Import OpenCPN'!AC553="","",'Import OpenCPN'!AC553)</f>
        <v/>
      </c>
      <c r="C552" s="12" t="str">
        <f t="shared" si="24"/>
        <v/>
      </c>
      <c r="D552" s="12" t="str">
        <f t="shared" si="26"/>
        <v/>
      </c>
    </row>
    <row r="553" spans="1:4" x14ac:dyDescent="0.2">
      <c r="A553" t="str">
        <f t="shared" si="25"/>
        <v/>
      </c>
      <c r="B553" s="12" t="str">
        <f>IF('Import OpenCPN'!AC554="","",'Import OpenCPN'!AC554)</f>
        <v/>
      </c>
      <c r="C553" s="12" t="str">
        <f t="shared" si="24"/>
        <v/>
      </c>
      <c r="D553" s="12" t="str">
        <f t="shared" si="26"/>
        <v/>
      </c>
    </row>
    <row r="554" spans="1:4" x14ac:dyDescent="0.2">
      <c r="A554" t="str">
        <f t="shared" si="25"/>
        <v/>
      </c>
      <c r="B554" s="12" t="str">
        <f>IF('Import OpenCPN'!AC555="","",'Import OpenCPN'!AC555)</f>
        <v/>
      </c>
      <c r="C554" s="12" t="str">
        <f t="shared" si="24"/>
        <v/>
      </c>
      <c r="D554" s="12" t="str">
        <f t="shared" si="26"/>
        <v/>
      </c>
    </row>
    <row r="555" spans="1:4" x14ac:dyDescent="0.2">
      <c r="A555" t="str">
        <f t="shared" si="25"/>
        <v/>
      </c>
      <c r="B555" s="12" t="str">
        <f>IF('Import OpenCPN'!AC556="","",'Import OpenCPN'!AC556)</f>
        <v/>
      </c>
      <c r="C555" s="12" t="str">
        <f t="shared" si="24"/>
        <v/>
      </c>
      <c r="D555" s="12" t="str">
        <f t="shared" si="26"/>
        <v/>
      </c>
    </row>
    <row r="556" spans="1:4" x14ac:dyDescent="0.2">
      <c r="A556" t="str">
        <f t="shared" si="25"/>
        <v/>
      </c>
      <c r="B556" s="12" t="str">
        <f>IF('Import OpenCPN'!AC557="","",'Import OpenCPN'!AC557)</f>
        <v/>
      </c>
      <c r="C556" s="12" t="str">
        <f t="shared" si="24"/>
        <v/>
      </c>
      <c r="D556" s="12" t="str">
        <f t="shared" si="26"/>
        <v/>
      </c>
    </row>
    <row r="557" spans="1:4" x14ac:dyDescent="0.2">
      <c r="A557" t="str">
        <f t="shared" si="25"/>
        <v/>
      </c>
      <c r="B557" s="12" t="str">
        <f>IF('Import OpenCPN'!AC558="","",'Import OpenCPN'!AC558)</f>
        <v/>
      </c>
      <c r="C557" s="12" t="str">
        <f t="shared" si="24"/>
        <v/>
      </c>
      <c r="D557" s="12" t="str">
        <f t="shared" si="26"/>
        <v/>
      </c>
    </row>
    <row r="558" spans="1:4" x14ac:dyDescent="0.2">
      <c r="A558" t="str">
        <f t="shared" si="25"/>
        <v/>
      </c>
      <c r="B558" s="12" t="str">
        <f>IF('Import OpenCPN'!AC559="","",'Import OpenCPN'!AC559)</f>
        <v/>
      </c>
      <c r="C558" s="12" t="str">
        <f t="shared" si="24"/>
        <v/>
      </c>
      <c r="D558" s="12" t="str">
        <f t="shared" si="26"/>
        <v/>
      </c>
    </row>
    <row r="559" spans="1:4" x14ac:dyDescent="0.2">
      <c r="A559" t="str">
        <f t="shared" si="25"/>
        <v/>
      </c>
      <c r="B559" s="12" t="str">
        <f>IF('Import OpenCPN'!AC560="","",'Import OpenCPN'!AC560)</f>
        <v/>
      </c>
      <c r="C559" s="12" t="str">
        <f t="shared" si="24"/>
        <v/>
      </c>
      <c r="D559" s="12" t="str">
        <f t="shared" si="26"/>
        <v/>
      </c>
    </row>
    <row r="560" spans="1:4" x14ac:dyDescent="0.2">
      <c r="A560" t="str">
        <f t="shared" si="25"/>
        <v/>
      </c>
      <c r="B560" s="12" t="str">
        <f>IF('Import OpenCPN'!AC561="","",'Import OpenCPN'!AC561)</f>
        <v/>
      </c>
      <c r="C560" s="12" t="str">
        <f t="shared" si="24"/>
        <v/>
      </c>
      <c r="D560" s="12" t="str">
        <f t="shared" si="26"/>
        <v/>
      </c>
    </row>
    <row r="561" spans="1:4" x14ac:dyDescent="0.2">
      <c r="A561" t="str">
        <f t="shared" si="25"/>
        <v/>
      </c>
      <c r="B561" s="12" t="str">
        <f>IF('Import OpenCPN'!AC562="","",'Import OpenCPN'!AC562)</f>
        <v/>
      </c>
      <c r="C561" s="12" t="str">
        <f t="shared" si="24"/>
        <v/>
      </c>
      <c r="D561" s="12" t="str">
        <f t="shared" si="26"/>
        <v/>
      </c>
    </row>
    <row r="562" spans="1:4" x14ac:dyDescent="0.2">
      <c r="A562" t="str">
        <f t="shared" si="25"/>
        <v/>
      </c>
      <c r="B562" s="12" t="str">
        <f>IF('Import OpenCPN'!AC563="","",'Import OpenCPN'!AC563)</f>
        <v/>
      </c>
      <c r="C562" s="12" t="str">
        <f t="shared" si="24"/>
        <v/>
      </c>
      <c r="D562" s="12" t="str">
        <f t="shared" si="26"/>
        <v/>
      </c>
    </row>
    <row r="563" spans="1:4" x14ac:dyDescent="0.2">
      <c r="A563" t="str">
        <f t="shared" si="25"/>
        <v/>
      </c>
      <c r="B563" s="12" t="str">
        <f>IF('Import OpenCPN'!AC564="","",'Import OpenCPN'!AC564)</f>
        <v/>
      </c>
      <c r="C563" s="12" t="str">
        <f t="shared" si="24"/>
        <v/>
      </c>
      <c r="D563" s="12" t="str">
        <f t="shared" si="26"/>
        <v/>
      </c>
    </row>
    <row r="564" spans="1:4" x14ac:dyDescent="0.2">
      <c r="A564" t="str">
        <f t="shared" si="25"/>
        <v/>
      </c>
      <c r="B564" s="12" t="str">
        <f>IF('Import OpenCPN'!AC565="","",'Import OpenCPN'!AC565)</f>
        <v/>
      </c>
      <c r="C564" s="12" t="str">
        <f t="shared" si="24"/>
        <v/>
      </c>
      <c r="D564" s="12" t="str">
        <f t="shared" si="26"/>
        <v/>
      </c>
    </row>
    <row r="565" spans="1:4" x14ac:dyDescent="0.2">
      <c r="A565" t="str">
        <f t="shared" si="25"/>
        <v/>
      </c>
      <c r="B565" s="12" t="str">
        <f>IF('Import OpenCPN'!AC566="","",'Import OpenCPN'!AC566)</f>
        <v/>
      </c>
      <c r="C565" s="12" t="str">
        <f t="shared" si="24"/>
        <v/>
      </c>
      <c r="D565" s="12" t="str">
        <f t="shared" si="26"/>
        <v/>
      </c>
    </row>
    <row r="566" spans="1:4" x14ac:dyDescent="0.2">
      <c r="A566" t="str">
        <f t="shared" si="25"/>
        <v/>
      </c>
      <c r="B566" s="12" t="str">
        <f>IF('Import OpenCPN'!AC567="","",'Import OpenCPN'!AC567)</f>
        <v/>
      </c>
      <c r="C566" s="12" t="str">
        <f t="shared" si="24"/>
        <v/>
      </c>
      <c r="D566" s="12" t="str">
        <f t="shared" si="26"/>
        <v/>
      </c>
    </row>
    <row r="567" spans="1:4" x14ac:dyDescent="0.2">
      <c r="A567" t="str">
        <f t="shared" si="25"/>
        <v/>
      </c>
      <c r="B567" s="12" t="str">
        <f>IF('Import OpenCPN'!AC568="","",'Import OpenCPN'!AC568)</f>
        <v/>
      </c>
      <c r="C567" s="12" t="str">
        <f t="shared" si="24"/>
        <v/>
      </c>
      <c r="D567" s="12" t="str">
        <f t="shared" si="26"/>
        <v/>
      </c>
    </row>
    <row r="568" spans="1:4" x14ac:dyDescent="0.2">
      <c r="A568" t="str">
        <f t="shared" si="25"/>
        <v/>
      </c>
      <c r="B568" s="12" t="str">
        <f>IF('Import OpenCPN'!AC569="","",'Import OpenCPN'!AC569)</f>
        <v/>
      </c>
      <c r="C568" s="12" t="str">
        <f t="shared" si="24"/>
        <v/>
      </c>
      <c r="D568" s="12" t="str">
        <f t="shared" si="26"/>
        <v/>
      </c>
    </row>
    <row r="569" spans="1:4" x14ac:dyDescent="0.2">
      <c r="A569" t="str">
        <f t="shared" si="25"/>
        <v/>
      </c>
      <c r="B569" s="12" t="str">
        <f>IF('Import OpenCPN'!AC570="","",'Import OpenCPN'!AC570)</f>
        <v/>
      </c>
      <c r="C569" s="12" t="str">
        <f t="shared" si="24"/>
        <v/>
      </c>
      <c r="D569" s="12" t="str">
        <f t="shared" si="26"/>
        <v/>
      </c>
    </row>
    <row r="570" spans="1:4" x14ac:dyDescent="0.2">
      <c r="A570" t="str">
        <f t="shared" si="25"/>
        <v/>
      </c>
      <c r="B570" s="12" t="str">
        <f>IF('Import OpenCPN'!AC571="","",'Import OpenCPN'!AC571)</f>
        <v/>
      </c>
      <c r="C570" s="12" t="str">
        <f t="shared" si="24"/>
        <v/>
      </c>
      <c r="D570" s="12" t="str">
        <f t="shared" si="26"/>
        <v/>
      </c>
    </row>
    <row r="571" spans="1:4" x14ac:dyDescent="0.2">
      <c r="A571" t="str">
        <f t="shared" si="25"/>
        <v/>
      </c>
      <c r="B571" s="12" t="str">
        <f>IF('Import OpenCPN'!AC572="","",'Import OpenCPN'!AC572)</f>
        <v/>
      </c>
      <c r="C571" s="12" t="str">
        <f t="shared" si="24"/>
        <v/>
      </c>
      <c r="D571" s="12" t="str">
        <f t="shared" si="26"/>
        <v/>
      </c>
    </row>
    <row r="572" spans="1:4" x14ac:dyDescent="0.2">
      <c r="A572" t="str">
        <f t="shared" si="25"/>
        <v/>
      </c>
      <c r="B572" s="12" t="str">
        <f>IF('Import OpenCPN'!AC573="","",'Import OpenCPN'!AC573)</f>
        <v/>
      </c>
      <c r="C572" s="12" t="str">
        <f t="shared" si="24"/>
        <v/>
      </c>
      <c r="D572" s="12" t="str">
        <f t="shared" si="26"/>
        <v/>
      </c>
    </row>
    <row r="573" spans="1:4" x14ac:dyDescent="0.2">
      <c r="A573" t="str">
        <f t="shared" si="25"/>
        <v/>
      </c>
      <c r="B573" s="12" t="str">
        <f>IF('Import OpenCPN'!AC574="","",'Import OpenCPN'!AC574)</f>
        <v/>
      </c>
      <c r="C573" s="12" t="str">
        <f t="shared" si="24"/>
        <v/>
      </c>
      <c r="D573" s="12" t="str">
        <f t="shared" si="26"/>
        <v/>
      </c>
    </row>
    <row r="574" spans="1:4" x14ac:dyDescent="0.2">
      <c r="A574" t="str">
        <f t="shared" si="25"/>
        <v/>
      </c>
      <c r="B574" s="12" t="str">
        <f>IF('Import OpenCPN'!AC575="","",'Import OpenCPN'!AC575)</f>
        <v/>
      </c>
      <c r="C574" s="12" t="str">
        <f t="shared" si="24"/>
        <v/>
      </c>
      <c r="D574" s="12" t="str">
        <f t="shared" si="26"/>
        <v/>
      </c>
    </row>
    <row r="575" spans="1:4" x14ac:dyDescent="0.2">
      <c r="A575" t="str">
        <f t="shared" si="25"/>
        <v/>
      </c>
      <c r="B575" s="12" t="str">
        <f>IF('Import OpenCPN'!AC576="","",'Import OpenCPN'!AC576)</f>
        <v/>
      </c>
      <c r="C575" s="12" t="str">
        <f t="shared" si="24"/>
        <v/>
      </c>
      <c r="D575" s="12" t="str">
        <f t="shared" si="26"/>
        <v/>
      </c>
    </row>
    <row r="576" spans="1:4" x14ac:dyDescent="0.2">
      <c r="A576" t="str">
        <f t="shared" si="25"/>
        <v/>
      </c>
      <c r="B576" s="12" t="str">
        <f>IF('Import OpenCPN'!AC577="","",'Import OpenCPN'!AC577)</f>
        <v/>
      </c>
      <c r="C576" s="12" t="str">
        <f t="shared" si="24"/>
        <v/>
      </c>
      <c r="D576" s="12" t="str">
        <f t="shared" si="26"/>
        <v/>
      </c>
    </row>
    <row r="577" spans="1:4" x14ac:dyDescent="0.2">
      <c r="A577" t="str">
        <f t="shared" si="25"/>
        <v/>
      </c>
      <c r="B577" s="12" t="str">
        <f>IF('Import OpenCPN'!AC578="","",'Import OpenCPN'!AC578)</f>
        <v/>
      </c>
      <c r="C577" s="12" t="str">
        <f t="shared" si="24"/>
        <v/>
      </c>
      <c r="D577" s="12" t="str">
        <f t="shared" si="26"/>
        <v/>
      </c>
    </row>
    <row r="578" spans="1:4" x14ac:dyDescent="0.2">
      <c r="A578" t="str">
        <f t="shared" si="25"/>
        <v/>
      </c>
      <c r="B578" s="12" t="str">
        <f>IF('Import OpenCPN'!AC579="","",'Import OpenCPN'!AC579)</f>
        <v/>
      </c>
      <c r="C578" s="12" t="str">
        <f t="shared" ref="C578:C641" si="27">IF(B578="","","q")</f>
        <v/>
      </c>
      <c r="D578" s="12" t="str">
        <f t="shared" si="26"/>
        <v/>
      </c>
    </row>
    <row r="579" spans="1:4" x14ac:dyDescent="0.2">
      <c r="A579" t="str">
        <f t="shared" ref="A579:A642" si="28">IF(B579="","",A578+1)</f>
        <v/>
      </c>
      <c r="B579" s="12" t="str">
        <f>IF('Import OpenCPN'!AC580="","",'Import OpenCPN'!AC580)</f>
        <v/>
      </c>
      <c r="C579" s="12" t="str">
        <f t="shared" si="27"/>
        <v/>
      </c>
      <c r="D579" s="12" t="str">
        <f t="shared" ref="D579:D642" si="29">IF(B579="","",1)</f>
        <v/>
      </c>
    </row>
    <row r="580" spans="1:4" x14ac:dyDescent="0.2">
      <c r="A580" t="str">
        <f t="shared" si="28"/>
        <v/>
      </c>
      <c r="B580" s="12" t="str">
        <f>IF('Import OpenCPN'!AC581="","",'Import OpenCPN'!AC581)</f>
        <v/>
      </c>
      <c r="C580" s="12" t="str">
        <f t="shared" si="27"/>
        <v/>
      </c>
      <c r="D580" s="12" t="str">
        <f t="shared" si="29"/>
        <v/>
      </c>
    </row>
    <row r="581" spans="1:4" x14ac:dyDescent="0.2">
      <c r="A581" t="str">
        <f t="shared" si="28"/>
        <v/>
      </c>
      <c r="B581" s="12" t="str">
        <f>IF('Import OpenCPN'!AC582="","",'Import OpenCPN'!AC582)</f>
        <v/>
      </c>
      <c r="C581" s="12" t="str">
        <f t="shared" si="27"/>
        <v/>
      </c>
      <c r="D581" s="12" t="str">
        <f t="shared" si="29"/>
        <v/>
      </c>
    </row>
    <row r="582" spans="1:4" x14ac:dyDescent="0.2">
      <c r="A582" t="str">
        <f t="shared" si="28"/>
        <v/>
      </c>
      <c r="B582" s="12" t="str">
        <f>IF('Import OpenCPN'!AC583="","",'Import OpenCPN'!AC583)</f>
        <v/>
      </c>
      <c r="C582" s="12" t="str">
        <f t="shared" si="27"/>
        <v/>
      </c>
      <c r="D582" s="12" t="str">
        <f t="shared" si="29"/>
        <v/>
      </c>
    </row>
    <row r="583" spans="1:4" x14ac:dyDescent="0.2">
      <c r="A583" t="str">
        <f t="shared" si="28"/>
        <v/>
      </c>
      <c r="B583" s="12" t="str">
        <f>IF('Import OpenCPN'!AC584="","",'Import OpenCPN'!AC584)</f>
        <v/>
      </c>
      <c r="C583" s="12" t="str">
        <f t="shared" si="27"/>
        <v/>
      </c>
      <c r="D583" s="12" t="str">
        <f t="shared" si="29"/>
        <v/>
      </c>
    </row>
    <row r="584" spans="1:4" x14ac:dyDescent="0.2">
      <c r="A584" t="str">
        <f t="shared" si="28"/>
        <v/>
      </c>
      <c r="B584" s="12" t="str">
        <f>IF('Import OpenCPN'!AC585="","",'Import OpenCPN'!AC585)</f>
        <v/>
      </c>
      <c r="C584" s="12" t="str">
        <f t="shared" si="27"/>
        <v/>
      </c>
      <c r="D584" s="12" t="str">
        <f t="shared" si="29"/>
        <v/>
      </c>
    </row>
    <row r="585" spans="1:4" x14ac:dyDescent="0.2">
      <c r="A585" t="str">
        <f t="shared" si="28"/>
        <v/>
      </c>
      <c r="B585" s="12" t="str">
        <f>IF('Import OpenCPN'!AC586="","",'Import OpenCPN'!AC586)</f>
        <v/>
      </c>
      <c r="C585" s="12" t="str">
        <f t="shared" si="27"/>
        <v/>
      </c>
      <c r="D585" s="12" t="str">
        <f t="shared" si="29"/>
        <v/>
      </c>
    </row>
    <row r="586" spans="1:4" x14ac:dyDescent="0.2">
      <c r="A586" t="str">
        <f t="shared" si="28"/>
        <v/>
      </c>
      <c r="B586" s="12" t="str">
        <f>IF('Import OpenCPN'!AC587="","",'Import OpenCPN'!AC587)</f>
        <v/>
      </c>
      <c r="C586" s="12" t="str">
        <f t="shared" si="27"/>
        <v/>
      </c>
      <c r="D586" s="12" t="str">
        <f t="shared" si="29"/>
        <v/>
      </c>
    </row>
    <row r="587" spans="1:4" x14ac:dyDescent="0.2">
      <c r="A587" t="str">
        <f t="shared" si="28"/>
        <v/>
      </c>
      <c r="B587" s="12" t="str">
        <f>IF('Import OpenCPN'!AC588="","",'Import OpenCPN'!AC588)</f>
        <v/>
      </c>
      <c r="C587" s="12" t="str">
        <f t="shared" si="27"/>
        <v/>
      </c>
      <c r="D587" s="12" t="str">
        <f t="shared" si="29"/>
        <v/>
      </c>
    </row>
    <row r="588" spans="1:4" x14ac:dyDescent="0.2">
      <c r="A588" t="str">
        <f t="shared" si="28"/>
        <v/>
      </c>
      <c r="B588" s="12" t="str">
        <f>IF('Import OpenCPN'!AC589="","",'Import OpenCPN'!AC589)</f>
        <v/>
      </c>
      <c r="C588" s="12" t="str">
        <f t="shared" si="27"/>
        <v/>
      </c>
      <c r="D588" s="12" t="str">
        <f t="shared" si="29"/>
        <v/>
      </c>
    </row>
    <row r="589" spans="1:4" x14ac:dyDescent="0.2">
      <c r="A589" t="str">
        <f t="shared" si="28"/>
        <v/>
      </c>
      <c r="B589" s="12" t="str">
        <f>IF('Import OpenCPN'!AC590="","",'Import OpenCPN'!AC590)</f>
        <v/>
      </c>
      <c r="C589" s="12" t="str">
        <f t="shared" si="27"/>
        <v/>
      </c>
      <c r="D589" s="12" t="str">
        <f t="shared" si="29"/>
        <v/>
      </c>
    </row>
    <row r="590" spans="1:4" x14ac:dyDescent="0.2">
      <c r="A590" t="str">
        <f t="shared" si="28"/>
        <v/>
      </c>
      <c r="B590" s="12" t="str">
        <f>IF('Import OpenCPN'!AC591="","",'Import OpenCPN'!AC591)</f>
        <v/>
      </c>
      <c r="C590" s="12" t="str">
        <f t="shared" si="27"/>
        <v/>
      </c>
      <c r="D590" s="12" t="str">
        <f t="shared" si="29"/>
        <v/>
      </c>
    </row>
    <row r="591" spans="1:4" x14ac:dyDescent="0.2">
      <c r="A591" t="str">
        <f t="shared" si="28"/>
        <v/>
      </c>
      <c r="B591" s="12" t="str">
        <f>IF('Import OpenCPN'!AC592="","",'Import OpenCPN'!AC592)</f>
        <v/>
      </c>
      <c r="C591" s="12" t="str">
        <f t="shared" si="27"/>
        <v/>
      </c>
      <c r="D591" s="12" t="str">
        <f t="shared" si="29"/>
        <v/>
      </c>
    </row>
    <row r="592" spans="1:4" x14ac:dyDescent="0.2">
      <c r="A592" t="str">
        <f t="shared" si="28"/>
        <v/>
      </c>
      <c r="B592" s="12" t="str">
        <f>IF('Import OpenCPN'!AC593="","",'Import OpenCPN'!AC593)</f>
        <v/>
      </c>
      <c r="C592" s="12" t="str">
        <f t="shared" si="27"/>
        <v/>
      </c>
      <c r="D592" s="12" t="str">
        <f t="shared" si="29"/>
        <v/>
      </c>
    </row>
    <row r="593" spans="1:4" x14ac:dyDescent="0.2">
      <c r="A593" t="str">
        <f t="shared" si="28"/>
        <v/>
      </c>
      <c r="B593" s="12" t="str">
        <f>IF('Import OpenCPN'!AC594="","",'Import OpenCPN'!AC594)</f>
        <v/>
      </c>
      <c r="C593" s="12" t="str">
        <f t="shared" si="27"/>
        <v/>
      </c>
      <c r="D593" s="12" t="str">
        <f t="shared" si="29"/>
        <v/>
      </c>
    </row>
    <row r="594" spans="1:4" x14ac:dyDescent="0.2">
      <c r="A594" t="str">
        <f t="shared" si="28"/>
        <v/>
      </c>
      <c r="B594" s="12" t="str">
        <f>IF('Import OpenCPN'!AC595="","",'Import OpenCPN'!AC595)</f>
        <v/>
      </c>
      <c r="C594" s="12" t="str">
        <f t="shared" si="27"/>
        <v/>
      </c>
      <c r="D594" s="12" t="str">
        <f t="shared" si="29"/>
        <v/>
      </c>
    </row>
    <row r="595" spans="1:4" x14ac:dyDescent="0.2">
      <c r="A595" t="str">
        <f t="shared" si="28"/>
        <v/>
      </c>
      <c r="B595" s="12" t="str">
        <f>IF('Import OpenCPN'!AC596="","",'Import OpenCPN'!AC596)</f>
        <v/>
      </c>
      <c r="C595" s="12" t="str">
        <f t="shared" si="27"/>
        <v/>
      </c>
      <c r="D595" s="12" t="str">
        <f t="shared" si="29"/>
        <v/>
      </c>
    </row>
    <row r="596" spans="1:4" x14ac:dyDescent="0.2">
      <c r="A596" t="str">
        <f t="shared" si="28"/>
        <v/>
      </c>
      <c r="B596" s="12" t="str">
        <f>IF('Import OpenCPN'!AC597="","",'Import OpenCPN'!AC597)</f>
        <v/>
      </c>
      <c r="C596" s="12" t="str">
        <f t="shared" si="27"/>
        <v/>
      </c>
      <c r="D596" s="12" t="str">
        <f t="shared" si="29"/>
        <v/>
      </c>
    </row>
    <row r="597" spans="1:4" x14ac:dyDescent="0.2">
      <c r="A597" t="str">
        <f t="shared" si="28"/>
        <v/>
      </c>
      <c r="B597" s="12" t="str">
        <f>IF('Import OpenCPN'!AC598="","",'Import OpenCPN'!AC598)</f>
        <v/>
      </c>
      <c r="C597" s="12" t="str">
        <f t="shared" si="27"/>
        <v/>
      </c>
      <c r="D597" s="12" t="str">
        <f t="shared" si="29"/>
        <v/>
      </c>
    </row>
    <row r="598" spans="1:4" x14ac:dyDescent="0.2">
      <c r="A598" t="str">
        <f t="shared" si="28"/>
        <v/>
      </c>
      <c r="B598" s="12" t="str">
        <f>IF('Import OpenCPN'!AC599="","",'Import OpenCPN'!AC599)</f>
        <v/>
      </c>
      <c r="C598" s="12" t="str">
        <f t="shared" si="27"/>
        <v/>
      </c>
      <c r="D598" s="12" t="str">
        <f t="shared" si="29"/>
        <v/>
      </c>
    </row>
    <row r="599" spans="1:4" x14ac:dyDescent="0.2">
      <c r="A599" t="str">
        <f t="shared" si="28"/>
        <v/>
      </c>
      <c r="B599" s="12" t="str">
        <f>IF('Import OpenCPN'!AC600="","",'Import OpenCPN'!AC600)</f>
        <v/>
      </c>
      <c r="C599" s="12" t="str">
        <f t="shared" si="27"/>
        <v/>
      </c>
      <c r="D599" s="12" t="str">
        <f t="shared" si="29"/>
        <v/>
      </c>
    </row>
    <row r="600" spans="1:4" x14ac:dyDescent="0.2">
      <c r="A600" t="str">
        <f t="shared" si="28"/>
        <v/>
      </c>
      <c r="B600" s="12" t="str">
        <f>IF('Import OpenCPN'!AC601="","",'Import OpenCPN'!AC601)</f>
        <v/>
      </c>
      <c r="C600" s="12" t="str">
        <f t="shared" si="27"/>
        <v/>
      </c>
      <c r="D600" s="12" t="str">
        <f t="shared" si="29"/>
        <v/>
      </c>
    </row>
    <row r="601" spans="1:4" x14ac:dyDescent="0.2">
      <c r="A601" t="str">
        <f t="shared" si="28"/>
        <v/>
      </c>
      <c r="B601" s="12" t="str">
        <f>IF('Import OpenCPN'!AC602="","",'Import OpenCPN'!AC602)</f>
        <v/>
      </c>
      <c r="C601" s="12" t="str">
        <f t="shared" si="27"/>
        <v/>
      </c>
      <c r="D601" s="12" t="str">
        <f t="shared" si="29"/>
        <v/>
      </c>
    </row>
    <row r="602" spans="1:4" x14ac:dyDescent="0.2">
      <c r="A602" t="str">
        <f t="shared" si="28"/>
        <v/>
      </c>
      <c r="B602" s="12" t="str">
        <f>IF('Import OpenCPN'!AC603="","",'Import OpenCPN'!AC603)</f>
        <v/>
      </c>
      <c r="C602" s="12" t="str">
        <f t="shared" si="27"/>
        <v/>
      </c>
      <c r="D602" s="12" t="str">
        <f t="shared" si="29"/>
        <v/>
      </c>
    </row>
    <row r="603" spans="1:4" x14ac:dyDescent="0.2">
      <c r="A603" t="str">
        <f t="shared" si="28"/>
        <v/>
      </c>
      <c r="B603" s="12" t="str">
        <f>IF('Import OpenCPN'!AC604="","",'Import OpenCPN'!AC604)</f>
        <v/>
      </c>
      <c r="C603" s="12" t="str">
        <f t="shared" si="27"/>
        <v/>
      </c>
      <c r="D603" s="12" t="str">
        <f t="shared" si="29"/>
        <v/>
      </c>
    </row>
    <row r="604" spans="1:4" x14ac:dyDescent="0.2">
      <c r="A604" t="str">
        <f t="shared" si="28"/>
        <v/>
      </c>
      <c r="B604" s="12" t="str">
        <f>IF('Import OpenCPN'!AC605="","",'Import OpenCPN'!AC605)</f>
        <v/>
      </c>
      <c r="C604" s="12" t="str">
        <f t="shared" si="27"/>
        <v/>
      </c>
      <c r="D604" s="12" t="str">
        <f t="shared" si="29"/>
        <v/>
      </c>
    </row>
    <row r="605" spans="1:4" x14ac:dyDescent="0.2">
      <c r="A605" t="str">
        <f t="shared" si="28"/>
        <v/>
      </c>
      <c r="B605" s="12" t="str">
        <f>IF('Import OpenCPN'!AC606="","",'Import OpenCPN'!AC606)</f>
        <v/>
      </c>
      <c r="C605" s="12" t="str">
        <f t="shared" si="27"/>
        <v/>
      </c>
      <c r="D605" s="12" t="str">
        <f t="shared" si="29"/>
        <v/>
      </c>
    </row>
    <row r="606" spans="1:4" x14ac:dyDescent="0.2">
      <c r="A606" t="str">
        <f t="shared" si="28"/>
        <v/>
      </c>
      <c r="B606" s="12" t="str">
        <f>IF('Import OpenCPN'!AC607="","",'Import OpenCPN'!AC607)</f>
        <v/>
      </c>
      <c r="C606" s="12" t="str">
        <f t="shared" si="27"/>
        <v/>
      </c>
      <c r="D606" s="12" t="str">
        <f t="shared" si="29"/>
        <v/>
      </c>
    </row>
    <row r="607" spans="1:4" x14ac:dyDescent="0.2">
      <c r="A607" t="str">
        <f t="shared" si="28"/>
        <v/>
      </c>
      <c r="B607" s="12" t="str">
        <f>IF('Import OpenCPN'!AC608="","",'Import OpenCPN'!AC608)</f>
        <v/>
      </c>
      <c r="C607" s="12" t="str">
        <f t="shared" si="27"/>
        <v/>
      </c>
      <c r="D607" s="12" t="str">
        <f t="shared" si="29"/>
        <v/>
      </c>
    </row>
    <row r="608" spans="1:4" x14ac:dyDescent="0.2">
      <c r="A608" t="str">
        <f t="shared" si="28"/>
        <v/>
      </c>
      <c r="B608" s="12" t="str">
        <f>IF('Import OpenCPN'!AC609="","",'Import OpenCPN'!AC609)</f>
        <v/>
      </c>
      <c r="C608" s="12" t="str">
        <f t="shared" si="27"/>
        <v/>
      </c>
      <c r="D608" s="12" t="str">
        <f t="shared" si="29"/>
        <v/>
      </c>
    </row>
    <row r="609" spans="1:4" x14ac:dyDescent="0.2">
      <c r="A609" t="str">
        <f t="shared" si="28"/>
        <v/>
      </c>
      <c r="B609" s="12" t="str">
        <f>IF('Import OpenCPN'!AC610="","",'Import OpenCPN'!AC610)</f>
        <v/>
      </c>
      <c r="C609" s="12" t="str">
        <f t="shared" si="27"/>
        <v/>
      </c>
      <c r="D609" s="12" t="str">
        <f t="shared" si="29"/>
        <v/>
      </c>
    </row>
    <row r="610" spans="1:4" x14ac:dyDescent="0.2">
      <c r="A610" t="str">
        <f t="shared" si="28"/>
        <v/>
      </c>
      <c r="B610" s="12" t="str">
        <f>IF('Import OpenCPN'!AC611="","",'Import OpenCPN'!AC611)</f>
        <v/>
      </c>
      <c r="C610" s="12" t="str">
        <f t="shared" si="27"/>
        <v/>
      </c>
      <c r="D610" s="12" t="str">
        <f t="shared" si="29"/>
        <v/>
      </c>
    </row>
    <row r="611" spans="1:4" x14ac:dyDescent="0.2">
      <c r="A611" t="str">
        <f t="shared" si="28"/>
        <v/>
      </c>
      <c r="B611" s="12" t="str">
        <f>IF('Import OpenCPN'!AC612="","",'Import OpenCPN'!AC612)</f>
        <v/>
      </c>
      <c r="C611" s="12" t="str">
        <f t="shared" si="27"/>
        <v/>
      </c>
      <c r="D611" s="12" t="str">
        <f t="shared" si="29"/>
        <v/>
      </c>
    </row>
    <row r="612" spans="1:4" x14ac:dyDescent="0.2">
      <c r="A612" t="str">
        <f t="shared" si="28"/>
        <v/>
      </c>
      <c r="B612" s="12" t="str">
        <f>IF('Import OpenCPN'!AC613="","",'Import OpenCPN'!AC613)</f>
        <v/>
      </c>
      <c r="C612" s="12" t="str">
        <f t="shared" si="27"/>
        <v/>
      </c>
      <c r="D612" s="12" t="str">
        <f t="shared" si="29"/>
        <v/>
      </c>
    </row>
    <row r="613" spans="1:4" x14ac:dyDescent="0.2">
      <c r="A613" t="str">
        <f t="shared" si="28"/>
        <v/>
      </c>
      <c r="B613" s="12" t="str">
        <f>IF('Import OpenCPN'!AC614="","",'Import OpenCPN'!AC614)</f>
        <v/>
      </c>
      <c r="C613" s="12" t="str">
        <f t="shared" si="27"/>
        <v/>
      </c>
      <c r="D613" s="12" t="str">
        <f t="shared" si="29"/>
        <v/>
      </c>
    </row>
    <row r="614" spans="1:4" x14ac:dyDescent="0.2">
      <c r="A614" t="str">
        <f t="shared" si="28"/>
        <v/>
      </c>
      <c r="B614" s="12" t="str">
        <f>IF('Import OpenCPN'!AC615="","",'Import OpenCPN'!AC615)</f>
        <v/>
      </c>
      <c r="C614" s="12" t="str">
        <f t="shared" si="27"/>
        <v/>
      </c>
      <c r="D614" s="12" t="str">
        <f t="shared" si="29"/>
        <v/>
      </c>
    </row>
    <row r="615" spans="1:4" x14ac:dyDescent="0.2">
      <c r="A615" t="str">
        <f t="shared" si="28"/>
        <v/>
      </c>
      <c r="B615" s="12" t="str">
        <f>IF('Import OpenCPN'!AC616="","",'Import OpenCPN'!AC616)</f>
        <v/>
      </c>
      <c r="C615" s="12" t="str">
        <f t="shared" si="27"/>
        <v/>
      </c>
      <c r="D615" s="12" t="str">
        <f t="shared" si="29"/>
        <v/>
      </c>
    </row>
    <row r="616" spans="1:4" x14ac:dyDescent="0.2">
      <c r="A616" t="str">
        <f t="shared" si="28"/>
        <v/>
      </c>
      <c r="B616" s="12" t="str">
        <f>IF('Import OpenCPN'!AC617="","",'Import OpenCPN'!AC617)</f>
        <v/>
      </c>
      <c r="C616" s="12" t="str">
        <f t="shared" si="27"/>
        <v/>
      </c>
      <c r="D616" s="12" t="str">
        <f t="shared" si="29"/>
        <v/>
      </c>
    </row>
    <row r="617" spans="1:4" x14ac:dyDescent="0.2">
      <c r="A617" t="str">
        <f t="shared" si="28"/>
        <v/>
      </c>
      <c r="B617" s="12" t="str">
        <f>IF('Import OpenCPN'!AC618="","",'Import OpenCPN'!AC618)</f>
        <v/>
      </c>
      <c r="C617" s="12" t="str">
        <f t="shared" si="27"/>
        <v/>
      </c>
      <c r="D617" s="12" t="str">
        <f t="shared" si="29"/>
        <v/>
      </c>
    </row>
    <row r="618" spans="1:4" x14ac:dyDescent="0.2">
      <c r="A618" t="str">
        <f t="shared" si="28"/>
        <v/>
      </c>
      <c r="B618" s="12" t="str">
        <f>IF('Import OpenCPN'!AC619="","",'Import OpenCPN'!AC619)</f>
        <v/>
      </c>
      <c r="C618" s="12" t="str">
        <f t="shared" si="27"/>
        <v/>
      </c>
      <c r="D618" s="12" t="str">
        <f t="shared" si="29"/>
        <v/>
      </c>
    </row>
    <row r="619" spans="1:4" x14ac:dyDescent="0.2">
      <c r="A619" t="str">
        <f t="shared" si="28"/>
        <v/>
      </c>
      <c r="B619" s="12" t="str">
        <f>IF('Import OpenCPN'!AC620="","",'Import OpenCPN'!AC620)</f>
        <v/>
      </c>
      <c r="C619" s="12" t="str">
        <f t="shared" si="27"/>
        <v/>
      </c>
      <c r="D619" s="12" t="str">
        <f t="shared" si="29"/>
        <v/>
      </c>
    </row>
    <row r="620" spans="1:4" x14ac:dyDescent="0.2">
      <c r="A620" t="str">
        <f t="shared" si="28"/>
        <v/>
      </c>
      <c r="B620" s="12" t="str">
        <f>IF('Import OpenCPN'!AC621="","",'Import OpenCPN'!AC621)</f>
        <v/>
      </c>
      <c r="C620" s="12" t="str">
        <f t="shared" si="27"/>
        <v/>
      </c>
      <c r="D620" s="12" t="str">
        <f t="shared" si="29"/>
        <v/>
      </c>
    </row>
    <row r="621" spans="1:4" x14ac:dyDescent="0.2">
      <c r="A621" t="str">
        <f t="shared" si="28"/>
        <v/>
      </c>
      <c r="B621" s="12" t="str">
        <f>IF('Import OpenCPN'!AC622="","",'Import OpenCPN'!AC622)</f>
        <v/>
      </c>
      <c r="C621" s="12" t="str">
        <f t="shared" si="27"/>
        <v/>
      </c>
      <c r="D621" s="12" t="str">
        <f t="shared" si="29"/>
        <v/>
      </c>
    </row>
    <row r="622" spans="1:4" x14ac:dyDescent="0.2">
      <c r="A622" t="str">
        <f t="shared" si="28"/>
        <v/>
      </c>
      <c r="B622" s="12" t="str">
        <f>IF('Import OpenCPN'!AC623="","",'Import OpenCPN'!AC623)</f>
        <v/>
      </c>
      <c r="C622" s="12" t="str">
        <f t="shared" si="27"/>
        <v/>
      </c>
      <c r="D622" s="12" t="str">
        <f t="shared" si="29"/>
        <v/>
      </c>
    </row>
    <row r="623" spans="1:4" x14ac:dyDescent="0.2">
      <c r="A623" t="str">
        <f t="shared" si="28"/>
        <v/>
      </c>
      <c r="B623" s="12" t="str">
        <f>IF('Import OpenCPN'!AC624="","",'Import OpenCPN'!AC624)</f>
        <v/>
      </c>
      <c r="C623" s="12" t="str">
        <f t="shared" si="27"/>
        <v/>
      </c>
      <c r="D623" s="12" t="str">
        <f t="shared" si="29"/>
        <v/>
      </c>
    </row>
    <row r="624" spans="1:4" x14ac:dyDescent="0.2">
      <c r="A624" t="str">
        <f t="shared" si="28"/>
        <v/>
      </c>
      <c r="B624" s="12" t="str">
        <f>IF('Import OpenCPN'!AC625="","",'Import OpenCPN'!AC625)</f>
        <v/>
      </c>
      <c r="C624" s="12" t="str">
        <f t="shared" si="27"/>
        <v/>
      </c>
      <c r="D624" s="12" t="str">
        <f t="shared" si="29"/>
        <v/>
      </c>
    </row>
    <row r="625" spans="1:4" x14ac:dyDescent="0.2">
      <c r="A625" t="str">
        <f t="shared" si="28"/>
        <v/>
      </c>
      <c r="B625" s="12" t="str">
        <f>IF('Import OpenCPN'!AC626="","",'Import OpenCPN'!AC626)</f>
        <v/>
      </c>
      <c r="C625" s="12" t="str">
        <f t="shared" si="27"/>
        <v/>
      </c>
      <c r="D625" s="12" t="str">
        <f t="shared" si="29"/>
        <v/>
      </c>
    </row>
    <row r="626" spans="1:4" x14ac:dyDescent="0.2">
      <c r="A626" t="str">
        <f t="shared" si="28"/>
        <v/>
      </c>
      <c r="B626" s="12" t="str">
        <f>IF('Import OpenCPN'!AC627="","",'Import OpenCPN'!AC627)</f>
        <v/>
      </c>
      <c r="C626" s="12" t="str">
        <f t="shared" si="27"/>
        <v/>
      </c>
      <c r="D626" s="12" t="str">
        <f t="shared" si="29"/>
        <v/>
      </c>
    </row>
    <row r="627" spans="1:4" x14ac:dyDescent="0.2">
      <c r="A627" t="str">
        <f t="shared" si="28"/>
        <v/>
      </c>
      <c r="B627" s="12" t="str">
        <f>IF('Import OpenCPN'!AC628="","",'Import OpenCPN'!AC628)</f>
        <v/>
      </c>
      <c r="C627" s="12" t="str">
        <f t="shared" si="27"/>
        <v/>
      </c>
      <c r="D627" s="12" t="str">
        <f t="shared" si="29"/>
        <v/>
      </c>
    </row>
    <row r="628" spans="1:4" x14ac:dyDescent="0.2">
      <c r="A628" t="str">
        <f t="shared" si="28"/>
        <v/>
      </c>
      <c r="B628" s="12" t="str">
        <f>IF('Import OpenCPN'!AC629="","",'Import OpenCPN'!AC629)</f>
        <v/>
      </c>
      <c r="C628" s="12" t="str">
        <f t="shared" si="27"/>
        <v/>
      </c>
      <c r="D628" s="12" t="str">
        <f t="shared" si="29"/>
        <v/>
      </c>
    </row>
    <row r="629" spans="1:4" x14ac:dyDescent="0.2">
      <c r="A629" t="str">
        <f t="shared" si="28"/>
        <v/>
      </c>
      <c r="B629" s="12" t="str">
        <f>IF('Import OpenCPN'!AC630="","",'Import OpenCPN'!AC630)</f>
        <v/>
      </c>
      <c r="C629" s="12" t="str">
        <f t="shared" si="27"/>
        <v/>
      </c>
      <c r="D629" s="12" t="str">
        <f t="shared" si="29"/>
        <v/>
      </c>
    </row>
    <row r="630" spans="1:4" x14ac:dyDescent="0.2">
      <c r="A630" t="str">
        <f t="shared" si="28"/>
        <v/>
      </c>
      <c r="B630" s="12" t="str">
        <f>IF('Import OpenCPN'!AC631="","",'Import OpenCPN'!AC631)</f>
        <v/>
      </c>
      <c r="C630" s="12" t="str">
        <f t="shared" si="27"/>
        <v/>
      </c>
      <c r="D630" s="12" t="str">
        <f t="shared" si="29"/>
        <v/>
      </c>
    </row>
    <row r="631" spans="1:4" x14ac:dyDescent="0.2">
      <c r="A631" t="str">
        <f t="shared" si="28"/>
        <v/>
      </c>
      <c r="B631" s="12" t="str">
        <f>IF('Import OpenCPN'!AC632="","",'Import OpenCPN'!AC632)</f>
        <v/>
      </c>
      <c r="C631" s="12" t="str">
        <f t="shared" si="27"/>
        <v/>
      </c>
      <c r="D631" s="12" t="str">
        <f t="shared" si="29"/>
        <v/>
      </c>
    </row>
    <row r="632" spans="1:4" x14ac:dyDescent="0.2">
      <c r="A632" t="str">
        <f t="shared" si="28"/>
        <v/>
      </c>
      <c r="B632" s="12" t="str">
        <f>IF('Import OpenCPN'!AC633="","",'Import OpenCPN'!AC633)</f>
        <v/>
      </c>
      <c r="C632" s="12" t="str">
        <f t="shared" si="27"/>
        <v/>
      </c>
      <c r="D632" s="12" t="str">
        <f t="shared" si="29"/>
        <v/>
      </c>
    </row>
    <row r="633" spans="1:4" x14ac:dyDescent="0.2">
      <c r="A633" t="str">
        <f t="shared" si="28"/>
        <v/>
      </c>
      <c r="B633" s="12" t="str">
        <f>IF('Import OpenCPN'!AC634="","",'Import OpenCPN'!AC634)</f>
        <v/>
      </c>
      <c r="C633" s="12" t="str">
        <f t="shared" si="27"/>
        <v/>
      </c>
      <c r="D633" s="12" t="str">
        <f t="shared" si="29"/>
        <v/>
      </c>
    </row>
    <row r="634" spans="1:4" x14ac:dyDescent="0.2">
      <c r="A634" t="str">
        <f t="shared" si="28"/>
        <v/>
      </c>
      <c r="B634" s="12" t="str">
        <f>IF('Import OpenCPN'!AC635="","",'Import OpenCPN'!AC635)</f>
        <v/>
      </c>
      <c r="C634" s="12" t="str">
        <f t="shared" si="27"/>
        <v/>
      </c>
      <c r="D634" s="12" t="str">
        <f t="shared" si="29"/>
        <v/>
      </c>
    </row>
    <row r="635" spans="1:4" x14ac:dyDescent="0.2">
      <c r="A635" t="str">
        <f t="shared" si="28"/>
        <v/>
      </c>
      <c r="B635" s="12" t="str">
        <f>IF('Import OpenCPN'!AC636="","",'Import OpenCPN'!AC636)</f>
        <v/>
      </c>
      <c r="C635" s="12" t="str">
        <f t="shared" si="27"/>
        <v/>
      </c>
      <c r="D635" s="12" t="str">
        <f t="shared" si="29"/>
        <v/>
      </c>
    </row>
    <row r="636" spans="1:4" x14ac:dyDescent="0.2">
      <c r="A636" t="str">
        <f t="shared" si="28"/>
        <v/>
      </c>
      <c r="B636" s="12" t="str">
        <f>IF('Import OpenCPN'!AC637="","",'Import OpenCPN'!AC637)</f>
        <v/>
      </c>
      <c r="C636" s="12" t="str">
        <f t="shared" si="27"/>
        <v/>
      </c>
      <c r="D636" s="12" t="str">
        <f t="shared" si="29"/>
        <v/>
      </c>
    </row>
    <row r="637" spans="1:4" x14ac:dyDescent="0.2">
      <c r="A637" t="str">
        <f t="shared" si="28"/>
        <v/>
      </c>
      <c r="B637" s="12" t="str">
        <f>IF('Import OpenCPN'!AC638="","",'Import OpenCPN'!AC638)</f>
        <v/>
      </c>
      <c r="C637" s="12" t="str">
        <f t="shared" si="27"/>
        <v/>
      </c>
      <c r="D637" s="12" t="str">
        <f t="shared" si="29"/>
        <v/>
      </c>
    </row>
    <row r="638" spans="1:4" x14ac:dyDescent="0.2">
      <c r="A638" t="str">
        <f t="shared" si="28"/>
        <v/>
      </c>
      <c r="B638" s="12" t="str">
        <f>IF('Import OpenCPN'!AC639="","",'Import OpenCPN'!AC639)</f>
        <v/>
      </c>
      <c r="C638" s="12" t="str">
        <f t="shared" si="27"/>
        <v/>
      </c>
      <c r="D638" s="12" t="str">
        <f t="shared" si="29"/>
        <v/>
      </c>
    </row>
    <row r="639" spans="1:4" x14ac:dyDescent="0.2">
      <c r="A639" t="str">
        <f t="shared" si="28"/>
        <v/>
      </c>
      <c r="B639" s="12" t="str">
        <f>IF('Import OpenCPN'!AC640="","",'Import OpenCPN'!AC640)</f>
        <v/>
      </c>
      <c r="C639" s="12" t="str">
        <f t="shared" si="27"/>
        <v/>
      </c>
      <c r="D639" s="12" t="str">
        <f t="shared" si="29"/>
        <v/>
      </c>
    </row>
    <row r="640" spans="1:4" x14ac:dyDescent="0.2">
      <c r="A640" t="str">
        <f t="shared" si="28"/>
        <v/>
      </c>
      <c r="B640" s="12" t="str">
        <f>IF('Import OpenCPN'!AC641="","",'Import OpenCPN'!AC641)</f>
        <v/>
      </c>
      <c r="C640" s="12" t="str">
        <f t="shared" si="27"/>
        <v/>
      </c>
      <c r="D640" s="12" t="str">
        <f t="shared" si="29"/>
        <v/>
      </c>
    </row>
    <row r="641" spans="1:4" x14ac:dyDescent="0.2">
      <c r="A641" t="str">
        <f t="shared" si="28"/>
        <v/>
      </c>
      <c r="B641" s="12" t="str">
        <f>IF('Import OpenCPN'!AC642="","",'Import OpenCPN'!AC642)</f>
        <v/>
      </c>
      <c r="C641" s="12" t="str">
        <f t="shared" si="27"/>
        <v/>
      </c>
      <c r="D641" s="12" t="str">
        <f t="shared" si="29"/>
        <v/>
      </c>
    </row>
    <row r="642" spans="1:4" x14ac:dyDescent="0.2">
      <c r="A642" t="str">
        <f t="shared" si="28"/>
        <v/>
      </c>
      <c r="B642" s="12" t="str">
        <f>IF('Import OpenCPN'!AC643="","",'Import OpenCPN'!AC643)</f>
        <v/>
      </c>
      <c r="C642" s="12" t="str">
        <f t="shared" ref="C642:C705" si="30">IF(B642="","","q")</f>
        <v/>
      </c>
      <c r="D642" s="12" t="str">
        <f t="shared" si="29"/>
        <v/>
      </c>
    </row>
    <row r="643" spans="1:4" x14ac:dyDescent="0.2">
      <c r="A643" t="str">
        <f t="shared" ref="A643:A706" si="31">IF(B643="","",A642+1)</f>
        <v/>
      </c>
      <c r="B643" s="12" t="str">
        <f>IF('Import OpenCPN'!AC644="","",'Import OpenCPN'!AC644)</f>
        <v/>
      </c>
      <c r="C643" s="12" t="str">
        <f t="shared" si="30"/>
        <v/>
      </c>
      <c r="D643" s="12" t="str">
        <f t="shared" ref="D643:D706" si="32">IF(B643="","",1)</f>
        <v/>
      </c>
    </row>
    <row r="644" spans="1:4" x14ac:dyDescent="0.2">
      <c r="A644" t="str">
        <f t="shared" si="31"/>
        <v/>
      </c>
      <c r="B644" s="12" t="str">
        <f>IF('Import OpenCPN'!AC645="","",'Import OpenCPN'!AC645)</f>
        <v/>
      </c>
      <c r="C644" s="12" t="str">
        <f t="shared" si="30"/>
        <v/>
      </c>
      <c r="D644" s="12" t="str">
        <f t="shared" si="32"/>
        <v/>
      </c>
    </row>
    <row r="645" spans="1:4" x14ac:dyDescent="0.2">
      <c r="A645" t="str">
        <f t="shared" si="31"/>
        <v/>
      </c>
      <c r="B645" s="12" t="str">
        <f>IF('Import OpenCPN'!AC646="","",'Import OpenCPN'!AC646)</f>
        <v/>
      </c>
      <c r="C645" s="12" t="str">
        <f t="shared" si="30"/>
        <v/>
      </c>
      <c r="D645" s="12" t="str">
        <f t="shared" si="32"/>
        <v/>
      </c>
    </row>
    <row r="646" spans="1:4" x14ac:dyDescent="0.2">
      <c r="A646" t="str">
        <f t="shared" si="31"/>
        <v/>
      </c>
      <c r="B646" s="12" t="str">
        <f>IF('Import OpenCPN'!AC647="","",'Import OpenCPN'!AC647)</f>
        <v/>
      </c>
      <c r="C646" s="12" t="str">
        <f t="shared" si="30"/>
        <v/>
      </c>
      <c r="D646" s="12" t="str">
        <f t="shared" si="32"/>
        <v/>
      </c>
    </row>
    <row r="647" spans="1:4" x14ac:dyDescent="0.2">
      <c r="A647" t="str">
        <f t="shared" si="31"/>
        <v/>
      </c>
      <c r="B647" s="12" t="str">
        <f>IF('Import OpenCPN'!AC648="","",'Import OpenCPN'!AC648)</f>
        <v/>
      </c>
      <c r="C647" s="12" t="str">
        <f t="shared" si="30"/>
        <v/>
      </c>
      <c r="D647" s="12" t="str">
        <f t="shared" si="32"/>
        <v/>
      </c>
    </row>
    <row r="648" spans="1:4" x14ac:dyDescent="0.2">
      <c r="A648" t="str">
        <f t="shared" si="31"/>
        <v/>
      </c>
      <c r="B648" s="12" t="str">
        <f>IF('Import OpenCPN'!AC649="","",'Import OpenCPN'!AC649)</f>
        <v/>
      </c>
      <c r="C648" s="12" t="str">
        <f t="shared" si="30"/>
        <v/>
      </c>
      <c r="D648" s="12" t="str">
        <f t="shared" si="32"/>
        <v/>
      </c>
    </row>
    <row r="649" spans="1:4" x14ac:dyDescent="0.2">
      <c r="A649" t="str">
        <f t="shared" si="31"/>
        <v/>
      </c>
      <c r="B649" s="12" t="str">
        <f>IF('Import OpenCPN'!AC650="","",'Import OpenCPN'!AC650)</f>
        <v/>
      </c>
      <c r="C649" s="12" t="str">
        <f t="shared" si="30"/>
        <v/>
      </c>
      <c r="D649" s="12" t="str">
        <f t="shared" si="32"/>
        <v/>
      </c>
    </row>
    <row r="650" spans="1:4" x14ac:dyDescent="0.2">
      <c r="A650" t="str">
        <f t="shared" si="31"/>
        <v/>
      </c>
      <c r="B650" s="12" t="str">
        <f>IF('Import OpenCPN'!AC651="","",'Import OpenCPN'!AC651)</f>
        <v/>
      </c>
      <c r="C650" s="12" t="str">
        <f t="shared" si="30"/>
        <v/>
      </c>
      <c r="D650" s="12" t="str">
        <f t="shared" si="32"/>
        <v/>
      </c>
    </row>
    <row r="651" spans="1:4" x14ac:dyDescent="0.2">
      <c r="A651" t="str">
        <f t="shared" si="31"/>
        <v/>
      </c>
      <c r="B651" s="12" t="str">
        <f>IF('Import OpenCPN'!AC652="","",'Import OpenCPN'!AC652)</f>
        <v/>
      </c>
      <c r="C651" s="12" t="str">
        <f t="shared" si="30"/>
        <v/>
      </c>
      <c r="D651" s="12" t="str">
        <f t="shared" si="32"/>
        <v/>
      </c>
    </row>
    <row r="652" spans="1:4" x14ac:dyDescent="0.2">
      <c r="A652" t="str">
        <f t="shared" si="31"/>
        <v/>
      </c>
      <c r="B652" s="12" t="str">
        <f>IF('Import OpenCPN'!AC653="","",'Import OpenCPN'!AC653)</f>
        <v/>
      </c>
      <c r="C652" s="12" t="str">
        <f t="shared" si="30"/>
        <v/>
      </c>
      <c r="D652" s="12" t="str">
        <f t="shared" si="32"/>
        <v/>
      </c>
    </row>
    <row r="653" spans="1:4" x14ac:dyDescent="0.2">
      <c r="A653" t="str">
        <f t="shared" si="31"/>
        <v/>
      </c>
      <c r="B653" s="12" t="str">
        <f>IF('Import OpenCPN'!AC654="","",'Import OpenCPN'!AC654)</f>
        <v/>
      </c>
      <c r="C653" s="12" t="str">
        <f t="shared" si="30"/>
        <v/>
      </c>
      <c r="D653" s="12" t="str">
        <f t="shared" si="32"/>
        <v/>
      </c>
    </row>
    <row r="654" spans="1:4" x14ac:dyDescent="0.2">
      <c r="A654" t="str">
        <f t="shared" si="31"/>
        <v/>
      </c>
      <c r="B654" s="12" t="str">
        <f>IF('Import OpenCPN'!AC655="","",'Import OpenCPN'!AC655)</f>
        <v/>
      </c>
      <c r="C654" s="12" t="str">
        <f t="shared" si="30"/>
        <v/>
      </c>
      <c r="D654" s="12" t="str">
        <f t="shared" si="32"/>
        <v/>
      </c>
    </row>
    <row r="655" spans="1:4" x14ac:dyDescent="0.2">
      <c r="A655" t="str">
        <f t="shared" si="31"/>
        <v/>
      </c>
      <c r="B655" s="12" t="str">
        <f>IF('Import OpenCPN'!AC656="","",'Import OpenCPN'!AC656)</f>
        <v/>
      </c>
      <c r="C655" s="12" t="str">
        <f t="shared" si="30"/>
        <v/>
      </c>
      <c r="D655" s="12" t="str">
        <f t="shared" si="32"/>
        <v/>
      </c>
    </row>
    <row r="656" spans="1:4" x14ac:dyDescent="0.2">
      <c r="A656" t="str">
        <f t="shared" si="31"/>
        <v/>
      </c>
      <c r="B656" s="12" t="str">
        <f>IF('Import OpenCPN'!AC657="","",'Import OpenCPN'!AC657)</f>
        <v/>
      </c>
      <c r="C656" s="12" t="str">
        <f t="shared" si="30"/>
        <v/>
      </c>
      <c r="D656" s="12" t="str">
        <f t="shared" si="32"/>
        <v/>
      </c>
    </row>
    <row r="657" spans="1:4" x14ac:dyDescent="0.2">
      <c r="A657" t="str">
        <f t="shared" si="31"/>
        <v/>
      </c>
      <c r="B657" s="12" t="str">
        <f>IF('Import OpenCPN'!AC658="","",'Import OpenCPN'!AC658)</f>
        <v/>
      </c>
      <c r="C657" s="12" t="str">
        <f t="shared" si="30"/>
        <v/>
      </c>
      <c r="D657" s="12" t="str">
        <f t="shared" si="32"/>
        <v/>
      </c>
    </row>
    <row r="658" spans="1:4" x14ac:dyDescent="0.2">
      <c r="A658" t="str">
        <f t="shared" si="31"/>
        <v/>
      </c>
      <c r="B658" s="12" t="str">
        <f>IF('Import OpenCPN'!AC659="","",'Import OpenCPN'!AC659)</f>
        <v/>
      </c>
      <c r="C658" s="12" t="str">
        <f t="shared" si="30"/>
        <v/>
      </c>
      <c r="D658" s="12" t="str">
        <f t="shared" si="32"/>
        <v/>
      </c>
    </row>
    <row r="659" spans="1:4" x14ac:dyDescent="0.2">
      <c r="A659" t="str">
        <f t="shared" si="31"/>
        <v/>
      </c>
      <c r="B659" s="12" t="str">
        <f>IF('Import OpenCPN'!AC660="","",'Import OpenCPN'!AC660)</f>
        <v/>
      </c>
      <c r="C659" s="12" t="str">
        <f t="shared" si="30"/>
        <v/>
      </c>
      <c r="D659" s="12" t="str">
        <f t="shared" si="32"/>
        <v/>
      </c>
    </row>
    <row r="660" spans="1:4" x14ac:dyDescent="0.2">
      <c r="A660" t="str">
        <f t="shared" si="31"/>
        <v/>
      </c>
      <c r="B660" s="12" t="str">
        <f>IF('Import OpenCPN'!AC661="","",'Import OpenCPN'!AC661)</f>
        <v/>
      </c>
      <c r="C660" s="12" t="str">
        <f t="shared" si="30"/>
        <v/>
      </c>
      <c r="D660" s="12" t="str">
        <f t="shared" si="32"/>
        <v/>
      </c>
    </row>
    <row r="661" spans="1:4" x14ac:dyDescent="0.2">
      <c r="A661" t="str">
        <f t="shared" si="31"/>
        <v/>
      </c>
      <c r="B661" s="12" t="str">
        <f>IF('Import OpenCPN'!AC662="","",'Import OpenCPN'!AC662)</f>
        <v/>
      </c>
      <c r="C661" s="12" t="str">
        <f t="shared" si="30"/>
        <v/>
      </c>
      <c r="D661" s="12" t="str">
        <f t="shared" si="32"/>
        <v/>
      </c>
    </row>
    <row r="662" spans="1:4" x14ac:dyDescent="0.2">
      <c r="A662" t="str">
        <f t="shared" si="31"/>
        <v/>
      </c>
      <c r="B662" s="12" t="str">
        <f>IF('Import OpenCPN'!AC663="","",'Import OpenCPN'!AC663)</f>
        <v/>
      </c>
      <c r="C662" s="12" t="str">
        <f t="shared" si="30"/>
        <v/>
      </c>
      <c r="D662" s="12" t="str">
        <f t="shared" si="32"/>
        <v/>
      </c>
    </row>
    <row r="663" spans="1:4" x14ac:dyDescent="0.2">
      <c r="A663" t="str">
        <f t="shared" si="31"/>
        <v/>
      </c>
      <c r="B663" s="12" t="str">
        <f>IF('Import OpenCPN'!AC664="","",'Import OpenCPN'!AC664)</f>
        <v/>
      </c>
      <c r="C663" s="12" t="str">
        <f t="shared" si="30"/>
        <v/>
      </c>
      <c r="D663" s="12" t="str">
        <f t="shared" si="32"/>
        <v/>
      </c>
    </row>
    <row r="664" spans="1:4" x14ac:dyDescent="0.2">
      <c r="A664" t="str">
        <f t="shared" si="31"/>
        <v/>
      </c>
      <c r="B664" s="12" t="str">
        <f>IF('Import OpenCPN'!AC665="","",'Import OpenCPN'!AC665)</f>
        <v/>
      </c>
      <c r="C664" s="12" t="str">
        <f t="shared" si="30"/>
        <v/>
      </c>
      <c r="D664" s="12" t="str">
        <f t="shared" si="32"/>
        <v/>
      </c>
    </row>
    <row r="665" spans="1:4" x14ac:dyDescent="0.2">
      <c r="A665" t="str">
        <f t="shared" si="31"/>
        <v/>
      </c>
      <c r="B665" s="12" t="str">
        <f>IF('Import OpenCPN'!AC666="","",'Import OpenCPN'!AC666)</f>
        <v/>
      </c>
      <c r="C665" s="12" t="str">
        <f t="shared" si="30"/>
        <v/>
      </c>
      <c r="D665" s="12" t="str">
        <f t="shared" si="32"/>
        <v/>
      </c>
    </row>
    <row r="666" spans="1:4" x14ac:dyDescent="0.2">
      <c r="A666" t="str">
        <f t="shared" si="31"/>
        <v/>
      </c>
      <c r="B666" s="12" t="str">
        <f>IF('Import OpenCPN'!AC667="","",'Import OpenCPN'!AC667)</f>
        <v/>
      </c>
      <c r="C666" s="12" t="str">
        <f t="shared" si="30"/>
        <v/>
      </c>
      <c r="D666" s="12" t="str">
        <f t="shared" si="32"/>
        <v/>
      </c>
    </row>
    <row r="667" spans="1:4" x14ac:dyDescent="0.2">
      <c r="A667" t="str">
        <f t="shared" si="31"/>
        <v/>
      </c>
      <c r="B667" s="12" t="str">
        <f>IF('Import OpenCPN'!AC668="","",'Import OpenCPN'!AC668)</f>
        <v/>
      </c>
      <c r="C667" s="12" t="str">
        <f t="shared" si="30"/>
        <v/>
      </c>
      <c r="D667" s="12" t="str">
        <f t="shared" si="32"/>
        <v/>
      </c>
    </row>
    <row r="668" spans="1:4" x14ac:dyDescent="0.2">
      <c r="A668" t="str">
        <f t="shared" si="31"/>
        <v/>
      </c>
      <c r="B668" s="12" t="str">
        <f>IF('Import OpenCPN'!AC669="","",'Import OpenCPN'!AC669)</f>
        <v/>
      </c>
      <c r="C668" s="12" t="str">
        <f t="shared" si="30"/>
        <v/>
      </c>
      <c r="D668" s="12" t="str">
        <f t="shared" si="32"/>
        <v/>
      </c>
    </row>
    <row r="669" spans="1:4" x14ac:dyDescent="0.2">
      <c r="A669" t="str">
        <f t="shared" si="31"/>
        <v/>
      </c>
      <c r="B669" s="12" t="str">
        <f>IF('Import OpenCPN'!AC670="","",'Import OpenCPN'!AC670)</f>
        <v/>
      </c>
      <c r="C669" s="12" t="str">
        <f t="shared" si="30"/>
        <v/>
      </c>
      <c r="D669" s="12" t="str">
        <f t="shared" si="32"/>
        <v/>
      </c>
    </row>
    <row r="670" spans="1:4" x14ac:dyDescent="0.2">
      <c r="A670" t="str">
        <f t="shared" si="31"/>
        <v/>
      </c>
      <c r="B670" s="12" t="str">
        <f>IF('Import OpenCPN'!AC671="","",'Import OpenCPN'!AC671)</f>
        <v/>
      </c>
      <c r="C670" s="12" t="str">
        <f t="shared" si="30"/>
        <v/>
      </c>
      <c r="D670" s="12" t="str">
        <f t="shared" si="32"/>
        <v/>
      </c>
    </row>
    <row r="671" spans="1:4" x14ac:dyDescent="0.2">
      <c r="A671" t="str">
        <f t="shared" si="31"/>
        <v/>
      </c>
      <c r="B671" s="12" t="str">
        <f>IF('Import OpenCPN'!AC672="","",'Import OpenCPN'!AC672)</f>
        <v/>
      </c>
      <c r="C671" s="12" t="str">
        <f t="shared" si="30"/>
        <v/>
      </c>
      <c r="D671" s="12" t="str">
        <f t="shared" si="32"/>
        <v/>
      </c>
    </row>
    <row r="672" spans="1:4" x14ac:dyDescent="0.2">
      <c r="A672" t="str">
        <f t="shared" si="31"/>
        <v/>
      </c>
      <c r="B672" s="12" t="str">
        <f>IF('Import OpenCPN'!AC673="","",'Import OpenCPN'!AC673)</f>
        <v/>
      </c>
      <c r="C672" s="12" t="str">
        <f t="shared" si="30"/>
        <v/>
      </c>
      <c r="D672" s="12" t="str">
        <f t="shared" si="32"/>
        <v/>
      </c>
    </row>
    <row r="673" spans="1:4" x14ac:dyDescent="0.2">
      <c r="A673" t="str">
        <f t="shared" si="31"/>
        <v/>
      </c>
      <c r="B673" s="12" t="str">
        <f>IF('Import OpenCPN'!AC674="","",'Import OpenCPN'!AC674)</f>
        <v/>
      </c>
      <c r="C673" s="12" t="str">
        <f t="shared" si="30"/>
        <v/>
      </c>
      <c r="D673" s="12" t="str">
        <f t="shared" si="32"/>
        <v/>
      </c>
    </row>
    <row r="674" spans="1:4" x14ac:dyDescent="0.2">
      <c r="A674" t="str">
        <f t="shared" si="31"/>
        <v/>
      </c>
      <c r="B674" s="12" t="str">
        <f>IF('Import OpenCPN'!AC675="","",'Import OpenCPN'!AC675)</f>
        <v/>
      </c>
      <c r="C674" s="12" t="str">
        <f t="shared" si="30"/>
        <v/>
      </c>
      <c r="D674" s="12" t="str">
        <f t="shared" si="32"/>
        <v/>
      </c>
    </row>
    <row r="675" spans="1:4" x14ac:dyDescent="0.2">
      <c r="A675" t="str">
        <f t="shared" si="31"/>
        <v/>
      </c>
      <c r="B675" s="12" t="str">
        <f>IF('Import OpenCPN'!AC676="","",'Import OpenCPN'!AC676)</f>
        <v/>
      </c>
      <c r="C675" s="12" t="str">
        <f t="shared" si="30"/>
        <v/>
      </c>
      <c r="D675" s="12" t="str">
        <f t="shared" si="32"/>
        <v/>
      </c>
    </row>
    <row r="676" spans="1:4" x14ac:dyDescent="0.2">
      <c r="A676" t="str">
        <f t="shared" si="31"/>
        <v/>
      </c>
      <c r="B676" s="12" t="str">
        <f>IF('Import OpenCPN'!AC677="","",'Import OpenCPN'!AC677)</f>
        <v/>
      </c>
      <c r="C676" s="12" t="str">
        <f t="shared" si="30"/>
        <v/>
      </c>
      <c r="D676" s="12" t="str">
        <f t="shared" si="32"/>
        <v/>
      </c>
    </row>
    <row r="677" spans="1:4" x14ac:dyDescent="0.2">
      <c r="A677" t="str">
        <f t="shared" si="31"/>
        <v/>
      </c>
      <c r="B677" s="12" t="str">
        <f>IF('Import OpenCPN'!AC678="","",'Import OpenCPN'!AC678)</f>
        <v/>
      </c>
      <c r="C677" s="12" t="str">
        <f t="shared" si="30"/>
        <v/>
      </c>
      <c r="D677" s="12" t="str">
        <f t="shared" si="32"/>
        <v/>
      </c>
    </row>
    <row r="678" spans="1:4" x14ac:dyDescent="0.2">
      <c r="A678" t="str">
        <f t="shared" si="31"/>
        <v/>
      </c>
      <c r="B678" s="12" t="str">
        <f>IF('Import OpenCPN'!AC679="","",'Import OpenCPN'!AC679)</f>
        <v/>
      </c>
      <c r="C678" s="12" t="str">
        <f t="shared" si="30"/>
        <v/>
      </c>
      <c r="D678" s="12" t="str">
        <f t="shared" si="32"/>
        <v/>
      </c>
    </row>
    <row r="679" spans="1:4" x14ac:dyDescent="0.2">
      <c r="A679" t="str">
        <f t="shared" si="31"/>
        <v/>
      </c>
      <c r="B679" s="12" t="str">
        <f>IF('Import OpenCPN'!AC680="","",'Import OpenCPN'!AC680)</f>
        <v/>
      </c>
      <c r="C679" s="12" t="str">
        <f t="shared" si="30"/>
        <v/>
      </c>
      <c r="D679" s="12" t="str">
        <f t="shared" si="32"/>
        <v/>
      </c>
    </row>
    <row r="680" spans="1:4" x14ac:dyDescent="0.2">
      <c r="A680" t="str">
        <f t="shared" si="31"/>
        <v/>
      </c>
      <c r="B680" s="12" t="str">
        <f>IF('Import OpenCPN'!AC681="","",'Import OpenCPN'!AC681)</f>
        <v/>
      </c>
      <c r="C680" s="12" t="str">
        <f t="shared" si="30"/>
        <v/>
      </c>
      <c r="D680" s="12" t="str">
        <f t="shared" si="32"/>
        <v/>
      </c>
    </row>
    <row r="681" spans="1:4" x14ac:dyDescent="0.2">
      <c r="A681" t="str">
        <f t="shared" si="31"/>
        <v/>
      </c>
      <c r="B681" s="12" t="str">
        <f>IF('Import OpenCPN'!AC682="","",'Import OpenCPN'!AC682)</f>
        <v/>
      </c>
      <c r="C681" s="12" t="str">
        <f t="shared" si="30"/>
        <v/>
      </c>
      <c r="D681" s="12" t="str">
        <f t="shared" si="32"/>
        <v/>
      </c>
    </row>
    <row r="682" spans="1:4" x14ac:dyDescent="0.2">
      <c r="A682" t="str">
        <f t="shared" si="31"/>
        <v/>
      </c>
      <c r="B682" s="12" t="str">
        <f>IF('Import OpenCPN'!AC683="","",'Import OpenCPN'!AC683)</f>
        <v/>
      </c>
      <c r="C682" s="12" t="str">
        <f t="shared" si="30"/>
        <v/>
      </c>
      <c r="D682" s="12" t="str">
        <f t="shared" si="32"/>
        <v/>
      </c>
    </row>
    <row r="683" spans="1:4" x14ac:dyDescent="0.2">
      <c r="A683" t="str">
        <f t="shared" si="31"/>
        <v/>
      </c>
      <c r="B683" s="12" t="str">
        <f>IF('Import OpenCPN'!AC684="","",'Import OpenCPN'!AC684)</f>
        <v/>
      </c>
      <c r="C683" s="12" t="str">
        <f t="shared" si="30"/>
        <v/>
      </c>
      <c r="D683" s="12" t="str">
        <f t="shared" si="32"/>
        <v/>
      </c>
    </row>
    <row r="684" spans="1:4" x14ac:dyDescent="0.2">
      <c r="A684" t="str">
        <f t="shared" si="31"/>
        <v/>
      </c>
      <c r="B684" s="12" t="str">
        <f>IF('Import OpenCPN'!AC685="","",'Import OpenCPN'!AC685)</f>
        <v/>
      </c>
      <c r="C684" s="12" t="str">
        <f t="shared" si="30"/>
        <v/>
      </c>
      <c r="D684" s="12" t="str">
        <f t="shared" si="32"/>
        <v/>
      </c>
    </row>
    <row r="685" spans="1:4" x14ac:dyDescent="0.2">
      <c r="A685" t="str">
        <f t="shared" si="31"/>
        <v/>
      </c>
      <c r="B685" s="12" t="str">
        <f>IF('Import OpenCPN'!AC686="","",'Import OpenCPN'!AC686)</f>
        <v/>
      </c>
      <c r="C685" s="12" t="str">
        <f t="shared" si="30"/>
        <v/>
      </c>
      <c r="D685" s="12" t="str">
        <f t="shared" si="32"/>
        <v/>
      </c>
    </row>
    <row r="686" spans="1:4" x14ac:dyDescent="0.2">
      <c r="A686" t="str">
        <f t="shared" si="31"/>
        <v/>
      </c>
      <c r="B686" s="12" t="str">
        <f>IF('Import OpenCPN'!AC687="","",'Import OpenCPN'!AC687)</f>
        <v/>
      </c>
      <c r="C686" s="12" t="str">
        <f t="shared" si="30"/>
        <v/>
      </c>
      <c r="D686" s="12" t="str">
        <f t="shared" si="32"/>
        <v/>
      </c>
    </row>
    <row r="687" spans="1:4" x14ac:dyDescent="0.2">
      <c r="A687" t="str">
        <f t="shared" si="31"/>
        <v/>
      </c>
      <c r="B687" s="12" t="str">
        <f>IF('Import OpenCPN'!AC688="","",'Import OpenCPN'!AC688)</f>
        <v/>
      </c>
      <c r="C687" s="12" t="str">
        <f t="shared" si="30"/>
        <v/>
      </c>
      <c r="D687" s="12" t="str">
        <f t="shared" si="32"/>
        <v/>
      </c>
    </row>
    <row r="688" spans="1:4" x14ac:dyDescent="0.2">
      <c r="A688" t="str">
        <f t="shared" si="31"/>
        <v/>
      </c>
      <c r="B688" s="12" t="str">
        <f>IF('Import OpenCPN'!AC689="","",'Import OpenCPN'!AC689)</f>
        <v/>
      </c>
      <c r="C688" s="12" t="str">
        <f t="shared" si="30"/>
        <v/>
      </c>
      <c r="D688" s="12" t="str">
        <f t="shared" si="32"/>
        <v/>
      </c>
    </row>
    <row r="689" spans="1:4" x14ac:dyDescent="0.2">
      <c r="A689" t="str">
        <f t="shared" si="31"/>
        <v/>
      </c>
      <c r="B689" s="12" t="str">
        <f>IF('Import OpenCPN'!AC690="","",'Import OpenCPN'!AC690)</f>
        <v/>
      </c>
      <c r="C689" s="12" t="str">
        <f t="shared" si="30"/>
        <v/>
      </c>
      <c r="D689" s="12" t="str">
        <f t="shared" si="32"/>
        <v/>
      </c>
    </row>
    <row r="690" spans="1:4" x14ac:dyDescent="0.2">
      <c r="A690" t="str">
        <f t="shared" si="31"/>
        <v/>
      </c>
      <c r="B690" s="12" t="str">
        <f>IF('Import OpenCPN'!AC691="","",'Import OpenCPN'!AC691)</f>
        <v/>
      </c>
      <c r="C690" s="12" t="str">
        <f t="shared" si="30"/>
        <v/>
      </c>
      <c r="D690" s="12" t="str">
        <f t="shared" si="32"/>
        <v/>
      </c>
    </row>
    <row r="691" spans="1:4" x14ac:dyDescent="0.2">
      <c r="A691" t="str">
        <f t="shared" si="31"/>
        <v/>
      </c>
      <c r="B691" s="12" t="str">
        <f>IF('Import OpenCPN'!AC692="","",'Import OpenCPN'!AC692)</f>
        <v/>
      </c>
      <c r="C691" s="12" t="str">
        <f t="shared" si="30"/>
        <v/>
      </c>
      <c r="D691" s="12" t="str">
        <f t="shared" si="32"/>
        <v/>
      </c>
    </row>
    <row r="692" spans="1:4" x14ac:dyDescent="0.2">
      <c r="A692" t="str">
        <f t="shared" si="31"/>
        <v/>
      </c>
      <c r="B692" s="12" t="str">
        <f>IF('Import OpenCPN'!AC693="","",'Import OpenCPN'!AC693)</f>
        <v/>
      </c>
      <c r="C692" s="12" t="str">
        <f t="shared" si="30"/>
        <v/>
      </c>
      <c r="D692" s="12" t="str">
        <f t="shared" si="32"/>
        <v/>
      </c>
    </row>
    <row r="693" spans="1:4" x14ac:dyDescent="0.2">
      <c r="A693" t="str">
        <f t="shared" si="31"/>
        <v/>
      </c>
      <c r="B693" s="12" t="str">
        <f>IF('Import OpenCPN'!AC694="","",'Import OpenCPN'!AC694)</f>
        <v/>
      </c>
      <c r="C693" s="12" t="str">
        <f t="shared" si="30"/>
        <v/>
      </c>
      <c r="D693" s="12" t="str">
        <f t="shared" si="32"/>
        <v/>
      </c>
    </row>
    <row r="694" spans="1:4" x14ac:dyDescent="0.2">
      <c r="A694" t="str">
        <f t="shared" si="31"/>
        <v/>
      </c>
      <c r="B694" s="12" t="str">
        <f>IF('Import OpenCPN'!AC695="","",'Import OpenCPN'!AC695)</f>
        <v/>
      </c>
      <c r="C694" s="12" t="str">
        <f t="shared" si="30"/>
        <v/>
      </c>
      <c r="D694" s="12" t="str">
        <f t="shared" si="32"/>
        <v/>
      </c>
    </row>
    <row r="695" spans="1:4" x14ac:dyDescent="0.2">
      <c r="A695" t="str">
        <f t="shared" si="31"/>
        <v/>
      </c>
      <c r="B695" s="12" t="str">
        <f>IF('Import OpenCPN'!AC696="","",'Import OpenCPN'!AC696)</f>
        <v/>
      </c>
      <c r="C695" s="12" t="str">
        <f t="shared" si="30"/>
        <v/>
      </c>
      <c r="D695" s="12" t="str">
        <f t="shared" si="32"/>
        <v/>
      </c>
    </row>
    <row r="696" spans="1:4" x14ac:dyDescent="0.2">
      <c r="A696" t="str">
        <f t="shared" si="31"/>
        <v/>
      </c>
      <c r="B696" s="12" t="str">
        <f>IF('Import OpenCPN'!AC697="","",'Import OpenCPN'!AC697)</f>
        <v/>
      </c>
      <c r="C696" s="12" t="str">
        <f t="shared" si="30"/>
        <v/>
      </c>
      <c r="D696" s="12" t="str">
        <f t="shared" si="32"/>
        <v/>
      </c>
    </row>
    <row r="697" spans="1:4" x14ac:dyDescent="0.2">
      <c r="A697" t="str">
        <f t="shared" si="31"/>
        <v/>
      </c>
      <c r="B697" s="12" t="str">
        <f>IF('Import OpenCPN'!AC698="","",'Import OpenCPN'!AC698)</f>
        <v/>
      </c>
      <c r="C697" s="12" t="str">
        <f t="shared" si="30"/>
        <v/>
      </c>
      <c r="D697" s="12" t="str">
        <f t="shared" si="32"/>
        <v/>
      </c>
    </row>
    <row r="698" spans="1:4" x14ac:dyDescent="0.2">
      <c r="A698" t="str">
        <f t="shared" si="31"/>
        <v/>
      </c>
      <c r="B698" s="12" t="str">
        <f>IF('Import OpenCPN'!AC699="","",'Import OpenCPN'!AC699)</f>
        <v/>
      </c>
      <c r="C698" s="12" t="str">
        <f t="shared" si="30"/>
        <v/>
      </c>
      <c r="D698" s="12" t="str">
        <f t="shared" si="32"/>
        <v/>
      </c>
    </row>
    <row r="699" spans="1:4" x14ac:dyDescent="0.2">
      <c r="A699" t="str">
        <f t="shared" si="31"/>
        <v/>
      </c>
      <c r="B699" s="12" t="str">
        <f>IF('Import OpenCPN'!AC700="","",'Import OpenCPN'!AC700)</f>
        <v/>
      </c>
      <c r="C699" s="12" t="str">
        <f t="shared" si="30"/>
        <v/>
      </c>
      <c r="D699" s="12" t="str">
        <f t="shared" si="32"/>
        <v/>
      </c>
    </row>
    <row r="700" spans="1:4" x14ac:dyDescent="0.2">
      <c r="A700" t="str">
        <f t="shared" si="31"/>
        <v/>
      </c>
      <c r="B700" s="12" t="str">
        <f>IF('Import OpenCPN'!AC701="","",'Import OpenCPN'!AC701)</f>
        <v/>
      </c>
      <c r="C700" s="12" t="str">
        <f t="shared" si="30"/>
        <v/>
      </c>
      <c r="D700" s="12" t="str">
        <f t="shared" si="32"/>
        <v/>
      </c>
    </row>
    <row r="701" spans="1:4" x14ac:dyDescent="0.2">
      <c r="A701" t="str">
        <f t="shared" si="31"/>
        <v/>
      </c>
      <c r="B701" s="12" t="str">
        <f>IF('Import OpenCPN'!AC702="","",'Import OpenCPN'!AC702)</f>
        <v/>
      </c>
      <c r="C701" s="12" t="str">
        <f t="shared" si="30"/>
        <v/>
      </c>
      <c r="D701" s="12" t="str">
        <f t="shared" si="32"/>
        <v/>
      </c>
    </row>
    <row r="702" spans="1:4" x14ac:dyDescent="0.2">
      <c r="A702" t="str">
        <f t="shared" si="31"/>
        <v/>
      </c>
      <c r="B702" s="12" t="str">
        <f>IF('Import OpenCPN'!AC703="","",'Import OpenCPN'!AC703)</f>
        <v/>
      </c>
      <c r="C702" s="12" t="str">
        <f t="shared" si="30"/>
        <v/>
      </c>
      <c r="D702" s="12" t="str">
        <f t="shared" si="32"/>
        <v/>
      </c>
    </row>
    <row r="703" spans="1:4" x14ac:dyDescent="0.2">
      <c r="A703" t="str">
        <f t="shared" si="31"/>
        <v/>
      </c>
      <c r="B703" s="12" t="str">
        <f>IF('Import OpenCPN'!AC704="","",'Import OpenCPN'!AC704)</f>
        <v/>
      </c>
      <c r="C703" s="12" t="str">
        <f t="shared" si="30"/>
        <v/>
      </c>
      <c r="D703" s="12" t="str">
        <f t="shared" si="32"/>
        <v/>
      </c>
    </row>
    <row r="704" spans="1:4" x14ac:dyDescent="0.2">
      <c r="A704" t="str">
        <f t="shared" si="31"/>
        <v/>
      </c>
      <c r="B704" s="12" t="str">
        <f>IF('Import OpenCPN'!AC705="","",'Import OpenCPN'!AC705)</f>
        <v/>
      </c>
      <c r="C704" s="12" t="str">
        <f t="shared" si="30"/>
        <v/>
      </c>
      <c r="D704" s="12" t="str">
        <f t="shared" si="32"/>
        <v/>
      </c>
    </row>
    <row r="705" spans="1:4" x14ac:dyDescent="0.2">
      <c r="A705" t="str">
        <f t="shared" si="31"/>
        <v/>
      </c>
      <c r="B705" s="12" t="str">
        <f>IF('Import OpenCPN'!AC706="","",'Import OpenCPN'!AC706)</f>
        <v/>
      </c>
      <c r="C705" s="12" t="str">
        <f t="shared" si="30"/>
        <v/>
      </c>
      <c r="D705" s="12" t="str">
        <f t="shared" si="32"/>
        <v/>
      </c>
    </row>
    <row r="706" spans="1:4" x14ac:dyDescent="0.2">
      <c r="A706" t="str">
        <f t="shared" si="31"/>
        <v/>
      </c>
      <c r="B706" s="12" t="str">
        <f>IF('Import OpenCPN'!AC707="","",'Import OpenCPN'!AC707)</f>
        <v/>
      </c>
      <c r="C706" s="12" t="str">
        <f t="shared" ref="C706:C769" si="33">IF(B706="","","q")</f>
        <v/>
      </c>
      <c r="D706" s="12" t="str">
        <f t="shared" si="32"/>
        <v/>
      </c>
    </row>
    <row r="707" spans="1:4" x14ac:dyDescent="0.2">
      <c r="A707" t="str">
        <f t="shared" ref="A707:A770" si="34">IF(B707="","",A706+1)</f>
        <v/>
      </c>
      <c r="B707" s="12" t="str">
        <f>IF('Import OpenCPN'!AC708="","",'Import OpenCPN'!AC708)</f>
        <v/>
      </c>
      <c r="C707" s="12" t="str">
        <f t="shared" si="33"/>
        <v/>
      </c>
      <c r="D707" s="12" t="str">
        <f t="shared" ref="D707:D770" si="35">IF(B707="","",1)</f>
        <v/>
      </c>
    </row>
    <row r="708" spans="1:4" x14ac:dyDescent="0.2">
      <c r="A708" t="str">
        <f t="shared" si="34"/>
        <v/>
      </c>
      <c r="B708" s="12" t="str">
        <f>IF('Import OpenCPN'!AC709="","",'Import OpenCPN'!AC709)</f>
        <v/>
      </c>
      <c r="C708" s="12" t="str">
        <f t="shared" si="33"/>
        <v/>
      </c>
      <c r="D708" s="12" t="str">
        <f t="shared" si="35"/>
        <v/>
      </c>
    </row>
    <row r="709" spans="1:4" x14ac:dyDescent="0.2">
      <c r="A709" t="str">
        <f t="shared" si="34"/>
        <v/>
      </c>
      <c r="B709" s="12" t="str">
        <f>IF('Import OpenCPN'!AC710="","",'Import OpenCPN'!AC710)</f>
        <v/>
      </c>
      <c r="C709" s="12" t="str">
        <f t="shared" si="33"/>
        <v/>
      </c>
      <c r="D709" s="12" t="str">
        <f t="shared" si="35"/>
        <v/>
      </c>
    </row>
    <row r="710" spans="1:4" x14ac:dyDescent="0.2">
      <c r="A710" t="str">
        <f t="shared" si="34"/>
        <v/>
      </c>
      <c r="B710" s="12" t="str">
        <f>IF('Import OpenCPN'!AC711="","",'Import OpenCPN'!AC711)</f>
        <v/>
      </c>
      <c r="C710" s="12" t="str">
        <f t="shared" si="33"/>
        <v/>
      </c>
      <c r="D710" s="12" t="str">
        <f t="shared" si="35"/>
        <v/>
      </c>
    </row>
    <row r="711" spans="1:4" x14ac:dyDescent="0.2">
      <c r="A711" t="str">
        <f t="shared" si="34"/>
        <v/>
      </c>
      <c r="B711" s="12" t="str">
        <f>IF('Import OpenCPN'!AC712="","",'Import OpenCPN'!AC712)</f>
        <v/>
      </c>
      <c r="C711" s="12" t="str">
        <f t="shared" si="33"/>
        <v/>
      </c>
      <c r="D711" s="12" t="str">
        <f t="shared" si="35"/>
        <v/>
      </c>
    </row>
    <row r="712" spans="1:4" x14ac:dyDescent="0.2">
      <c r="A712" t="str">
        <f t="shared" si="34"/>
        <v/>
      </c>
      <c r="B712" s="12" t="str">
        <f>IF('Import OpenCPN'!AC713="","",'Import OpenCPN'!AC713)</f>
        <v/>
      </c>
      <c r="C712" s="12" t="str">
        <f t="shared" si="33"/>
        <v/>
      </c>
      <c r="D712" s="12" t="str">
        <f t="shared" si="35"/>
        <v/>
      </c>
    </row>
    <row r="713" spans="1:4" x14ac:dyDescent="0.2">
      <c r="A713" t="str">
        <f t="shared" si="34"/>
        <v/>
      </c>
      <c r="B713" s="12" t="str">
        <f>IF('Import OpenCPN'!AC714="","",'Import OpenCPN'!AC714)</f>
        <v/>
      </c>
      <c r="C713" s="12" t="str">
        <f t="shared" si="33"/>
        <v/>
      </c>
      <c r="D713" s="12" t="str">
        <f t="shared" si="35"/>
        <v/>
      </c>
    </row>
    <row r="714" spans="1:4" x14ac:dyDescent="0.2">
      <c r="A714" t="str">
        <f t="shared" si="34"/>
        <v/>
      </c>
      <c r="B714" s="12" t="str">
        <f>IF('Import OpenCPN'!AC715="","",'Import OpenCPN'!AC715)</f>
        <v/>
      </c>
      <c r="C714" s="12" t="str">
        <f t="shared" si="33"/>
        <v/>
      </c>
      <c r="D714" s="12" t="str">
        <f t="shared" si="35"/>
        <v/>
      </c>
    </row>
    <row r="715" spans="1:4" x14ac:dyDescent="0.2">
      <c r="A715" t="str">
        <f t="shared" si="34"/>
        <v/>
      </c>
      <c r="B715" s="12" t="str">
        <f>IF('Import OpenCPN'!AC716="","",'Import OpenCPN'!AC716)</f>
        <v/>
      </c>
      <c r="C715" s="12" t="str">
        <f t="shared" si="33"/>
        <v/>
      </c>
      <c r="D715" s="12" t="str">
        <f t="shared" si="35"/>
        <v/>
      </c>
    </row>
    <row r="716" spans="1:4" x14ac:dyDescent="0.2">
      <c r="A716" t="str">
        <f t="shared" si="34"/>
        <v/>
      </c>
      <c r="B716" s="12" t="str">
        <f>IF('Import OpenCPN'!AC717="","",'Import OpenCPN'!AC717)</f>
        <v/>
      </c>
      <c r="C716" s="12" t="str">
        <f t="shared" si="33"/>
        <v/>
      </c>
      <c r="D716" s="12" t="str">
        <f t="shared" si="35"/>
        <v/>
      </c>
    </row>
    <row r="717" spans="1:4" x14ac:dyDescent="0.2">
      <c r="A717" t="str">
        <f t="shared" si="34"/>
        <v/>
      </c>
      <c r="B717" s="12" t="str">
        <f>IF('Import OpenCPN'!AC718="","",'Import OpenCPN'!AC718)</f>
        <v/>
      </c>
      <c r="C717" s="12" t="str">
        <f t="shared" si="33"/>
        <v/>
      </c>
      <c r="D717" s="12" t="str">
        <f t="shared" si="35"/>
        <v/>
      </c>
    </row>
    <row r="718" spans="1:4" x14ac:dyDescent="0.2">
      <c r="A718" t="str">
        <f t="shared" si="34"/>
        <v/>
      </c>
      <c r="B718" s="12" t="str">
        <f>IF('Import OpenCPN'!AC719="","",'Import OpenCPN'!AC719)</f>
        <v/>
      </c>
      <c r="C718" s="12" t="str">
        <f t="shared" si="33"/>
        <v/>
      </c>
      <c r="D718" s="12" t="str">
        <f t="shared" si="35"/>
        <v/>
      </c>
    </row>
    <row r="719" spans="1:4" x14ac:dyDescent="0.2">
      <c r="A719" t="str">
        <f t="shared" si="34"/>
        <v/>
      </c>
      <c r="B719" s="12" t="str">
        <f>IF('Import OpenCPN'!AC720="","",'Import OpenCPN'!AC720)</f>
        <v/>
      </c>
      <c r="C719" s="12" t="str">
        <f t="shared" si="33"/>
        <v/>
      </c>
      <c r="D719" s="12" t="str">
        <f t="shared" si="35"/>
        <v/>
      </c>
    </row>
    <row r="720" spans="1:4" x14ac:dyDescent="0.2">
      <c r="A720" t="str">
        <f t="shared" si="34"/>
        <v/>
      </c>
      <c r="B720" s="12" t="str">
        <f>IF('Import OpenCPN'!AC721="","",'Import OpenCPN'!AC721)</f>
        <v/>
      </c>
      <c r="C720" s="12" t="str">
        <f t="shared" si="33"/>
        <v/>
      </c>
      <c r="D720" s="12" t="str">
        <f t="shared" si="35"/>
        <v/>
      </c>
    </row>
    <row r="721" spans="1:4" x14ac:dyDescent="0.2">
      <c r="A721" t="str">
        <f t="shared" si="34"/>
        <v/>
      </c>
      <c r="B721" s="12" t="str">
        <f>IF('Import OpenCPN'!AC722="","",'Import OpenCPN'!AC722)</f>
        <v/>
      </c>
      <c r="C721" s="12" t="str">
        <f t="shared" si="33"/>
        <v/>
      </c>
      <c r="D721" s="12" t="str">
        <f t="shared" si="35"/>
        <v/>
      </c>
    </row>
    <row r="722" spans="1:4" x14ac:dyDescent="0.2">
      <c r="A722" t="str">
        <f t="shared" si="34"/>
        <v/>
      </c>
      <c r="B722" s="12" t="str">
        <f>IF('Import OpenCPN'!AC723="","",'Import OpenCPN'!AC723)</f>
        <v/>
      </c>
      <c r="C722" s="12" t="str">
        <f t="shared" si="33"/>
        <v/>
      </c>
      <c r="D722" s="12" t="str">
        <f t="shared" si="35"/>
        <v/>
      </c>
    </row>
    <row r="723" spans="1:4" x14ac:dyDescent="0.2">
      <c r="A723" t="str">
        <f t="shared" si="34"/>
        <v/>
      </c>
      <c r="B723" s="12" t="str">
        <f>IF('Import OpenCPN'!AC724="","",'Import OpenCPN'!AC724)</f>
        <v/>
      </c>
      <c r="C723" s="12" t="str">
        <f t="shared" si="33"/>
        <v/>
      </c>
      <c r="D723" s="12" t="str">
        <f t="shared" si="35"/>
        <v/>
      </c>
    </row>
    <row r="724" spans="1:4" x14ac:dyDescent="0.2">
      <c r="A724" t="str">
        <f t="shared" si="34"/>
        <v/>
      </c>
      <c r="B724" s="12" t="str">
        <f>IF('Import OpenCPN'!AC725="","",'Import OpenCPN'!AC725)</f>
        <v/>
      </c>
      <c r="C724" s="12" t="str">
        <f t="shared" si="33"/>
        <v/>
      </c>
      <c r="D724" s="12" t="str">
        <f t="shared" si="35"/>
        <v/>
      </c>
    </row>
    <row r="725" spans="1:4" x14ac:dyDescent="0.2">
      <c r="A725" t="str">
        <f t="shared" si="34"/>
        <v/>
      </c>
      <c r="B725" s="12" t="str">
        <f>IF('Import OpenCPN'!AC726="","",'Import OpenCPN'!AC726)</f>
        <v/>
      </c>
      <c r="C725" s="12" t="str">
        <f t="shared" si="33"/>
        <v/>
      </c>
      <c r="D725" s="12" t="str">
        <f t="shared" si="35"/>
        <v/>
      </c>
    </row>
    <row r="726" spans="1:4" x14ac:dyDescent="0.2">
      <c r="A726" t="str">
        <f t="shared" si="34"/>
        <v/>
      </c>
      <c r="B726" s="12" t="str">
        <f>IF('Import OpenCPN'!AC727="","",'Import OpenCPN'!AC727)</f>
        <v/>
      </c>
      <c r="C726" s="12" t="str">
        <f t="shared" si="33"/>
        <v/>
      </c>
      <c r="D726" s="12" t="str">
        <f t="shared" si="35"/>
        <v/>
      </c>
    </row>
    <row r="727" spans="1:4" x14ac:dyDescent="0.2">
      <c r="A727" t="str">
        <f t="shared" si="34"/>
        <v/>
      </c>
      <c r="B727" s="12" t="str">
        <f>IF('Import OpenCPN'!AC728="","",'Import OpenCPN'!AC728)</f>
        <v/>
      </c>
      <c r="C727" s="12" t="str">
        <f t="shared" si="33"/>
        <v/>
      </c>
      <c r="D727" s="12" t="str">
        <f t="shared" si="35"/>
        <v/>
      </c>
    </row>
    <row r="728" spans="1:4" x14ac:dyDescent="0.2">
      <c r="A728" t="str">
        <f t="shared" si="34"/>
        <v/>
      </c>
      <c r="B728" s="12" t="str">
        <f>IF('Import OpenCPN'!AC729="","",'Import OpenCPN'!AC729)</f>
        <v/>
      </c>
      <c r="C728" s="12" t="str">
        <f t="shared" si="33"/>
        <v/>
      </c>
      <c r="D728" s="12" t="str">
        <f t="shared" si="35"/>
        <v/>
      </c>
    </row>
    <row r="729" spans="1:4" x14ac:dyDescent="0.2">
      <c r="A729" t="str">
        <f t="shared" si="34"/>
        <v/>
      </c>
      <c r="B729" s="12" t="str">
        <f>IF('Import OpenCPN'!AC730="","",'Import OpenCPN'!AC730)</f>
        <v/>
      </c>
      <c r="C729" s="12" t="str">
        <f t="shared" si="33"/>
        <v/>
      </c>
      <c r="D729" s="12" t="str">
        <f t="shared" si="35"/>
        <v/>
      </c>
    </row>
    <row r="730" spans="1:4" x14ac:dyDescent="0.2">
      <c r="A730" t="str">
        <f t="shared" si="34"/>
        <v/>
      </c>
      <c r="B730" s="12" t="str">
        <f>IF('Import OpenCPN'!AC731="","",'Import OpenCPN'!AC731)</f>
        <v/>
      </c>
      <c r="C730" s="12" t="str">
        <f t="shared" si="33"/>
        <v/>
      </c>
      <c r="D730" s="12" t="str">
        <f t="shared" si="35"/>
        <v/>
      </c>
    </row>
    <row r="731" spans="1:4" x14ac:dyDescent="0.2">
      <c r="A731" t="str">
        <f t="shared" si="34"/>
        <v/>
      </c>
      <c r="B731" s="12" t="str">
        <f>IF('Import OpenCPN'!AC732="","",'Import OpenCPN'!AC732)</f>
        <v/>
      </c>
      <c r="C731" s="12" t="str">
        <f t="shared" si="33"/>
        <v/>
      </c>
      <c r="D731" s="12" t="str">
        <f t="shared" si="35"/>
        <v/>
      </c>
    </row>
    <row r="732" spans="1:4" x14ac:dyDescent="0.2">
      <c r="A732" t="str">
        <f t="shared" si="34"/>
        <v/>
      </c>
      <c r="B732" s="12" t="str">
        <f>IF('Import OpenCPN'!AC733="","",'Import OpenCPN'!AC733)</f>
        <v/>
      </c>
      <c r="C732" s="12" t="str">
        <f t="shared" si="33"/>
        <v/>
      </c>
      <c r="D732" s="12" t="str">
        <f t="shared" si="35"/>
        <v/>
      </c>
    </row>
    <row r="733" spans="1:4" x14ac:dyDescent="0.2">
      <c r="A733" t="str">
        <f t="shared" si="34"/>
        <v/>
      </c>
      <c r="B733" s="12" t="str">
        <f>IF('Import OpenCPN'!AC734="","",'Import OpenCPN'!AC734)</f>
        <v/>
      </c>
      <c r="C733" s="12" t="str">
        <f t="shared" si="33"/>
        <v/>
      </c>
      <c r="D733" s="12" t="str">
        <f t="shared" si="35"/>
        <v/>
      </c>
    </row>
    <row r="734" spans="1:4" x14ac:dyDescent="0.2">
      <c r="A734" t="str">
        <f t="shared" si="34"/>
        <v/>
      </c>
      <c r="B734" s="12" t="str">
        <f>IF('Import OpenCPN'!AC735="","",'Import OpenCPN'!AC735)</f>
        <v/>
      </c>
      <c r="C734" s="12" t="str">
        <f t="shared" si="33"/>
        <v/>
      </c>
      <c r="D734" s="12" t="str">
        <f t="shared" si="35"/>
        <v/>
      </c>
    </row>
    <row r="735" spans="1:4" x14ac:dyDescent="0.2">
      <c r="A735" t="str">
        <f t="shared" si="34"/>
        <v/>
      </c>
      <c r="B735" s="12" t="str">
        <f>IF('Import OpenCPN'!AC736="","",'Import OpenCPN'!AC736)</f>
        <v/>
      </c>
      <c r="C735" s="12" t="str">
        <f t="shared" si="33"/>
        <v/>
      </c>
      <c r="D735" s="12" t="str">
        <f t="shared" si="35"/>
        <v/>
      </c>
    </row>
    <row r="736" spans="1:4" x14ac:dyDescent="0.2">
      <c r="A736" t="str">
        <f t="shared" si="34"/>
        <v/>
      </c>
      <c r="B736" s="12" t="str">
        <f>IF('Import OpenCPN'!AC737="","",'Import OpenCPN'!AC737)</f>
        <v/>
      </c>
      <c r="C736" s="12" t="str">
        <f t="shared" si="33"/>
        <v/>
      </c>
      <c r="D736" s="12" t="str">
        <f t="shared" si="35"/>
        <v/>
      </c>
    </row>
    <row r="737" spans="1:4" x14ac:dyDescent="0.2">
      <c r="A737" t="str">
        <f t="shared" si="34"/>
        <v/>
      </c>
      <c r="B737" s="12" t="str">
        <f>IF('Import OpenCPN'!AC738="","",'Import OpenCPN'!AC738)</f>
        <v/>
      </c>
      <c r="C737" s="12" t="str">
        <f t="shared" si="33"/>
        <v/>
      </c>
      <c r="D737" s="12" t="str">
        <f t="shared" si="35"/>
        <v/>
      </c>
    </row>
    <row r="738" spans="1:4" x14ac:dyDescent="0.2">
      <c r="A738" t="str">
        <f t="shared" si="34"/>
        <v/>
      </c>
      <c r="B738" s="12" t="str">
        <f>IF('Import OpenCPN'!AC739="","",'Import OpenCPN'!AC739)</f>
        <v/>
      </c>
      <c r="C738" s="12" t="str">
        <f t="shared" si="33"/>
        <v/>
      </c>
      <c r="D738" s="12" t="str">
        <f t="shared" si="35"/>
        <v/>
      </c>
    </row>
    <row r="739" spans="1:4" x14ac:dyDescent="0.2">
      <c r="A739" t="str">
        <f t="shared" si="34"/>
        <v/>
      </c>
      <c r="B739" s="12" t="str">
        <f>IF('Import OpenCPN'!AC740="","",'Import OpenCPN'!AC740)</f>
        <v/>
      </c>
      <c r="C739" s="12" t="str">
        <f t="shared" si="33"/>
        <v/>
      </c>
      <c r="D739" s="12" t="str">
        <f t="shared" si="35"/>
        <v/>
      </c>
    </row>
    <row r="740" spans="1:4" x14ac:dyDescent="0.2">
      <c r="A740" t="str">
        <f t="shared" si="34"/>
        <v/>
      </c>
      <c r="B740" s="12" t="str">
        <f>IF('Import OpenCPN'!AC741="","",'Import OpenCPN'!AC741)</f>
        <v/>
      </c>
      <c r="C740" s="12" t="str">
        <f t="shared" si="33"/>
        <v/>
      </c>
      <c r="D740" s="12" t="str">
        <f t="shared" si="35"/>
        <v/>
      </c>
    </row>
    <row r="741" spans="1:4" x14ac:dyDescent="0.2">
      <c r="A741" t="str">
        <f t="shared" si="34"/>
        <v/>
      </c>
      <c r="B741" s="12" t="str">
        <f>IF('Import OpenCPN'!AC742="","",'Import OpenCPN'!AC742)</f>
        <v/>
      </c>
      <c r="C741" s="12" t="str">
        <f t="shared" si="33"/>
        <v/>
      </c>
      <c r="D741" s="12" t="str">
        <f t="shared" si="35"/>
        <v/>
      </c>
    </row>
    <row r="742" spans="1:4" x14ac:dyDescent="0.2">
      <c r="A742" t="str">
        <f t="shared" si="34"/>
        <v/>
      </c>
      <c r="B742" s="12" t="str">
        <f>IF('Import OpenCPN'!AC743="","",'Import OpenCPN'!AC743)</f>
        <v/>
      </c>
      <c r="C742" s="12" t="str">
        <f t="shared" si="33"/>
        <v/>
      </c>
      <c r="D742" s="12" t="str">
        <f t="shared" si="35"/>
        <v/>
      </c>
    </row>
    <row r="743" spans="1:4" x14ac:dyDescent="0.2">
      <c r="A743" t="str">
        <f t="shared" si="34"/>
        <v/>
      </c>
      <c r="B743" s="12" t="str">
        <f>IF('Import OpenCPN'!AC744="","",'Import OpenCPN'!AC744)</f>
        <v/>
      </c>
      <c r="C743" s="12" t="str">
        <f t="shared" si="33"/>
        <v/>
      </c>
      <c r="D743" s="12" t="str">
        <f t="shared" si="35"/>
        <v/>
      </c>
    </row>
    <row r="744" spans="1:4" x14ac:dyDescent="0.2">
      <c r="A744" t="str">
        <f t="shared" si="34"/>
        <v/>
      </c>
      <c r="B744" s="12" t="str">
        <f>IF('Import OpenCPN'!AC745="","",'Import OpenCPN'!AC745)</f>
        <v/>
      </c>
      <c r="C744" s="12" t="str">
        <f t="shared" si="33"/>
        <v/>
      </c>
      <c r="D744" s="12" t="str">
        <f t="shared" si="35"/>
        <v/>
      </c>
    </row>
    <row r="745" spans="1:4" x14ac:dyDescent="0.2">
      <c r="A745" t="str">
        <f t="shared" si="34"/>
        <v/>
      </c>
      <c r="B745" s="12" t="str">
        <f>IF('Import OpenCPN'!AC746="","",'Import OpenCPN'!AC746)</f>
        <v/>
      </c>
      <c r="C745" s="12" t="str">
        <f t="shared" si="33"/>
        <v/>
      </c>
      <c r="D745" s="12" t="str">
        <f t="shared" si="35"/>
        <v/>
      </c>
    </row>
    <row r="746" spans="1:4" x14ac:dyDescent="0.2">
      <c r="A746" t="str">
        <f t="shared" si="34"/>
        <v/>
      </c>
      <c r="B746" s="12" t="str">
        <f>IF('Import OpenCPN'!AC747="","",'Import OpenCPN'!AC747)</f>
        <v/>
      </c>
      <c r="C746" s="12" t="str">
        <f t="shared" si="33"/>
        <v/>
      </c>
      <c r="D746" s="12" t="str">
        <f t="shared" si="35"/>
        <v/>
      </c>
    </row>
    <row r="747" spans="1:4" x14ac:dyDescent="0.2">
      <c r="A747" t="str">
        <f t="shared" si="34"/>
        <v/>
      </c>
      <c r="B747" s="12" t="str">
        <f>IF('Import OpenCPN'!AC748="","",'Import OpenCPN'!AC748)</f>
        <v/>
      </c>
      <c r="C747" s="12" t="str">
        <f t="shared" si="33"/>
        <v/>
      </c>
      <c r="D747" s="12" t="str">
        <f t="shared" si="35"/>
        <v/>
      </c>
    </row>
    <row r="748" spans="1:4" x14ac:dyDescent="0.2">
      <c r="A748" t="str">
        <f t="shared" si="34"/>
        <v/>
      </c>
      <c r="B748" s="12" t="str">
        <f>IF('Import OpenCPN'!AC749="","",'Import OpenCPN'!AC749)</f>
        <v/>
      </c>
      <c r="C748" s="12" t="str">
        <f t="shared" si="33"/>
        <v/>
      </c>
      <c r="D748" s="12" t="str">
        <f t="shared" si="35"/>
        <v/>
      </c>
    </row>
    <row r="749" spans="1:4" x14ac:dyDescent="0.2">
      <c r="A749" t="str">
        <f t="shared" si="34"/>
        <v/>
      </c>
      <c r="B749" s="12" t="str">
        <f>IF('Import OpenCPN'!AC750="","",'Import OpenCPN'!AC750)</f>
        <v/>
      </c>
      <c r="C749" s="12" t="str">
        <f t="shared" si="33"/>
        <v/>
      </c>
      <c r="D749" s="12" t="str">
        <f t="shared" si="35"/>
        <v/>
      </c>
    </row>
    <row r="750" spans="1:4" x14ac:dyDescent="0.2">
      <c r="A750" t="str">
        <f t="shared" si="34"/>
        <v/>
      </c>
      <c r="B750" s="12" t="str">
        <f>IF('Import OpenCPN'!AC751="","",'Import OpenCPN'!AC751)</f>
        <v/>
      </c>
      <c r="C750" s="12" t="str">
        <f t="shared" si="33"/>
        <v/>
      </c>
      <c r="D750" s="12" t="str">
        <f t="shared" si="35"/>
        <v/>
      </c>
    </row>
    <row r="751" spans="1:4" x14ac:dyDescent="0.2">
      <c r="A751" t="str">
        <f t="shared" si="34"/>
        <v/>
      </c>
      <c r="B751" s="12" t="str">
        <f>IF('Import OpenCPN'!AC752="","",'Import OpenCPN'!AC752)</f>
        <v/>
      </c>
      <c r="C751" s="12" t="str">
        <f t="shared" si="33"/>
        <v/>
      </c>
      <c r="D751" s="12" t="str">
        <f t="shared" si="35"/>
        <v/>
      </c>
    </row>
    <row r="752" spans="1:4" x14ac:dyDescent="0.2">
      <c r="A752" t="str">
        <f t="shared" si="34"/>
        <v/>
      </c>
      <c r="B752" s="12" t="str">
        <f>IF('Import OpenCPN'!AC753="","",'Import OpenCPN'!AC753)</f>
        <v/>
      </c>
      <c r="C752" s="12" t="str">
        <f t="shared" si="33"/>
        <v/>
      </c>
      <c r="D752" s="12" t="str">
        <f t="shared" si="35"/>
        <v/>
      </c>
    </row>
    <row r="753" spans="1:4" x14ac:dyDescent="0.2">
      <c r="A753" t="str">
        <f t="shared" si="34"/>
        <v/>
      </c>
      <c r="B753" s="12" t="str">
        <f>IF('Import OpenCPN'!AC754="","",'Import OpenCPN'!AC754)</f>
        <v/>
      </c>
      <c r="C753" s="12" t="str">
        <f t="shared" si="33"/>
        <v/>
      </c>
      <c r="D753" s="12" t="str">
        <f t="shared" si="35"/>
        <v/>
      </c>
    </row>
    <row r="754" spans="1:4" x14ac:dyDescent="0.2">
      <c r="A754" t="str">
        <f t="shared" si="34"/>
        <v/>
      </c>
      <c r="B754" s="12" t="str">
        <f>IF('Import OpenCPN'!AC755="","",'Import OpenCPN'!AC755)</f>
        <v/>
      </c>
      <c r="C754" s="12" t="str">
        <f t="shared" si="33"/>
        <v/>
      </c>
      <c r="D754" s="12" t="str">
        <f t="shared" si="35"/>
        <v/>
      </c>
    </row>
    <row r="755" spans="1:4" x14ac:dyDescent="0.2">
      <c r="A755" t="str">
        <f t="shared" si="34"/>
        <v/>
      </c>
      <c r="B755" s="12" t="str">
        <f>IF('Import OpenCPN'!AC756="","",'Import OpenCPN'!AC756)</f>
        <v/>
      </c>
      <c r="C755" s="12" t="str">
        <f t="shared" si="33"/>
        <v/>
      </c>
      <c r="D755" s="12" t="str">
        <f t="shared" si="35"/>
        <v/>
      </c>
    </row>
    <row r="756" spans="1:4" x14ac:dyDescent="0.2">
      <c r="A756" t="str">
        <f t="shared" si="34"/>
        <v/>
      </c>
      <c r="B756" s="12" t="str">
        <f>IF('Import OpenCPN'!AC757="","",'Import OpenCPN'!AC757)</f>
        <v/>
      </c>
      <c r="C756" s="12" t="str">
        <f t="shared" si="33"/>
        <v/>
      </c>
      <c r="D756" s="12" t="str">
        <f t="shared" si="35"/>
        <v/>
      </c>
    </row>
    <row r="757" spans="1:4" x14ac:dyDescent="0.2">
      <c r="A757" t="str">
        <f t="shared" si="34"/>
        <v/>
      </c>
      <c r="B757" s="12" t="str">
        <f>IF('Import OpenCPN'!AC758="","",'Import OpenCPN'!AC758)</f>
        <v/>
      </c>
      <c r="C757" s="12" t="str">
        <f t="shared" si="33"/>
        <v/>
      </c>
      <c r="D757" s="12" t="str">
        <f t="shared" si="35"/>
        <v/>
      </c>
    </row>
    <row r="758" spans="1:4" x14ac:dyDescent="0.2">
      <c r="A758" t="str">
        <f t="shared" si="34"/>
        <v/>
      </c>
      <c r="B758" s="12" t="str">
        <f>IF('Import OpenCPN'!AC759="","",'Import OpenCPN'!AC759)</f>
        <v/>
      </c>
      <c r="C758" s="12" t="str">
        <f t="shared" si="33"/>
        <v/>
      </c>
      <c r="D758" s="12" t="str">
        <f t="shared" si="35"/>
        <v/>
      </c>
    </row>
    <row r="759" spans="1:4" x14ac:dyDescent="0.2">
      <c r="A759" t="str">
        <f t="shared" si="34"/>
        <v/>
      </c>
      <c r="B759" s="12" t="str">
        <f>IF('Import OpenCPN'!AC760="","",'Import OpenCPN'!AC760)</f>
        <v/>
      </c>
      <c r="C759" s="12" t="str">
        <f t="shared" si="33"/>
        <v/>
      </c>
      <c r="D759" s="12" t="str">
        <f t="shared" si="35"/>
        <v/>
      </c>
    </row>
    <row r="760" spans="1:4" x14ac:dyDescent="0.2">
      <c r="A760" t="str">
        <f t="shared" si="34"/>
        <v/>
      </c>
      <c r="B760" s="12" t="str">
        <f>IF('Import OpenCPN'!AC761="","",'Import OpenCPN'!AC761)</f>
        <v/>
      </c>
      <c r="C760" s="12" t="str">
        <f t="shared" si="33"/>
        <v/>
      </c>
      <c r="D760" s="12" t="str">
        <f t="shared" si="35"/>
        <v/>
      </c>
    </row>
    <row r="761" spans="1:4" x14ac:dyDescent="0.2">
      <c r="A761" t="str">
        <f t="shared" si="34"/>
        <v/>
      </c>
      <c r="B761" s="12" t="str">
        <f>IF('Import OpenCPN'!AC762="","",'Import OpenCPN'!AC762)</f>
        <v/>
      </c>
      <c r="C761" s="12" t="str">
        <f t="shared" si="33"/>
        <v/>
      </c>
      <c r="D761" s="12" t="str">
        <f t="shared" si="35"/>
        <v/>
      </c>
    </row>
    <row r="762" spans="1:4" x14ac:dyDescent="0.2">
      <c r="A762" t="str">
        <f t="shared" si="34"/>
        <v/>
      </c>
      <c r="B762" s="12" t="str">
        <f>IF('Import OpenCPN'!AC763="","",'Import OpenCPN'!AC763)</f>
        <v/>
      </c>
      <c r="C762" s="12" t="str">
        <f t="shared" si="33"/>
        <v/>
      </c>
      <c r="D762" s="12" t="str">
        <f t="shared" si="35"/>
        <v/>
      </c>
    </row>
    <row r="763" spans="1:4" x14ac:dyDescent="0.2">
      <c r="A763" t="str">
        <f t="shared" si="34"/>
        <v/>
      </c>
      <c r="B763" s="12" t="str">
        <f>IF('Import OpenCPN'!AC764="","",'Import OpenCPN'!AC764)</f>
        <v/>
      </c>
      <c r="C763" s="12" t="str">
        <f t="shared" si="33"/>
        <v/>
      </c>
      <c r="D763" s="12" t="str">
        <f t="shared" si="35"/>
        <v/>
      </c>
    </row>
    <row r="764" spans="1:4" x14ac:dyDescent="0.2">
      <c r="A764" t="str">
        <f t="shared" si="34"/>
        <v/>
      </c>
      <c r="B764" s="12" t="str">
        <f>IF('Import OpenCPN'!AC765="","",'Import OpenCPN'!AC765)</f>
        <v/>
      </c>
      <c r="C764" s="12" t="str">
        <f t="shared" si="33"/>
        <v/>
      </c>
      <c r="D764" s="12" t="str">
        <f t="shared" si="35"/>
        <v/>
      </c>
    </row>
    <row r="765" spans="1:4" x14ac:dyDescent="0.2">
      <c r="A765" t="str">
        <f t="shared" si="34"/>
        <v/>
      </c>
      <c r="B765" s="12" t="str">
        <f>IF('Import OpenCPN'!AC766="","",'Import OpenCPN'!AC766)</f>
        <v/>
      </c>
      <c r="C765" s="12" t="str">
        <f t="shared" si="33"/>
        <v/>
      </c>
      <c r="D765" s="12" t="str">
        <f t="shared" si="35"/>
        <v/>
      </c>
    </row>
    <row r="766" spans="1:4" x14ac:dyDescent="0.2">
      <c r="A766" t="str">
        <f t="shared" si="34"/>
        <v/>
      </c>
      <c r="B766" s="12" t="str">
        <f>IF('Import OpenCPN'!AC767="","",'Import OpenCPN'!AC767)</f>
        <v/>
      </c>
      <c r="C766" s="12" t="str">
        <f t="shared" si="33"/>
        <v/>
      </c>
      <c r="D766" s="12" t="str">
        <f t="shared" si="35"/>
        <v/>
      </c>
    </row>
    <row r="767" spans="1:4" x14ac:dyDescent="0.2">
      <c r="A767" t="str">
        <f t="shared" si="34"/>
        <v/>
      </c>
      <c r="B767" s="12" t="str">
        <f>IF('Import OpenCPN'!AC768="","",'Import OpenCPN'!AC768)</f>
        <v/>
      </c>
      <c r="C767" s="12" t="str">
        <f t="shared" si="33"/>
        <v/>
      </c>
      <c r="D767" s="12" t="str">
        <f t="shared" si="35"/>
        <v/>
      </c>
    </row>
    <row r="768" spans="1:4" x14ac:dyDescent="0.2">
      <c r="A768" t="str">
        <f t="shared" si="34"/>
        <v/>
      </c>
      <c r="B768" s="12" t="str">
        <f>IF('Import OpenCPN'!AC769="","",'Import OpenCPN'!AC769)</f>
        <v/>
      </c>
      <c r="C768" s="12" t="str">
        <f t="shared" si="33"/>
        <v/>
      </c>
      <c r="D768" s="12" t="str">
        <f t="shared" si="35"/>
        <v/>
      </c>
    </row>
    <row r="769" spans="1:4" x14ac:dyDescent="0.2">
      <c r="A769" t="str">
        <f t="shared" si="34"/>
        <v/>
      </c>
      <c r="B769" s="12" t="str">
        <f>IF('Import OpenCPN'!AC770="","",'Import OpenCPN'!AC770)</f>
        <v/>
      </c>
      <c r="C769" s="12" t="str">
        <f t="shared" si="33"/>
        <v/>
      </c>
      <c r="D769" s="12" t="str">
        <f t="shared" si="35"/>
        <v/>
      </c>
    </row>
    <row r="770" spans="1:4" x14ac:dyDescent="0.2">
      <c r="A770" t="str">
        <f t="shared" si="34"/>
        <v/>
      </c>
      <c r="B770" s="12" t="str">
        <f>IF('Import OpenCPN'!AC771="","",'Import OpenCPN'!AC771)</f>
        <v/>
      </c>
      <c r="C770" s="12" t="str">
        <f t="shared" ref="C770:C811" si="36">IF(B770="","","q")</f>
        <v/>
      </c>
      <c r="D770" s="12" t="str">
        <f t="shared" si="35"/>
        <v/>
      </c>
    </row>
    <row r="771" spans="1:4" x14ac:dyDescent="0.2">
      <c r="A771" t="str">
        <f t="shared" ref="A771:A811" si="37">IF(B771="","",A770+1)</f>
        <v/>
      </c>
      <c r="B771" s="12" t="str">
        <f>IF('Import OpenCPN'!AC772="","",'Import OpenCPN'!AC772)</f>
        <v/>
      </c>
      <c r="C771" s="12" t="str">
        <f t="shared" si="36"/>
        <v/>
      </c>
      <c r="D771" s="12" t="str">
        <f t="shared" ref="D771:D811" si="38">IF(B771="","",1)</f>
        <v/>
      </c>
    </row>
    <row r="772" spans="1:4" x14ac:dyDescent="0.2">
      <c r="A772" t="str">
        <f t="shared" si="37"/>
        <v/>
      </c>
      <c r="B772" s="12" t="str">
        <f>IF('Import OpenCPN'!AC773="","",'Import OpenCPN'!AC773)</f>
        <v/>
      </c>
      <c r="C772" s="12" t="str">
        <f t="shared" si="36"/>
        <v/>
      </c>
      <c r="D772" s="12" t="str">
        <f t="shared" si="38"/>
        <v/>
      </c>
    </row>
    <row r="773" spans="1:4" x14ac:dyDescent="0.2">
      <c r="A773" t="str">
        <f t="shared" si="37"/>
        <v/>
      </c>
      <c r="B773" s="12" t="str">
        <f>IF('Import OpenCPN'!AC774="","",'Import OpenCPN'!AC774)</f>
        <v/>
      </c>
      <c r="C773" s="12" t="str">
        <f t="shared" si="36"/>
        <v/>
      </c>
      <c r="D773" s="12" t="str">
        <f t="shared" si="38"/>
        <v/>
      </c>
    </row>
    <row r="774" spans="1:4" x14ac:dyDescent="0.2">
      <c r="A774" t="str">
        <f t="shared" si="37"/>
        <v/>
      </c>
      <c r="B774" s="12" t="str">
        <f>IF('Import OpenCPN'!AC775="","",'Import OpenCPN'!AC775)</f>
        <v/>
      </c>
      <c r="C774" s="12" t="str">
        <f t="shared" si="36"/>
        <v/>
      </c>
      <c r="D774" s="12" t="str">
        <f t="shared" si="38"/>
        <v/>
      </c>
    </row>
    <row r="775" spans="1:4" x14ac:dyDescent="0.2">
      <c r="A775" t="str">
        <f t="shared" si="37"/>
        <v/>
      </c>
      <c r="B775" s="12" t="str">
        <f>IF('Import OpenCPN'!AC776="","",'Import OpenCPN'!AC776)</f>
        <v/>
      </c>
      <c r="C775" s="12" t="str">
        <f t="shared" si="36"/>
        <v/>
      </c>
      <c r="D775" s="12" t="str">
        <f t="shared" si="38"/>
        <v/>
      </c>
    </row>
    <row r="776" spans="1:4" x14ac:dyDescent="0.2">
      <c r="A776" t="str">
        <f t="shared" si="37"/>
        <v/>
      </c>
      <c r="B776" s="12" t="str">
        <f>IF('Import OpenCPN'!AC777="","",'Import OpenCPN'!AC777)</f>
        <v/>
      </c>
      <c r="C776" s="12" t="str">
        <f t="shared" si="36"/>
        <v/>
      </c>
      <c r="D776" s="12" t="str">
        <f t="shared" si="38"/>
        <v/>
      </c>
    </row>
    <row r="777" spans="1:4" x14ac:dyDescent="0.2">
      <c r="A777" t="str">
        <f t="shared" si="37"/>
        <v/>
      </c>
      <c r="B777" s="12" t="str">
        <f>IF('Import OpenCPN'!AC778="","",'Import OpenCPN'!AC778)</f>
        <v/>
      </c>
      <c r="C777" s="12" t="str">
        <f t="shared" si="36"/>
        <v/>
      </c>
      <c r="D777" s="12" t="str">
        <f t="shared" si="38"/>
        <v/>
      </c>
    </row>
    <row r="778" spans="1:4" x14ac:dyDescent="0.2">
      <c r="A778" t="str">
        <f t="shared" si="37"/>
        <v/>
      </c>
      <c r="B778" s="12" t="str">
        <f>IF('Import OpenCPN'!AC779="","",'Import OpenCPN'!AC779)</f>
        <v/>
      </c>
      <c r="C778" s="12" t="str">
        <f t="shared" si="36"/>
        <v/>
      </c>
      <c r="D778" s="12" t="str">
        <f t="shared" si="38"/>
        <v/>
      </c>
    </row>
    <row r="779" spans="1:4" x14ac:dyDescent="0.2">
      <c r="A779" t="str">
        <f t="shared" si="37"/>
        <v/>
      </c>
      <c r="B779" s="12" t="str">
        <f>IF('Import OpenCPN'!AC780="","",'Import OpenCPN'!AC780)</f>
        <v/>
      </c>
      <c r="C779" s="12" t="str">
        <f t="shared" si="36"/>
        <v/>
      </c>
      <c r="D779" s="12" t="str">
        <f t="shared" si="38"/>
        <v/>
      </c>
    </row>
    <row r="780" spans="1:4" x14ac:dyDescent="0.2">
      <c r="A780" t="str">
        <f t="shared" si="37"/>
        <v/>
      </c>
      <c r="B780" s="12" t="str">
        <f>IF('Import OpenCPN'!AC781="","",'Import OpenCPN'!AC781)</f>
        <v/>
      </c>
      <c r="C780" s="12" t="str">
        <f t="shared" si="36"/>
        <v/>
      </c>
      <c r="D780" s="12" t="str">
        <f t="shared" si="38"/>
        <v/>
      </c>
    </row>
    <row r="781" spans="1:4" x14ac:dyDescent="0.2">
      <c r="A781" t="str">
        <f t="shared" si="37"/>
        <v/>
      </c>
      <c r="B781" s="12" t="str">
        <f>IF('Import OpenCPN'!AC782="","",'Import OpenCPN'!AC782)</f>
        <v/>
      </c>
      <c r="C781" s="12" t="str">
        <f t="shared" si="36"/>
        <v/>
      </c>
      <c r="D781" s="12" t="str">
        <f t="shared" si="38"/>
        <v/>
      </c>
    </row>
    <row r="782" spans="1:4" x14ac:dyDescent="0.2">
      <c r="A782" t="str">
        <f t="shared" si="37"/>
        <v/>
      </c>
      <c r="B782" s="12" t="str">
        <f>IF('Import OpenCPN'!AC783="","",'Import OpenCPN'!AC783)</f>
        <v/>
      </c>
      <c r="C782" s="12" t="str">
        <f t="shared" si="36"/>
        <v/>
      </c>
      <c r="D782" s="12" t="str">
        <f t="shared" si="38"/>
        <v/>
      </c>
    </row>
    <row r="783" spans="1:4" x14ac:dyDescent="0.2">
      <c r="A783" t="str">
        <f t="shared" si="37"/>
        <v/>
      </c>
      <c r="B783" s="12" t="str">
        <f>IF('Import OpenCPN'!AC784="","",'Import OpenCPN'!AC784)</f>
        <v/>
      </c>
      <c r="C783" s="12" t="str">
        <f t="shared" si="36"/>
        <v/>
      </c>
      <c r="D783" s="12" t="str">
        <f t="shared" si="38"/>
        <v/>
      </c>
    </row>
    <row r="784" spans="1:4" x14ac:dyDescent="0.2">
      <c r="A784" t="str">
        <f t="shared" si="37"/>
        <v/>
      </c>
      <c r="B784" s="12" t="str">
        <f>IF('Import OpenCPN'!AC785="","",'Import OpenCPN'!AC785)</f>
        <v/>
      </c>
      <c r="C784" s="12" t="str">
        <f t="shared" si="36"/>
        <v/>
      </c>
      <c r="D784" s="12" t="str">
        <f t="shared" si="38"/>
        <v/>
      </c>
    </row>
    <row r="785" spans="1:4" x14ac:dyDescent="0.2">
      <c r="A785" t="str">
        <f t="shared" si="37"/>
        <v/>
      </c>
      <c r="B785" s="12" t="str">
        <f>IF('Import OpenCPN'!AC786="","",'Import OpenCPN'!AC786)</f>
        <v/>
      </c>
      <c r="C785" s="12" t="str">
        <f t="shared" si="36"/>
        <v/>
      </c>
      <c r="D785" s="12" t="str">
        <f t="shared" si="38"/>
        <v/>
      </c>
    </row>
    <row r="786" spans="1:4" x14ac:dyDescent="0.2">
      <c r="A786" t="str">
        <f t="shared" si="37"/>
        <v/>
      </c>
      <c r="B786" s="12" t="str">
        <f>IF('Import OpenCPN'!AC787="","",'Import OpenCPN'!AC787)</f>
        <v/>
      </c>
      <c r="C786" s="12" t="str">
        <f t="shared" si="36"/>
        <v/>
      </c>
      <c r="D786" s="12" t="str">
        <f t="shared" si="38"/>
        <v/>
      </c>
    </row>
    <row r="787" spans="1:4" x14ac:dyDescent="0.2">
      <c r="A787" t="str">
        <f t="shared" si="37"/>
        <v/>
      </c>
      <c r="B787" s="12" t="str">
        <f>IF('Import OpenCPN'!AC788="","",'Import OpenCPN'!AC788)</f>
        <v/>
      </c>
      <c r="C787" s="12" t="str">
        <f t="shared" si="36"/>
        <v/>
      </c>
      <c r="D787" s="12" t="str">
        <f t="shared" si="38"/>
        <v/>
      </c>
    </row>
    <row r="788" spans="1:4" x14ac:dyDescent="0.2">
      <c r="A788" t="str">
        <f t="shared" si="37"/>
        <v/>
      </c>
      <c r="B788" s="12" t="str">
        <f>IF('Import OpenCPN'!AC789="","",'Import OpenCPN'!AC789)</f>
        <v/>
      </c>
      <c r="C788" s="12" t="str">
        <f t="shared" si="36"/>
        <v/>
      </c>
      <c r="D788" s="12" t="str">
        <f t="shared" si="38"/>
        <v/>
      </c>
    </row>
    <row r="789" spans="1:4" x14ac:dyDescent="0.2">
      <c r="A789" t="str">
        <f t="shared" si="37"/>
        <v/>
      </c>
      <c r="B789" s="12" t="str">
        <f>IF('Import OpenCPN'!AC790="","",'Import OpenCPN'!AC790)</f>
        <v/>
      </c>
      <c r="C789" s="12" t="str">
        <f t="shared" si="36"/>
        <v/>
      </c>
      <c r="D789" s="12" t="str">
        <f t="shared" si="38"/>
        <v/>
      </c>
    </row>
    <row r="790" spans="1:4" x14ac:dyDescent="0.2">
      <c r="A790" t="str">
        <f t="shared" si="37"/>
        <v/>
      </c>
      <c r="B790" s="12" t="str">
        <f>IF('Import OpenCPN'!AC791="","",'Import OpenCPN'!AC791)</f>
        <v/>
      </c>
      <c r="C790" s="12" t="str">
        <f t="shared" si="36"/>
        <v/>
      </c>
      <c r="D790" s="12" t="str">
        <f t="shared" si="38"/>
        <v/>
      </c>
    </row>
    <row r="791" spans="1:4" x14ac:dyDescent="0.2">
      <c r="A791" t="str">
        <f t="shared" si="37"/>
        <v/>
      </c>
      <c r="B791" s="12" t="str">
        <f>IF('Import OpenCPN'!AC792="","",'Import OpenCPN'!AC792)</f>
        <v/>
      </c>
      <c r="C791" s="12" t="str">
        <f t="shared" si="36"/>
        <v/>
      </c>
      <c r="D791" s="12" t="str">
        <f t="shared" si="38"/>
        <v/>
      </c>
    </row>
    <row r="792" spans="1:4" x14ac:dyDescent="0.2">
      <c r="A792" t="str">
        <f t="shared" si="37"/>
        <v/>
      </c>
      <c r="B792" s="12" t="str">
        <f>IF('Import OpenCPN'!AC793="","",'Import OpenCPN'!AC793)</f>
        <v/>
      </c>
      <c r="C792" s="12" t="str">
        <f t="shared" si="36"/>
        <v/>
      </c>
      <c r="D792" s="12" t="str">
        <f t="shared" si="38"/>
        <v/>
      </c>
    </row>
    <row r="793" spans="1:4" x14ac:dyDescent="0.2">
      <c r="A793" t="str">
        <f t="shared" si="37"/>
        <v/>
      </c>
      <c r="B793" s="12" t="str">
        <f>IF('Import OpenCPN'!AC794="","",'Import OpenCPN'!AC794)</f>
        <v/>
      </c>
      <c r="C793" s="12" t="str">
        <f t="shared" si="36"/>
        <v/>
      </c>
      <c r="D793" s="12" t="str">
        <f t="shared" si="38"/>
        <v/>
      </c>
    </row>
    <row r="794" spans="1:4" x14ac:dyDescent="0.2">
      <c r="A794" t="str">
        <f t="shared" si="37"/>
        <v/>
      </c>
      <c r="B794" s="12" t="str">
        <f>IF('Import OpenCPN'!AC795="","",'Import OpenCPN'!AC795)</f>
        <v/>
      </c>
      <c r="C794" s="12" t="str">
        <f t="shared" si="36"/>
        <v/>
      </c>
      <c r="D794" s="12" t="str">
        <f t="shared" si="38"/>
        <v/>
      </c>
    </row>
    <row r="795" spans="1:4" x14ac:dyDescent="0.2">
      <c r="A795" t="str">
        <f t="shared" si="37"/>
        <v/>
      </c>
      <c r="B795" s="12" t="str">
        <f>IF('Import OpenCPN'!AC796="","",'Import OpenCPN'!AC796)</f>
        <v/>
      </c>
      <c r="C795" s="12" t="str">
        <f t="shared" si="36"/>
        <v/>
      </c>
      <c r="D795" s="12" t="str">
        <f t="shared" si="38"/>
        <v/>
      </c>
    </row>
    <row r="796" spans="1:4" x14ac:dyDescent="0.2">
      <c r="A796" t="str">
        <f t="shared" si="37"/>
        <v/>
      </c>
      <c r="B796" s="12" t="str">
        <f>IF('Import OpenCPN'!AC797="","",'Import OpenCPN'!AC797)</f>
        <v/>
      </c>
      <c r="C796" s="12" t="str">
        <f t="shared" si="36"/>
        <v/>
      </c>
      <c r="D796" s="12" t="str">
        <f t="shared" si="38"/>
        <v/>
      </c>
    </row>
    <row r="797" spans="1:4" x14ac:dyDescent="0.2">
      <c r="A797" t="str">
        <f t="shared" si="37"/>
        <v/>
      </c>
      <c r="B797" s="12" t="str">
        <f>IF('Import OpenCPN'!AC798="","",'Import OpenCPN'!AC798)</f>
        <v/>
      </c>
      <c r="C797" s="12" t="str">
        <f t="shared" si="36"/>
        <v/>
      </c>
      <c r="D797" s="12" t="str">
        <f t="shared" si="38"/>
        <v/>
      </c>
    </row>
    <row r="798" spans="1:4" x14ac:dyDescent="0.2">
      <c r="A798" t="str">
        <f t="shared" si="37"/>
        <v/>
      </c>
      <c r="B798" s="12" t="str">
        <f>IF('Import OpenCPN'!AC799="","",'Import OpenCPN'!AC799)</f>
        <v/>
      </c>
      <c r="C798" s="12" t="str">
        <f t="shared" si="36"/>
        <v/>
      </c>
      <c r="D798" s="12" t="str">
        <f t="shared" si="38"/>
        <v/>
      </c>
    </row>
    <row r="799" spans="1:4" x14ac:dyDescent="0.2">
      <c r="A799" t="str">
        <f t="shared" si="37"/>
        <v/>
      </c>
      <c r="B799" s="12" t="str">
        <f>IF('Import OpenCPN'!AC800="","",'Import OpenCPN'!AC800)</f>
        <v/>
      </c>
      <c r="C799" s="12" t="str">
        <f t="shared" si="36"/>
        <v/>
      </c>
      <c r="D799" s="12" t="str">
        <f t="shared" si="38"/>
        <v/>
      </c>
    </row>
    <row r="800" spans="1:4" x14ac:dyDescent="0.2">
      <c r="A800" t="str">
        <f t="shared" si="37"/>
        <v/>
      </c>
      <c r="B800" s="12" t="str">
        <f>IF('Import OpenCPN'!AC801="","",'Import OpenCPN'!AC801)</f>
        <v/>
      </c>
      <c r="C800" s="12" t="str">
        <f t="shared" si="36"/>
        <v/>
      </c>
      <c r="D800" s="12" t="str">
        <f t="shared" si="38"/>
        <v/>
      </c>
    </row>
    <row r="801" spans="1:4" x14ac:dyDescent="0.2">
      <c r="A801" t="str">
        <f t="shared" si="37"/>
        <v/>
      </c>
      <c r="B801" s="12" t="str">
        <f>IF('Import OpenCPN'!AC802="","",'Import OpenCPN'!AC802)</f>
        <v/>
      </c>
      <c r="C801" s="12" t="str">
        <f t="shared" si="36"/>
        <v/>
      </c>
      <c r="D801" s="12" t="str">
        <f t="shared" si="38"/>
        <v/>
      </c>
    </row>
    <row r="802" spans="1:4" x14ac:dyDescent="0.2">
      <c r="A802" t="str">
        <f t="shared" si="37"/>
        <v/>
      </c>
      <c r="B802" s="12" t="str">
        <f>IF('Import OpenCPN'!AC803="","",'Import OpenCPN'!AC803)</f>
        <v/>
      </c>
      <c r="C802" s="12" t="str">
        <f t="shared" si="36"/>
        <v/>
      </c>
      <c r="D802" s="12" t="str">
        <f t="shared" si="38"/>
        <v/>
      </c>
    </row>
    <row r="803" spans="1:4" x14ac:dyDescent="0.2">
      <c r="A803" t="str">
        <f t="shared" si="37"/>
        <v/>
      </c>
      <c r="B803" s="12" t="str">
        <f>IF('Import OpenCPN'!AC804="","",'Import OpenCPN'!AC804)</f>
        <v/>
      </c>
      <c r="C803" s="12" t="str">
        <f t="shared" si="36"/>
        <v/>
      </c>
      <c r="D803" s="12" t="str">
        <f t="shared" si="38"/>
        <v/>
      </c>
    </row>
    <row r="804" spans="1:4" x14ac:dyDescent="0.2">
      <c r="A804" t="str">
        <f t="shared" si="37"/>
        <v/>
      </c>
      <c r="B804" s="12" t="str">
        <f>IF('Import OpenCPN'!AC805="","",'Import OpenCPN'!AC805)</f>
        <v/>
      </c>
      <c r="C804" s="12" t="str">
        <f t="shared" si="36"/>
        <v/>
      </c>
      <c r="D804" s="12" t="str">
        <f t="shared" si="38"/>
        <v/>
      </c>
    </row>
    <row r="805" spans="1:4" x14ac:dyDescent="0.2">
      <c r="A805" t="str">
        <f t="shared" si="37"/>
        <v/>
      </c>
      <c r="B805" s="12" t="str">
        <f>IF('Import OpenCPN'!AC806="","",'Import OpenCPN'!AC806)</f>
        <v/>
      </c>
      <c r="C805" s="12" t="str">
        <f t="shared" si="36"/>
        <v/>
      </c>
      <c r="D805" s="12" t="str">
        <f t="shared" si="38"/>
        <v/>
      </c>
    </row>
    <row r="806" spans="1:4" x14ac:dyDescent="0.2">
      <c r="A806" t="str">
        <f t="shared" si="37"/>
        <v/>
      </c>
      <c r="B806" s="12" t="str">
        <f>IF('Import OpenCPN'!AC807="","",'Import OpenCPN'!AC807)</f>
        <v/>
      </c>
      <c r="C806" s="12" t="str">
        <f t="shared" si="36"/>
        <v/>
      </c>
      <c r="D806" s="12" t="str">
        <f t="shared" si="38"/>
        <v/>
      </c>
    </row>
    <row r="807" spans="1:4" x14ac:dyDescent="0.2">
      <c r="A807" t="str">
        <f t="shared" si="37"/>
        <v/>
      </c>
      <c r="B807" s="12" t="str">
        <f>IF('Import OpenCPN'!AC808="","",'Import OpenCPN'!AC808)</f>
        <v/>
      </c>
      <c r="C807" s="12" t="str">
        <f t="shared" si="36"/>
        <v/>
      </c>
      <c r="D807" s="12" t="str">
        <f t="shared" si="38"/>
        <v/>
      </c>
    </row>
    <row r="808" spans="1:4" x14ac:dyDescent="0.2">
      <c r="A808" t="str">
        <f t="shared" si="37"/>
        <v/>
      </c>
      <c r="B808" s="12" t="str">
        <f>IF('Import OpenCPN'!AC809="","",'Import OpenCPN'!AC809)</f>
        <v/>
      </c>
      <c r="C808" s="12" t="str">
        <f t="shared" si="36"/>
        <v/>
      </c>
      <c r="D808" s="12" t="str">
        <f t="shared" si="38"/>
        <v/>
      </c>
    </row>
    <row r="809" spans="1:4" x14ac:dyDescent="0.2">
      <c r="A809" t="str">
        <f t="shared" si="37"/>
        <v/>
      </c>
      <c r="B809" s="12" t="str">
        <f>IF('Import OpenCPN'!AC810="","",'Import OpenCPN'!AC810)</f>
        <v/>
      </c>
      <c r="C809" s="12" t="str">
        <f t="shared" si="36"/>
        <v/>
      </c>
      <c r="D809" s="12" t="str">
        <f t="shared" si="38"/>
        <v/>
      </c>
    </row>
    <row r="810" spans="1:4" x14ac:dyDescent="0.2">
      <c r="A810" t="str">
        <f t="shared" si="37"/>
        <v/>
      </c>
      <c r="B810" s="12" t="str">
        <f>IF('Import OpenCPN'!AC811="","",'Import OpenCPN'!AC811)</f>
        <v/>
      </c>
      <c r="C810" s="12" t="str">
        <f t="shared" si="36"/>
        <v/>
      </c>
      <c r="D810" s="12" t="str">
        <f t="shared" si="38"/>
        <v/>
      </c>
    </row>
    <row r="811" spans="1:4" x14ac:dyDescent="0.2">
      <c r="A811" t="str">
        <f t="shared" si="37"/>
        <v/>
      </c>
      <c r="B811" s="12" t="str">
        <f>IF('Import OpenCPN'!AC812="","",'Import OpenCPN'!AC812)</f>
        <v/>
      </c>
      <c r="C811" s="12" t="str">
        <f t="shared" si="36"/>
        <v/>
      </c>
      <c r="D811" s="12" t="str">
        <f t="shared" si="38"/>
        <v/>
      </c>
    </row>
  </sheetData>
  <dataValidations count="1">
    <dataValidation type="list" allowBlank="1" showInputMessage="1" showErrorMessage="1" sqref="C1:C811">
      <formula1>$P$2:$P$6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Macro1">
                <anchor moveWithCells="1" sizeWithCells="1">
                  <from>
                    <xdr:col>7</xdr:col>
                    <xdr:colOff>9525</xdr:colOff>
                    <xdr:row>21</xdr:row>
                    <xdr:rowOff>85725</xdr:rowOff>
                  </from>
                  <to>
                    <xdr:col>8</xdr:col>
                    <xdr:colOff>419100</xdr:colOff>
                    <xdr:row>23</xdr:row>
                    <xdr:rowOff>9525</xdr:rowOff>
                  </to>
                </anchor>
              </controlPr>
            </control>
          </mc:Choice>
        </mc:AlternateContent>
        <mc:AlternateContent xmlns:mc="http://schemas.openxmlformats.org/markup-compatibility/2006">
          <mc:Choice Requires="x14">
            <control shapeId="1039" r:id="rId5" name="Button 15">
              <controlPr defaultSize="0" print="0" autoFill="0" autoPict="0" macro="[0]!Macro4">
                <anchor moveWithCells="1" sizeWithCells="1">
                  <from>
                    <xdr:col>7</xdr:col>
                    <xdr:colOff>38100</xdr:colOff>
                    <xdr:row>5</xdr:row>
                    <xdr:rowOff>85725</xdr:rowOff>
                  </from>
                  <to>
                    <xdr:col>8</xdr:col>
                    <xdr:colOff>428625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CV351"/>
  <sheetViews>
    <sheetView workbookViewId="0">
      <selection activeCell="D25" sqref="D25"/>
    </sheetView>
  </sheetViews>
  <sheetFormatPr baseColWidth="10" defaultColWidth="9.140625" defaultRowHeight="12.75" x14ac:dyDescent="0.2"/>
  <cols>
    <col min="1" max="1" width="9.85546875" bestFit="1" customWidth="1"/>
    <col min="2" max="2" width="9.7109375" bestFit="1" customWidth="1"/>
    <col min="3" max="3" width="12" bestFit="1" customWidth="1"/>
    <col min="4" max="4" width="11" bestFit="1" customWidth="1"/>
    <col min="5" max="5" width="13" bestFit="1" customWidth="1"/>
    <col min="6" max="6" width="5" bestFit="1" customWidth="1"/>
    <col min="7" max="7" width="10.140625" bestFit="1" customWidth="1"/>
    <col min="8" max="8" width="6.85546875" bestFit="1" customWidth="1"/>
    <col min="9" max="9" width="10.28515625" bestFit="1" customWidth="1"/>
    <col min="10" max="10" width="10.7109375" bestFit="1" customWidth="1"/>
    <col min="11" max="11" width="9.140625" bestFit="1" customWidth="1"/>
    <col min="12" max="12" width="10.85546875" bestFit="1" customWidth="1"/>
    <col min="13" max="13" width="13.28515625" bestFit="1" customWidth="1"/>
    <col min="14" max="14" width="7.85546875" bestFit="1" customWidth="1"/>
    <col min="15" max="15" width="11.28515625" bestFit="1" customWidth="1"/>
    <col min="16" max="16" width="11.7109375" bestFit="1" customWidth="1"/>
    <col min="17" max="17" width="10.85546875" bestFit="1" customWidth="1"/>
    <col min="18" max="18" width="15.5703125" bestFit="1" customWidth="1"/>
    <col min="19" max="19" width="9" bestFit="1" customWidth="1"/>
    <col min="20" max="21" width="9.5703125" bestFit="1" customWidth="1"/>
    <col min="22" max="22" width="10.140625" bestFit="1" customWidth="1"/>
    <col min="23" max="23" width="12" bestFit="1" customWidth="1"/>
    <col min="24" max="24" width="12.5703125" bestFit="1" customWidth="1"/>
    <col min="25" max="25" width="9.7109375" bestFit="1" customWidth="1"/>
    <col min="26" max="26" width="19.5703125" bestFit="1" customWidth="1"/>
    <col min="27" max="27" width="13.7109375" bestFit="1" customWidth="1"/>
    <col min="28" max="28" width="17.85546875" bestFit="1" customWidth="1"/>
    <col min="29" max="29" width="13" bestFit="1" customWidth="1"/>
    <col min="30" max="30" width="10.140625" bestFit="1" customWidth="1"/>
    <col min="31" max="31" width="12" bestFit="1" customWidth="1"/>
    <col min="32" max="32" width="9.42578125" bestFit="1" customWidth="1"/>
    <col min="33" max="33" width="7.85546875" bestFit="1" customWidth="1"/>
    <col min="34" max="34" width="12.28515625" bestFit="1" customWidth="1"/>
    <col min="35" max="35" width="12.7109375" bestFit="1" customWidth="1"/>
    <col min="36" max="36" width="10.42578125" bestFit="1" customWidth="1"/>
    <col min="37" max="37" width="12.7109375" bestFit="1" customWidth="1"/>
    <col min="38" max="38" width="9.140625" bestFit="1" customWidth="1"/>
    <col min="39" max="39" width="9.42578125" bestFit="1" customWidth="1"/>
    <col min="40" max="40" width="11.42578125" bestFit="1" customWidth="1"/>
    <col min="41" max="41" width="11.28515625" bestFit="1" customWidth="1"/>
    <col min="42" max="42" width="11.42578125" bestFit="1" customWidth="1"/>
    <col min="43" max="43" width="20.5703125" bestFit="1" customWidth="1"/>
    <col min="44" max="44" width="12.85546875" bestFit="1" customWidth="1"/>
    <col min="45" max="45" width="14" bestFit="1" customWidth="1"/>
    <col min="46" max="46" width="12.140625" customWidth="1"/>
    <col min="47" max="47" width="13" bestFit="1" customWidth="1"/>
    <col min="48" max="48" width="11.42578125" bestFit="1" customWidth="1"/>
    <col min="49" max="49" width="8.85546875" bestFit="1" customWidth="1"/>
    <col min="50" max="50" width="12.28515625" bestFit="1" customWidth="1"/>
    <col min="51" max="51" width="12.7109375" bestFit="1" customWidth="1"/>
    <col min="52" max="52" width="13.85546875" bestFit="1" customWidth="1"/>
    <col min="53" max="53" width="12.7109375" bestFit="1" customWidth="1"/>
    <col min="54" max="54" width="12" bestFit="1" customWidth="1"/>
    <col min="55" max="55" width="12.5703125" bestFit="1" customWidth="1"/>
    <col min="56" max="56" width="11.7109375" bestFit="1" customWidth="1"/>
    <col min="57" max="57" width="19.5703125" bestFit="1" customWidth="1"/>
    <col min="58" max="58" width="15.85546875" bestFit="1" customWidth="1"/>
    <col min="59" max="59" width="20" bestFit="1" customWidth="1"/>
    <col min="60" max="60" width="14" bestFit="1" customWidth="1"/>
    <col min="61" max="61" width="12.140625" customWidth="1"/>
    <col min="62" max="62" width="13" bestFit="1" customWidth="1"/>
    <col min="63" max="63" width="11.42578125" bestFit="1" customWidth="1"/>
    <col min="64" max="64" width="8.85546875" bestFit="1" customWidth="1"/>
    <col min="65" max="65" width="12.28515625" bestFit="1" customWidth="1"/>
    <col min="66" max="66" width="12.7109375" bestFit="1" customWidth="1"/>
    <col min="67" max="67" width="12.42578125" bestFit="1" customWidth="1"/>
    <col min="68" max="68" width="12.7109375" bestFit="1" customWidth="1"/>
    <col min="69" max="69" width="11.140625" bestFit="1" customWidth="1"/>
    <col min="70" max="70" width="11.42578125" bestFit="1" customWidth="1"/>
    <col min="71" max="71" width="13.42578125" bestFit="1" customWidth="1"/>
    <col min="72" max="72" width="13.28515625" bestFit="1" customWidth="1"/>
    <col min="73" max="73" width="13.42578125" bestFit="1" customWidth="1"/>
    <col min="74" max="74" width="22.5703125" bestFit="1" customWidth="1"/>
    <col min="75" max="75" width="14.85546875" bestFit="1" customWidth="1"/>
    <col min="76" max="76" width="14" bestFit="1" customWidth="1"/>
    <col min="77" max="77" width="12.140625" customWidth="1"/>
    <col min="78" max="78" width="13" bestFit="1" customWidth="1"/>
    <col min="79" max="79" width="11.42578125" bestFit="1" customWidth="1"/>
    <col min="80" max="80" width="8.85546875" bestFit="1" customWidth="1"/>
    <col min="81" max="81" width="12.28515625" bestFit="1" customWidth="1"/>
    <col min="82" max="82" width="12.7109375" bestFit="1" customWidth="1"/>
    <col min="83" max="83" width="16" bestFit="1" customWidth="1"/>
    <col min="84" max="84" width="12.7109375" bestFit="1" customWidth="1"/>
    <col min="85" max="85" width="7.5703125" bestFit="1" customWidth="1"/>
    <col min="86" max="86" width="8.140625" bestFit="1" customWidth="1"/>
    <col min="87" max="87" width="11.7109375" bestFit="1" customWidth="1"/>
    <col min="88" max="88" width="12.85546875" bestFit="1" customWidth="1"/>
    <col min="89" max="89" width="15.85546875" bestFit="1" customWidth="1"/>
    <col min="90" max="90" width="20" bestFit="1" customWidth="1"/>
    <col min="91" max="91" width="14" bestFit="1" customWidth="1"/>
    <col min="92" max="92" width="12.140625" customWidth="1"/>
    <col min="93" max="93" width="13" bestFit="1" customWidth="1"/>
    <col min="94" max="94" width="11.42578125" bestFit="1" customWidth="1"/>
    <col min="95" max="95" width="8.85546875" bestFit="1" customWidth="1"/>
    <col min="96" max="96" width="12.28515625" bestFit="1" customWidth="1"/>
    <col min="97" max="97" width="12.7109375" bestFit="1" customWidth="1"/>
    <col min="98" max="98" width="12.42578125" bestFit="1" customWidth="1"/>
    <col min="99" max="99" width="12.7109375" bestFit="1" customWidth="1"/>
    <col min="100" max="100" width="11.140625" bestFit="1" customWidth="1"/>
    <col min="101" max="101" width="11.42578125" bestFit="1" customWidth="1"/>
    <col min="102" max="102" width="13.42578125" bestFit="1" customWidth="1"/>
    <col min="103" max="103" width="13.28515625" bestFit="1" customWidth="1"/>
    <col min="104" max="104" width="13.42578125" bestFit="1" customWidth="1"/>
    <col min="105" max="105" width="22.5703125" bestFit="1" customWidth="1"/>
    <col min="106" max="106" width="14.85546875" bestFit="1" customWidth="1"/>
  </cols>
  <sheetData>
    <row r="2" spans="1:100" x14ac:dyDescent="0.2">
      <c r="A2" s="14"/>
      <c r="B2" s="14"/>
      <c r="C2" s="14"/>
      <c r="D2" s="14"/>
      <c r="E2" s="14"/>
      <c r="F2" s="14"/>
      <c r="G2" s="14"/>
      <c r="H2" s="14"/>
      <c r="I2" s="14"/>
      <c r="J2" s="14"/>
      <c r="K2" s="14"/>
      <c r="L2" s="15"/>
      <c r="M2" s="14"/>
      <c r="N2" s="14"/>
      <c r="O2" s="14"/>
      <c r="P2" s="14"/>
      <c r="Q2" s="16"/>
      <c r="R2" s="14"/>
      <c r="Z2" s="16"/>
      <c r="AC2" s="14"/>
      <c r="AD2" s="14"/>
      <c r="AE2" s="14"/>
      <c r="AF2" s="14"/>
      <c r="AG2" s="14"/>
      <c r="AH2" s="14"/>
      <c r="AI2" s="14"/>
      <c r="AJ2" s="14"/>
      <c r="AK2" s="14"/>
      <c r="AL2" s="14"/>
      <c r="AS2" s="14"/>
      <c r="AT2" s="14"/>
      <c r="AU2" s="14"/>
      <c r="AV2" s="14"/>
      <c r="AW2" s="14"/>
      <c r="AX2" s="14"/>
      <c r="AY2" s="14"/>
      <c r="BA2" s="14"/>
      <c r="BE2" s="16"/>
      <c r="BH2" s="14"/>
      <c r="BI2" s="14"/>
      <c r="BJ2" s="14"/>
      <c r="BK2" s="14"/>
      <c r="BL2" s="14"/>
      <c r="BM2" s="14"/>
      <c r="BN2" s="14"/>
      <c r="BO2" s="14"/>
      <c r="BP2" s="14"/>
      <c r="BQ2" s="14"/>
      <c r="BX2" s="14"/>
      <c r="BY2" s="14"/>
      <c r="BZ2" s="14"/>
      <c r="CA2" s="14"/>
      <c r="CB2" s="14"/>
      <c r="CC2" s="14"/>
      <c r="CD2" s="14"/>
      <c r="CF2" s="14"/>
      <c r="CJ2" s="16"/>
      <c r="CM2" s="14"/>
      <c r="CN2" s="14"/>
      <c r="CO2" s="14"/>
      <c r="CP2" s="14"/>
      <c r="CQ2" s="14"/>
      <c r="CR2" s="14"/>
      <c r="CS2" s="14"/>
      <c r="CT2" s="14"/>
      <c r="CU2" s="14"/>
      <c r="CV2" s="14"/>
    </row>
    <row r="3" spans="1:100" x14ac:dyDescent="0.2">
      <c r="A3" s="14"/>
      <c r="B3" s="14"/>
      <c r="C3" s="14"/>
      <c r="D3" s="14"/>
      <c r="E3" s="14"/>
      <c r="F3" s="14"/>
      <c r="G3" s="14"/>
      <c r="H3" s="14"/>
      <c r="I3" s="14"/>
      <c r="J3" s="14"/>
      <c r="K3" s="14"/>
      <c r="L3" s="15"/>
      <c r="M3" s="14"/>
      <c r="N3" s="14"/>
      <c r="O3" s="14"/>
      <c r="P3" s="14"/>
      <c r="Q3" s="16"/>
      <c r="R3" s="14"/>
      <c r="Z3" s="16"/>
      <c r="AC3" s="14"/>
      <c r="AD3" s="14"/>
      <c r="AE3" s="14"/>
      <c r="AF3" s="14"/>
      <c r="AG3" s="14"/>
      <c r="AH3" s="14"/>
      <c r="AI3" s="14"/>
      <c r="AJ3" s="14"/>
      <c r="AK3" s="14"/>
      <c r="AL3" s="14"/>
      <c r="AS3" s="14"/>
      <c r="AT3" s="14"/>
      <c r="AU3" s="14"/>
      <c r="AV3" s="14"/>
      <c r="AW3" s="14"/>
      <c r="AX3" s="14"/>
      <c r="AY3" s="14"/>
      <c r="BA3" s="14"/>
      <c r="BE3" s="16"/>
      <c r="BH3" s="14"/>
      <c r="BI3" s="14"/>
      <c r="BJ3" s="14"/>
      <c r="BK3" s="14"/>
      <c r="BL3" s="14"/>
      <c r="BM3" s="14"/>
      <c r="BN3" s="14"/>
      <c r="BO3" s="14"/>
      <c r="BP3" s="14"/>
      <c r="BQ3" s="14"/>
      <c r="BX3" s="14"/>
      <c r="BY3" s="14"/>
      <c r="BZ3" s="14"/>
      <c r="CA3" s="14"/>
      <c r="CB3" s="14"/>
      <c r="CC3" s="14"/>
      <c r="CD3" s="14"/>
      <c r="CF3" s="14"/>
      <c r="CJ3" s="16"/>
      <c r="CM3" s="14"/>
      <c r="CN3" s="14"/>
      <c r="CO3" s="14"/>
      <c r="CP3" s="14"/>
      <c r="CQ3" s="14"/>
      <c r="CR3" s="14"/>
      <c r="CS3" s="14"/>
      <c r="CT3" s="14"/>
      <c r="CU3" s="14"/>
      <c r="CV3" s="14"/>
    </row>
    <row r="4" spans="1:100" x14ac:dyDescent="0.2">
      <c r="A4" s="14"/>
      <c r="B4" s="14"/>
      <c r="C4" s="14"/>
      <c r="D4" s="14"/>
      <c r="E4" s="14"/>
      <c r="F4" s="14"/>
      <c r="G4" s="14"/>
      <c r="H4" s="14"/>
      <c r="I4" s="14"/>
      <c r="J4" s="14"/>
      <c r="K4" s="14"/>
      <c r="L4" s="15"/>
      <c r="M4" s="14"/>
      <c r="N4" s="14"/>
      <c r="O4" s="14"/>
      <c r="P4" s="14"/>
      <c r="Q4" s="16"/>
      <c r="R4" s="14"/>
      <c r="Z4" s="16"/>
      <c r="AC4" s="14"/>
      <c r="AD4" s="14"/>
      <c r="AE4" s="14"/>
      <c r="AF4" s="14"/>
      <c r="AG4" s="14"/>
      <c r="AH4" s="14"/>
      <c r="AI4" s="14"/>
      <c r="AJ4" s="14"/>
      <c r="AK4" s="14"/>
      <c r="AL4" s="14"/>
      <c r="AS4" s="14"/>
      <c r="AT4" s="14"/>
      <c r="AU4" s="14"/>
      <c r="AV4" s="14"/>
      <c r="AW4" s="14"/>
      <c r="AX4" s="14"/>
      <c r="AY4" s="14"/>
      <c r="BA4" s="14"/>
      <c r="BE4" s="16"/>
      <c r="BH4" s="14"/>
      <c r="BI4" s="14"/>
      <c r="BJ4" s="14"/>
      <c r="BK4" s="14"/>
      <c r="BL4" s="14"/>
      <c r="BM4" s="14"/>
      <c r="BN4" s="14"/>
      <c r="BO4" s="14"/>
      <c r="BP4" s="14"/>
      <c r="BQ4" s="14"/>
      <c r="BX4" s="14"/>
      <c r="BY4" s="14"/>
      <c r="BZ4" s="14"/>
      <c r="CA4" s="14"/>
      <c r="CB4" s="14"/>
      <c r="CC4" s="14"/>
      <c r="CD4" s="14"/>
      <c r="CF4" s="14"/>
      <c r="CJ4" s="16"/>
      <c r="CM4" s="14"/>
      <c r="CN4" s="14"/>
      <c r="CO4" s="14"/>
      <c r="CP4" s="14"/>
      <c r="CQ4" s="14"/>
      <c r="CR4" s="14"/>
      <c r="CS4" s="14"/>
      <c r="CT4" s="14"/>
      <c r="CU4" s="14"/>
      <c r="CV4" s="14"/>
    </row>
    <row r="5" spans="1:100" x14ac:dyDescent="0.2">
      <c r="A5" s="14"/>
      <c r="B5" s="14"/>
      <c r="C5" s="14"/>
      <c r="D5" s="14"/>
      <c r="E5" s="14"/>
      <c r="F5" s="14"/>
      <c r="G5" s="14"/>
      <c r="H5" s="14"/>
      <c r="I5" s="14"/>
      <c r="J5" s="14"/>
      <c r="K5" s="14"/>
      <c r="L5" s="15"/>
      <c r="M5" s="14"/>
      <c r="N5" s="14"/>
      <c r="O5" s="14"/>
      <c r="P5" s="14"/>
      <c r="Q5" s="16"/>
      <c r="R5" s="14"/>
      <c r="Z5" s="16"/>
      <c r="AC5" s="14"/>
      <c r="AD5" s="14"/>
      <c r="AE5" s="14"/>
      <c r="AF5" s="14"/>
      <c r="AG5" s="14"/>
      <c r="AH5" s="14"/>
      <c r="AI5" s="14"/>
      <c r="AJ5" s="14"/>
      <c r="AK5" s="14"/>
      <c r="AL5" s="14"/>
      <c r="AS5" s="14"/>
      <c r="AT5" s="14"/>
      <c r="AU5" s="14"/>
      <c r="AV5" s="14"/>
      <c r="AW5" s="14"/>
      <c r="AX5" s="14"/>
      <c r="AY5" s="14"/>
      <c r="BA5" s="14"/>
      <c r="BE5" s="16"/>
      <c r="BH5" s="14"/>
      <c r="BI5" s="14"/>
      <c r="BJ5" s="14"/>
      <c r="BK5" s="14"/>
      <c r="BL5" s="14"/>
      <c r="BM5" s="14"/>
      <c r="BN5" s="14"/>
      <c r="BO5" s="14"/>
      <c r="BP5" s="14"/>
      <c r="BQ5" s="14"/>
      <c r="BX5" s="14"/>
      <c r="BY5" s="14"/>
      <c r="BZ5" s="14"/>
      <c r="CA5" s="14"/>
      <c r="CB5" s="14"/>
      <c r="CC5" s="14"/>
      <c r="CD5" s="14"/>
      <c r="CF5" s="14"/>
      <c r="CJ5" s="16"/>
      <c r="CM5" s="14"/>
      <c r="CN5" s="14"/>
      <c r="CO5" s="14"/>
      <c r="CP5" s="14"/>
      <c r="CQ5" s="14"/>
      <c r="CR5" s="14"/>
      <c r="CS5" s="14"/>
      <c r="CT5" s="14"/>
      <c r="CU5" s="14"/>
      <c r="CV5" s="14"/>
    </row>
    <row r="6" spans="1:100" x14ac:dyDescent="0.2">
      <c r="A6" s="14"/>
      <c r="B6" s="14"/>
      <c r="C6" s="14"/>
      <c r="D6" s="14"/>
      <c r="E6" s="14"/>
      <c r="F6" s="14"/>
      <c r="G6" s="14"/>
      <c r="H6" s="14"/>
      <c r="I6" s="14"/>
      <c r="J6" s="14"/>
      <c r="K6" s="14"/>
      <c r="L6" s="15"/>
      <c r="M6" s="14"/>
      <c r="N6" s="14"/>
      <c r="O6" s="14"/>
      <c r="P6" s="14"/>
      <c r="Q6" s="16"/>
      <c r="R6" s="14"/>
      <c r="Z6" s="16"/>
      <c r="AC6" s="14"/>
      <c r="AD6" s="14"/>
      <c r="AE6" s="14"/>
      <c r="AF6" s="14"/>
      <c r="AG6" s="14"/>
      <c r="AH6" s="14"/>
      <c r="AI6" s="14"/>
      <c r="AJ6" s="14"/>
      <c r="AK6" s="14"/>
      <c r="AL6" s="14"/>
      <c r="AS6" s="14"/>
      <c r="AT6" s="14"/>
      <c r="AU6" s="14"/>
      <c r="AV6" s="14"/>
      <c r="AW6" s="14"/>
      <c r="AX6" s="14"/>
      <c r="AY6" s="14"/>
      <c r="BA6" s="14"/>
      <c r="BE6" s="16"/>
      <c r="BH6" s="14"/>
      <c r="BI6" s="14"/>
      <c r="BJ6" s="14"/>
      <c r="BK6" s="14"/>
      <c r="BL6" s="14"/>
      <c r="BM6" s="14"/>
      <c r="BN6" s="14"/>
      <c r="BO6" s="14"/>
      <c r="BP6" s="14"/>
      <c r="BQ6" s="14"/>
      <c r="BX6" s="14"/>
      <c r="BY6" s="14"/>
      <c r="BZ6" s="14"/>
      <c r="CA6" s="14"/>
      <c r="CB6" s="14"/>
      <c r="CC6" s="14"/>
      <c r="CD6" s="14"/>
      <c r="CF6" s="14"/>
      <c r="CJ6" s="16"/>
      <c r="CM6" s="14"/>
      <c r="CN6" s="14"/>
      <c r="CO6" s="14"/>
      <c r="CP6" s="14"/>
      <c r="CQ6" s="14"/>
      <c r="CR6" s="14"/>
      <c r="CS6" s="14"/>
      <c r="CT6" s="14"/>
      <c r="CU6" s="14"/>
      <c r="CV6" s="14"/>
    </row>
    <row r="7" spans="1:100" x14ac:dyDescent="0.2">
      <c r="A7" s="14"/>
      <c r="B7" s="14"/>
      <c r="C7" s="14"/>
      <c r="D7" s="14"/>
      <c r="E7" s="14"/>
      <c r="F7" s="14"/>
      <c r="G7" s="14"/>
      <c r="H7" s="14"/>
      <c r="I7" s="14"/>
      <c r="J7" s="14"/>
      <c r="K7" s="14"/>
      <c r="L7" s="15"/>
      <c r="M7" s="14"/>
      <c r="N7" s="14"/>
      <c r="O7" s="14"/>
      <c r="P7" s="14"/>
      <c r="Q7" s="16"/>
      <c r="R7" s="14"/>
      <c r="Z7" s="16"/>
      <c r="AC7" s="14"/>
      <c r="AD7" s="14"/>
      <c r="AE7" s="14"/>
      <c r="AF7" s="14"/>
      <c r="AG7" s="14"/>
      <c r="AH7" s="14"/>
      <c r="AI7" s="14"/>
      <c r="AJ7" s="14"/>
      <c r="AK7" s="14"/>
      <c r="AL7" s="14"/>
      <c r="AS7" s="14"/>
      <c r="AT7" s="14"/>
      <c r="AU7" s="14"/>
      <c r="AV7" s="14"/>
      <c r="AW7" s="14"/>
      <c r="AX7" s="14"/>
      <c r="AY7" s="14"/>
      <c r="BA7" s="14"/>
      <c r="BE7" s="16"/>
      <c r="BH7" s="14"/>
      <c r="BI7" s="14"/>
      <c r="BJ7" s="14"/>
      <c r="BK7" s="14"/>
      <c r="BL7" s="14"/>
      <c r="BM7" s="14"/>
      <c r="BN7" s="14"/>
      <c r="BO7" s="14"/>
      <c r="BP7" s="14"/>
      <c r="BQ7" s="14"/>
      <c r="BX7" s="14"/>
      <c r="BY7" s="14"/>
      <c r="BZ7" s="14"/>
      <c r="CA7" s="14"/>
      <c r="CB7" s="14"/>
      <c r="CC7" s="14"/>
      <c r="CD7" s="14"/>
      <c r="CF7" s="14"/>
      <c r="CJ7" s="16"/>
      <c r="CM7" s="14"/>
      <c r="CN7" s="14"/>
      <c r="CO7" s="14"/>
      <c r="CP7" s="14"/>
      <c r="CQ7" s="14"/>
      <c r="CR7" s="14"/>
      <c r="CS7" s="14"/>
      <c r="CT7" s="14"/>
      <c r="CU7" s="14"/>
      <c r="CV7" s="14"/>
    </row>
    <row r="8" spans="1:100" x14ac:dyDescent="0.2">
      <c r="A8" s="14"/>
      <c r="B8" s="14"/>
      <c r="C8" s="14"/>
      <c r="D8" s="14"/>
      <c r="E8" s="14"/>
      <c r="F8" s="14"/>
      <c r="G8" s="14"/>
      <c r="H8" s="14"/>
      <c r="I8" s="14"/>
      <c r="J8" s="14"/>
      <c r="K8" s="14"/>
      <c r="L8" s="15"/>
      <c r="M8" s="14"/>
      <c r="N8" s="14"/>
      <c r="O8" s="14"/>
      <c r="P8" s="14"/>
      <c r="Q8" s="16"/>
      <c r="R8" s="14"/>
      <c r="Z8" s="16"/>
      <c r="AC8" s="14"/>
      <c r="AD8" s="14"/>
      <c r="AE8" s="14"/>
      <c r="AF8" s="14"/>
      <c r="AG8" s="14"/>
      <c r="AH8" s="14"/>
      <c r="AI8" s="14"/>
      <c r="AJ8" s="14"/>
      <c r="AK8" s="14"/>
      <c r="AL8" s="14"/>
      <c r="AS8" s="14"/>
      <c r="AT8" s="14"/>
      <c r="AU8" s="14"/>
      <c r="AV8" s="14"/>
      <c r="AW8" s="14"/>
      <c r="AX8" s="14"/>
      <c r="AY8" s="14"/>
      <c r="BA8" s="14"/>
      <c r="BE8" s="16"/>
      <c r="BH8" s="14"/>
      <c r="BI8" s="14"/>
      <c r="BJ8" s="14"/>
      <c r="BK8" s="14"/>
      <c r="BL8" s="14"/>
      <c r="BM8" s="14"/>
      <c r="BN8" s="14"/>
      <c r="BO8" s="14"/>
      <c r="BP8" s="14"/>
      <c r="BQ8" s="14"/>
      <c r="BX8" s="14"/>
      <c r="BY8" s="14"/>
      <c r="BZ8" s="14"/>
      <c r="CA8" s="14"/>
      <c r="CB8" s="14"/>
      <c r="CC8" s="14"/>
      <c r="CD8" s="14"/>
      <c r="CF8" s="14"/>
      <c r="CJ8" s="16"/>
      <c r="CM8" s="14"/>
      <c r="CN8" s="14"/>
      <c r="CO8" s="14"/>
      <c r="CP8" s="14"/>
      <c r="CQ8" s="14"/>
      <c r="CR8" s="14"/>
      <c r="CS8" s="14"/>
      <c r="CT8" s="14"/>
      <c r="CU8" s="14"/>
      <c r="CV8" s="14"/>
    </row>
    <row r="9" spans="1:100" x14ac:dyDescent="0.2">
      <c r="A9" s="14"/>
      <c r="B9" s="14"/>
      <c r="C9" s="14"/>
      <c r="D9" s="14"/>
      <c r="E9" s="14"/>
      <c r="F9" s="14"/>
      <c r="G9" s="14"/>
      <c r="H9" s="14"/>
      <c r="I9" s="14"/>
      <c r="J9" s="14"/>
      <c r="K9" s="14"/>
      <c r="L9" s="15"/>
      <c r="M9" s="14"/>
      <c r="N9" s="14"/>
      <c r="O9" s="14"/>
      <c r="P9" s="14"/>
      <c r="Q9" s="16"/>
      <c r="R9" s="14"/>
      <c r="Z9" s="16"/>
      <c r="AC9" s="14"/>
      <c r="AD9" s="14"/>
      <c r="AE9" s="14"/>
      <c r="AF9" s="14"/>
      <c r="AG9" s="14"/>
      <c r="AH9" s="14"/>
      <c r="AI9" s="14"/>
      <c r="AJ9" s="14"/>
      <c r="AK9" s="14"/>
      <c r="AL9" s="14"/>
      <c r="AS9" s="14"/>
      <c r="AT9" s="14"/>
      <c r="AU9" s="14"/>
      <c r="AV9" s="14"/>
      <c r="AW9" s="14"/>
      <c r="AX9" s="14"/>
      <c r="AY9" s="14"/>
      <c r="BA9" s="14"/>
      <c r="BE9" s="16"/>
      <c r="BH9" s="14"/>
      <c r="BI9" s="14"/>
      <c r="BJ9" s="14"/>
      <c r="BK9" s="14"/>
      <c r="BL9" s="14"/>
      <c r="BM9" s="14"/>
      <c r="BN9" s="14"/>
      <c r="BO9" s="14"/>
      <c r="BP9" s="14"/>
      <c r="BQ9" s="14"/>
      <c r="BX9" s="14"/>
      <c r="BY9" s="14"/>
      <c r="BZ9" s="14"/>
      <c r="CA9" s="14"/>
      <c r="CB9" s="14"/>
      <c r="CC9" s="14"/>
      <c r="CD9" s="14"/>
      <c r="CF9" s="14"/>
      <c r="CJ9" s="16"/>
      <c r="CM9" s="14"/>
      <c r="CN9" s="14"/>
      <c r="CO9" s="14"/>
      <c r="CP9" s="14"/>
      <c r="CQ9" s="14"/>
      <c r="CR9" s="14"/>
      <c r="CS9" s="14"/>
      <c r="CT9" s="14"/>
      <c r="CU9" s="14"/>
      <c r="CV9" s="14"/>
    </row>
    <row r="10" spans="1:100" x14ac:dyDescent="0.2">
      <c r="A10" s="14"/>
      <c r="B10" s="14"/>
      <c r="C10" s="14"/>
      <c r="D10" s="14"/>
      <c r="E10" s="14"/>
      <c r="F10" s="14"/>
      <c r="G10" s="14"/>
      <c r="H10" s="14"/>
      <c r="I10" s="14"/>
      <c r="J10" s="14"/>
      <c r="K10" s="14"/>
      <c r="L10" s="15"/>
      <c r="M10" s="14"/>
      <c r="N10" s="14"/>
      <c r="O10" s="14"/>
      <c r="P10" s="14"/>
      <c r="Q10" s="16"/>
      <c r="R10" s="14"/>
      <c r="Z10" s="16"/>
      <c r="AC10" s="14"/>
      <c r="AD10" s="14"/>
      <c r="AE10" s="14"/>
      <c r="AF10" s="14"/>
      <c r="AG10" s="14"/>
      <c r="AH10" s="14"/>
      <c r="AI10" s="14"/>
      <c r="AJ10" s="14"/>
      <c r="AK10" s="14"/>
      <c r="AL10" s="14"/>
      <c r="AS10" s="14"/>
      <c r="AT10" s="14"/>
      <c r="AU10" s="14"/>
      <c r="AV10" s="14"/>
      <c r="AW10" s="14"/>
      <c r="AX10" s="14"/>
      <c r="AY10" s="14"/>
      <c r="BA10" s="14"/>
      <c r="BE10" s="16"/>
      <c r="BH10" s="14"/>
      <c r="BI10" s="14"/>
      <c r="BJ10" s="14"/>
      <c r="BK10" s="14"/>
      <c r="BL10" s="14"/>
      <c r="BM10" s="14"/>
      <c r="BN10" s="14"/>
      <c r="BO10" s="14"/>
      <c r="BP10" s="14"/>
      <c r="BQ10" s="14"/>
      <c r="BX10" s="14"/>
      <c r="BY10" s="14"/>
      <c r="BZ10" s="14"/>
      <c r="CA10" s="14"/>
      <c r="CB10" s="14"/>
      <c r="CC10" s="14"/>
      <c r="CD10" s="14"/>
      <c r="CF10" s="14"/>
      <c r="CJ10" s="16"/>
      <c r="CM10" s="14"/>
      <c r="CN10" s="14"/>
      <c r="CO10" s="14"/>
      <c r="CP10" s="14"/>
      <c r="CQ10" s="14"/>
      <c r="CR10" s="14"/>
      <c r="CS10" s="14"/>
      <c r="CT10" s="14"/>
      <c r="CU10" s="14"/>
      <c r="CV10" s="14"/>
    </row>
    <row r="11" spans="1:100" x14ac:dyDescent="0.2">
      <c r="A11" s="14"/>
      <c r="B11" s="14"/>
      <c r="C11" s="14"/>
      <c r="D11" s="14"/>
      <c r="E11" s="14"/>
      <c r="F11" s="14"/>
      <c r="G11" s="14"/>
      <c r="H11" s="14"/>
      <c r="I11" s="14"/>
      <c r="J11" s="14"/>
      <c r="K11" s="14"/>
      <c r="L11" s="15"/>
      <c r="M11" s="14"/>
      <c r="N11" s="14"/>
      <c r="O11" s="14"/>
      <c r="P11" s="14"/>
      <c r="Q11" s="16"/>
      <c r="R11" s="14"/>
      <c r="Z11" s="16"/>
      <c r="AC11" s="14"/>
      <c r="AD11" s="14"/>
      <c r="AE11" s="14"/>
      <c r="AF11" s="14"/>
      <c r="AG11" s="14"/>
      <c r="AH11" s="14"/>
      <c r="AI11" s="14"/>
      <c r="AJ11" s="14"/>
      <c r="AK11" s="14"/>
      <c r="AL11" s="14"/>
      <c r="AS11" s="14"/>
      <c r="AT11" s="14"/>
      <c r="AU11" s="14"/>
      <c r="AV11" s="14"/>
      <c r="AW11" s="14"/>
      <c r="AX11" s="14"/>
      <c r="AY11" s="14"/>
      <c r="BA11" s="14"/>
      <c r="BE11" s="16"/>
      <c r="BH11" s="14"/>
      <c r="BI11" s="14"/>
      <c r="BJ11" s="14"/>
      <c r="BK11" s="14"/>
      <c r="BL11" s="14"/>
      <c r="BM11" s="14"/>
      <c r="BN11" s="14"/>
      <c r="BO11" s="14"/>
      <c r="BP11" s="14"/>
      <c r="BQ11" s="14"/>
      <c r="BX11" s="14"/>
      <c r="BY11" s="14"/>
      <c r="BZ11" s="14"/>
      <c r="CA11" s="14"/>
      <c r="CB11" s="14"/>
      <c r="CC11" s="14"/>
      <c r="CD11" s="14"/>
      <c r="CF11" s="14"/>
      <c r="CJ11" s="16"/>
      <c r="CM11" s="14"/>
      <c r="CN11" s="14"/>
      <c r="CO11" s="14"/>
      <c r="CP11" s="14"/>
      <c r="CQ11" s="14"/>
      <c r="CR11" s="14"/>
      <c r="CS11" s="14"/>
      <c r="CT11" s="14"/>
      <c r="CU11" s="14"/>
      <c r="CV11" s="14"/>
    </row>
    <row r="12" spans="1:100" x14ac:dyDescent="0.2">
      <c r="A12" s="14"/>
      <c r="B12" s="14"/>
      <c r="C12" s="14"/>
      <c r="D12" s="14"/>
      <c r="E12" s="14"/>
      <c r="F12" s="14"/>
      <c r="G12" s="14"/>
      <c r="H12" s="14"/>
      <c r="I12" s="14"/>
      <c r="J12" s="14"/>
      <c r="K12" s="14"/>
      <c r="L12" s="15"/>
      <c r="M12" s="14"/>
      <c r="N12" s="14"/>
      <c r="O12" s="14"/>
      <c r="P12" s="14"/>
      <c r="Q12" s="16"/>
      <c r="R12" s="14"/>
      <c r="Z12" s="16"/>
      <c r="AC12" s="14"/>
      <c r="AD12" s="14"/>
      <c r="AE12" s="14"/>
      <c r="AF12" s="14"/>
      <c r="AG12" s="14"/>
      <c r="AH12" s="14"/>
      <c r="AI12" s="14"/>
      <c r="AJ12" s="14"/>
      <c r="AK12" s="14"/>
      <c r="AL12" s="14"/>
      <c r="AS12" s="14"/>
      <c r="AT12" s="14"/>
      <c r="AU12" s="14"/>
      <c r="AV12" s="14"/>
      <c r="AW12" s="14"/>
      <c r="AX12" s="14"/>
      <c r="AY12" s="14"/>
      <c r="BA12" s="14"/>
      <c r="BE12" s="16"/>
      <c r="BH12" s="14"/>
      <c r="BI12" s="14"/>
      <c r="BJ12" s="14"/>
      <c r="BK12" s="14"/>
      <c r="BL12" s="14"/>
      <c r="BM12" s="14"/>
      <c r="BN12" s="14"/>
      <c r="BO12" s="14"/>
      <c r="BP12" s="14"/>
      <c r="BQ12" s="14"/>
      <c r="BX12" s="14"/>
      <c r="BY12" s="14"/>
      <c r="BZ12" s="14"/>
      <c r="CA12" s="14"/>
      <c r="CB12" s="14"/>
      <c r="CC12" s="14"/>
      <c r="CD12" s="14"/>
      <c r="CF12" s="14"/>
      <c r="CJ12" s="16"/>
      <c r="CM12" s="14"/>
      <c r="CN12" s="14"/>
      <c r="CO12" s="14"/>
      <c r="CP12" s="14"/>
      <c r="CQ12" s="14"/>
      <c r="CR12" s="14"/>
      <c r="CS12" s="14"/>
      <c r="CT12" s="14"/>
      <c r="CU12" s="14"/>
      <c r="CV12" s="14"/>
    </row>
    <row r="13" spans="1:100" x14ac:dyDescent="0.2">
      <c r="A13" s="14"/>
      <c r="B13" s="14"/>
      <c r="C13" s="14"/>
      <c r="D13" s="14"/>
      <c r="E13" s="14"/>
      <c r="F13" s="14"/>
      <c r="G13" s="14"/>
      <c r="H13" s="14"/>
      <c r="I13" s="14"/>
      <c r="J13" s="14"/>
      <c r="K13" s="14"/>
      <c r="L13" s="15"/>
      <c r="M13" s="14"/>
      <c r="N13" s="14"/>
      <c r="O13" s="14"/>
      <c r="P13" s="14"/>
      <c r="Q13" s="16"/>
      <c r="R13" s="14"/>
      <c r="Z13" s="16"/>
      <c r="AC13" s="14"/>
      <c r="AD13" s="14"/>
      <c r="AE13" s="14"/>
      <c r="AF13" s="14"/>
      <c r="AG13" s="14"/>
      <c r="AH13" s="14"/>
      <c r="AI13" s="14"/>
      <c r="AJ13" s="14"/>
      <c r="AK13" s="14"/>
      <c r="AL13" s="14"/>
      <c r="AS13" s="14"/>
      <c r="AT13" s="14"/>
      <c r="AU13" s="14"/>
      <c r="AV13" s="14"/>
      <c r="AW13" s="14"/>
      <c r="AX13" s="14"/>
      <c r="AY13" s="14"/>
      <c r="BA13" s="14"/>
      <c r="BE13" s="16"/>
      <c r="BH13" s="14"/>
      <c r="BI13" s="14"/>
      <c r="BJ13" s="14"/>
      <c r="BK13" s="14"/>
      <c r="BL13" s="14"/>
      <c r="BM13" s="14"/>
      <c r="BN13" s="14"/>
      <c r="BO13" s="14"/>
      <c r="BP13" s="14"/>
      <c r="BQ13" s="14"/>
      <c r="BX13" s="14"/>
      <c r="BY13" s="14"/>
      <c r="BZ13" s="14"/>
      <c r="CA13" s="14"/>
      <c r="CB13" s="14"/>
      <c r="CC13" s="14"/>
      <c r="CD13" s="14"/>
      <c r="CF13" s="14"/>
      <c r="CJ13" s="16"/>
      <c r="CM13" s="14"/>
      <c r="CN13" s="14"/>
      <c r="CO13" s="14"/>
      <c r="CP13" s="14"/>
      <c r="CQ13" s="14"/>
      <c r="CR13" s="14"/>
      <c r="CS13" s="14"/>
      <c r="CT13" s="14"/>
      <c r="CU13" s="14"/>
      <c r="CV13" s="14"/>
    </row>
    <row r="14" spans="1:100" x14ac:dyDescent="0.2">
      <c r="A14" s="14"/>
      <c r="B14" s="14"/>
      <c r="C14" s="14"/>
      <c r="D14" s="14"/>
      <c r="E14" s="14"/>
      <c r="F14" s="14"/>
      <c r="G14" s="14"/>
      <c r="H14" s="14"/>
      <c r="I14" s="14"/>
      <c r="J14" s="14"/>
      <c r="K14" s="14"/>
      <c r="L14" s="15"/>
      <c r="M14" s="14"/>
      <c r="N14" s="14"/>
      <c r="O14" s="14"/>
      <c r="P14" s="14"/>
      <c r="Q14" s="16"/>
      <c r="R14" s="14"/>
      <c r="Z14" s="16"/>
      <c r="AC14" s="14"/>
      <c r="AD14" s="14"/>
      <c r="AE14" s="14"/>
      <c r="AF14" s="14"/>
      <c r="AG14" s="14"/>
      <c r="AH14" s="14"/>
      <c r="AI14" s="14"/>
      <c r="AJ14" s="14"/>
      <c r="AK14" s="14"/>
      <c r="AL14" s="14"/>
      <c r="AS14" s="14"/>
      <c r="AT14" s="14"/>
      <c r="AU14" s="14"/>
      <c r="AV14" s="14"/>
      <c r="AW14" s="14"/>
      <c r="AX14" s="14"/>
      <c r="AY14" s="14"/>
      <c r="BA14" s="14"/>
      <c r="BE14" s="16"/>
      <c r="BH14" s="14"/>
      <c r="BI14" s="14"/>
      <c r="BJ14" s="14"/>
      <c r="BK14" s="14"/>
      <c r="BL14" s="14"/>
      <c r="BM14" s="14"/>
      <c r="BN14" s="14"/>
      <c r="BO14" s="14"/>
      <c r="BP14" s="14"/>
      <c r="BQ14" s="14"/>
      <c r="BX14" s="14"/>
      <c r="BY14" s="14"/>
      <c r="BZ14" s="14"/>
      <c r="CA14" s="14"/>
      <c r="CB14" s="14"/>
      <c r="CC14" s="14"/>
      <c r="CD14" s="14"/>
      <c r="CF14" s="14"/>
      <c r="CJ14" s="16"/>
      <c r="CM14" s="14"/>
      <c r="CN14" s="14"/>
      <c r="CO14" s="14"/>
      <c r="CP14" s="14"/>
      <c r="CQ14" s="14"/>
      <c r="CR14" s="14"/>
      <c r="CS14" s="14"/>
      <c r="CT14" s="14"/>
      <c r="CU14" s="14"/>
      <c r="CV14" s="14"/>
    </row>
    <row r="15" spans="1:100" x14ac:dyDescent="0.2">
      <c r="A15" s="14"/>
      <c r="B15" s="14"/>
      <c r="C15" s="14"/>
      <c r="D15" s="14"/>
      <c r="E15" s="14"/>
      <c r="F15" s="14"/>
      <c r="G15" s="14"/>
      <c r="H15" s="14"/>
      <c r="I15" s="14"/>
      <c r="J15" s="14"/>
      <c r="K15" s="14"/>
      <c r="L15" s="15"/>
      <c r="M15" s="14"/>
      <c r="N15" s="14"/>
      <c r="O15" s="14"/>
      <c r="P15" s="14"/>
      <c r="Q15" s="16"/>
      <c r="R15" s="14"/>
      <c r="Z15" s="16"/>
      <c r="AC15" s="14"/>
      <c r="AD15" s="14"/>
      <c r="AE15" s="14"/>
      <c r="AF15" s="14"/>
      <c r="AG15" s="14"/>
      <c r="AH15" s="14"/>
      <c r="AI15" s="14"/>
      <c r="AJ15" s="14"/>
      <c r="AK15" s="14"/>
      <c r="AL15" s="14"/>
      <c r="AS15" s="14"/>
      <c r="AT15" s="14"/>
      <c r="AU15" s="14"/>
      <c r="AV15" s="14"/>
      <c r="AW15" s="14"/>
      <c r="AX15" s="14"/>
      <c r="AY15" s="14"/>
      <c r="BA15" s="14"/>
      <c r="BE15" s="16"/>
      <c r="BH15" s="14"/>
      <c r="BI15" s="14"/>
      <c r="BJ15" s="14"/>
      <c r="BK15" s="14"/>
      <c r="BL15" s="14"/>
      <c r="BM15" s="14"/>
      <c r="BN15" s="14"/>
      <c r="BO15" s="14"/>
      <c r="BP15" s="14"/>
      <c r="BQ15" s="14"/>
      <c r="BX15" s="14"/>
      <c r="BY15" s="14"/>
      <c r="BZ15" s="14"/>
      <c r="CA15" s="14"/>
      <c r="CB15" s="14"/>
      <c r="CC15" s="14"/>
      <c r="CD15" s="14"/>
      <c r="CF15" s="14"/>
      <c r="CJ15" s="16"/>
      <c r="CM15" s="14"/>
      <c r="CN15" s="14"/>
      <c r="CO15" s="14"/>
      <c r="CP15" s="14"/>
      <c r="CQ15" s="14"/>
      <c r="CR15" s="14"/>
      <c r="CS15" s="14"/>
      <c r="CT15" s="14"/>
      <c r="CU15" s="14"/>
      <c r="CV15" s="14"/>
    </row>
    <row r="16" spans="1:100" x14ac:dyDescent="0.2">
      <c r="A16" s="14"/>
      <c r="B16" s="14"/>
      <c r="C16" s="14"/>
      <c r="D16" s="14"/>
      <c r="E16" s="14"/>
      <c r="F16" s="14"/>
      <c r="G16" s="14"/>
      <c r="H16" s="14"/>
      <c r="I16" s="14"/>
      <c r="J16" s="14"/>
      <c r="K16" s="14"/>
      <c r="L16" s="15"/>
      <c r="M16" s="14"/>
      <c r="N16" s="14"/>
      <c r="O16" s="14"/>
      <c r="P16" s="14"/>
      <c r="Q16" s="16"/>
      <c r="R16" s="14"/>
      <c r="Z16" s="16"/>
      <c r="AC16" s="14"/>
      <c r="AD16" s="14"/>
      <c r="AE16" s="14"/>
      <c r="AF16" s="14"/>
      <c r="AG16" s="14"/>
      <c r="AH16" s="14"/>
      <c r="AI16" s="14"/>
      <c r="AJ16" s="14"/>
      <c r="AK16" s="14"/>
      <c r="AL16" s="14"/>
      <c r="AS16" s="14"/>
      <c r="AT16" s="14"/>
      <c r="AU16" s="14"/>
      <c r="AV16" s="14"/>
      <c r="AW16" s="14"/>
      <c r="AX16" s="14"/>
      <c r="AY16" s="14"/>
      <c r="BA16" s="14"/>
      <c r="BE16" s="16"/>
      <c r="BH16" s="14"/>
      <c r="BI16" s="14"/>
      <c r="BJ16" s="14"/>
      <c r="BK16" s="14"/>
      <c r="BL16" s="14"/>
      <c r="BM16" s="14"/>
      <c r="BN16" s="14"/>
      <c r="BO16" s="14"/>
      <c r="BP16" s="14"/>
      <c r="BQ16" s="14"/>
      <c r="BX16" s="14"/>
      <c r="BY16" s="14"/>
      <c r="BZ16" s="14"/>
      <c r="CA16" s="14"/>
      <c r="CB16" s="14"/>
      <c r="CC16" s="14"/>
      <c r="CD16" s="14"/>
      <c r="CF16" s="14"/>
      <c r="CJ16" s="16"/>
      <c r="CM16" s="14"/>
      <c r="CN16" s="14"/>
      <c r="CO16" s="14"/>
      <c r="CP16" s="14"/>
      <c r="CQ16" s="14"/>
      <c r="CR16" s="14"/>
      <c r="CS16" s="14"/>
      <c r="CT16" s="14"/>
      <c r="CU16" s="14"/>
      <c r="CV16" s="14"/>
    </row>
    <row r="17" spans="1:100" x14ac:dyDescent="0.2">
      <c r="A17" s="14"/>
      <c r="B17" s="14"/>
      <c r="C17" s="14"/>
      <c r="D17" s="14"/>
      <c r="E17" s="14"/>
      <c r="F17" s="14"/>
      <c r="G17" s="14"/>
      <c r="H17" s="14"/>
      <c r="I17" s="14"/>
      <c r="J17" s="14"/>
      <c r="K17" s="14"/>
      <c r="L17" s="15"/>
      <c r="M17" s="14"/>
      <c r="N17" s="14"/>
      <c r="O17" s="14"/>
      <c r="P17" s="14"/>
      <c r="Q17" s="16"/>
      <c r="R17" s="14"/>
      <c r="Z17" s="16"/>
      <c r="AC17" s="14"/>
      <c r="AD17" s="14"/>
      <c r="AE17" s="14"/>
      <c r="AF17" s="14"/>
      <c r="AG17" s="14"/>
      <c r="AH17" s="14"/>
      <c r="AI17" s="14"/>
      <c r="AJ17" s="14"/>
      <c r="AK17" s="14"/>
      <c r="AL17" s="14"/>
      <c r="AS17" s="14"/>
      <c r="AT17" s="14"/>
      <c r="AU17" s="14"/>
      <c r="AV17" s="14"/>
      <c r="AW17" s="14"/>
      <c r="AX17" s="14"/>
      <c r="AY17" s="14"/>
      <c r="BA17" s="14"/>
      <c r="BE17" s="16"/>
      <c r="BH17" s="14"/>
      <c r="BI17" s="14"/>
      <c r="BJ17" s="14"/>
      <c r="BK17" s="14"/>
      <c r="BL17" s="14"/>
      <c r="BM17" s="14"/>
      <c r="BN17" s="14"/>
      <c r="BO17" s="14"/>
      <c r="BP17" s="14"/>
      <c r="BQ17" s="14"/>
      <c r="BX17" s="14"/>
      <c r="BY17" s="14"/>
      <c r="BZ17" s="14"/>
      <c r="CA17" s="14"/>
      <c r="CB17" s="14"/>
      <c r="CC17" s="14"/>
      <c r="CD17" s="14"/>
      <c r="CF17" s="14"/>
      <c r="CJ17" s="16"/>
      <c r="CM17" s="14"/>
      <c r="CN17" s="14"/>
      <c r="CO17" s="14"/>
      <c r="CP17" s="14"/>
      <c r="CQ17" s="14"/>
      <c r="CR17" s="14"/>
      <c r="CS17" s="14"/>
      <c r="CT17" s="14"/>
      <c r="CU17" s="14"/>
      <c r="CV17" s="14"/>
    </row>
    <row r="18" spans="1:100" x14ac:dyDescent="0.2">
      <c r="A18" s="14"/>
      <c r="B18" s="14"/>
      <c r="C18" s="14"/>
      <c r="D18" s="14"/>
      <c r="E18" s="14"/>
      <c r="F18" s="14"/>
      <c r="G18" s="14"/>
      <c r="H18" s="14"/>
      <c r="I18" s="14"/>
      <c r="J18" s="14"/>
      <c r="K18" s="14"/>
      <c r="L18" s="15"/>
      <c r="M18" s="14"/>
      <c r="N18" s="14"/>
      <c r="O18" s="14"/>
      <c r="P18" s="14"/>
      <c r="Q18" s="16"/>
      <c r="R18" s="14"/>
      <c r="Z18" s="16"/>
      <c r="AC18" s="14"/>
      <c r="AD18" s="14"/>
      <c r="AE18" s="14"/>
      <c r="AF18" s="14"/>
      <c r="AG18" s="14"/>
      <c r="AH18" s="14"/>
      <c r="AI18" s="14"/>
      <c r="AJ18" s="14"/>
      <c r="AK18" s="14"/>
      <c r="AL18" s="14"/>
      <c r="AS18" s="14"/>
      <c r="AT18" s="14"/>
      <c r="AU18" s="14"/>
      <c r="AV18" s="14"/>
      <c r="AW18" s="14"/>
      <c r="AX18" s="14"/>
      <c r="AY18" s="14"/>
      <c r="BA18" s="14"/>
      <c r="BE18" s="16"/>
      <c r="BH18" s="14"/>
      <c r="BI18" s="14"/>
      <c r="BJ18" s="14"/>
      <c r="BK18" s="14"/>
      <c r="BL18" s="14"/>
      <c r="BM18" s="14"/>
      <c r="BN18" s="14"/>
      <c r="BO18" s="14"/>
      <c r="BP18" s="14"/>
      <c r="BQ18" s="14"/>
      <c r="BX18" s="14"/>
      <c r="BY18" s="14"/>
      <c r="BZ18" s="14"/>
      <c r="CA18" s="14"/>
      <c r="CB18" s="14"/>
      <c r="CC18" s="14"/>
      <c r="CD18" s="14"/>
      <c r="CF18" s="14"/>
      <c r="CJ18" s="16"/>
      <c r="CM18" s="14"/>
      <c r="CN18" s="14"/>
      <c r="CO18" s="14"/>
      <c r="CP18" s="14"/>
      <c r="CQ18" s="14"/>
      <c r="CR18" s="14"/>
      <c r="CS18" s="14"/>
      <c r="CT18" s="14"/>
      <c r="CU18" s="14"/>
      <c r="CV18" s="14"/>
    </row>
    <row r="19" spans="1:100" x14ac:dyDescent="0.2">
      <c r="A19" s="14"/>
      <c r="B19" s="14"/>
      <c r="C19" s="14"/>
      <c r="D19" s="14"/>
      <c r="E19" s="14"/>
      <c r="F19" s="14"/>
      <c r="G19" s="14"/>
      <c r="H19" s="14"/>
      <c r="I19" s="14"/>
      <c r="J19" s="14"/>
      <c r="K19" s="14"/>
      <c r="L19" s="15"/>
      <c r="M19" s="14"/>
      <c r="N19" s="14"/>
      <c r="O19" s="14"/>
      <c r="P19" s="14"/>
      <c r="Q19" s="16"/>
      <c r="R19" s="14"/>
      <c r="Z19" s="16"/>
      <c r="AC19" s="14"/>
      <c r="AD19" s="14"/>
      <c r="AE19" s="14"/>
      <c r="AF19" s="14"/>
      <c r="AG19" s="14"/>
      <c r="AH19" s="14"/>
      <c r="AI19" s="14"/>
      <c r="AJ19" s="14"/>
      <c r="AK19" s="14"/>
      <c r="AL19" s="14"/>
      <c r="AS19" s="14"/>
      <c r="AT19" s="14"/>
      <c r="AU19" s="14"/>
      <c r="AV19" s="14"/>
      <c r="AW19" s="14"/>
      <c r="AX19" s="14"/>
      <c r="AY19" s="14"/>
      <c r="BA19" s="14"/>
      <c r="BE19" s="16"/>
      <c r="BH19" s="14"/>
      <c r="BI19" s="14"/>
      <c r="BJ19" s="14"/>
      <c r="BK19" s="14"/>
      <c r="BL19" s="14"/>
      <c r="BM19" s="14"/>
      <c r="BN19" s="14"/>
      <c r="BO19" s="14"/>
      <c r="BP19" s="14"/>
      <c r="BQ19" s="14"/>
      <c r="BX19" s="14"/>
      <c r="BY19" s="14"/>
      <c r="BZ19" s="14"/>
      <c r="CA19" s="14"/>
      <c r="CB19" s="14"/>
      <c r="CC19" s="14"/>
      <c r="CD19" s="14"/>
      <c r="CF19" s="14"/>
      <c r="CJ19" s="16"/>
      <c r="CM19" s="14"/>
      <c r="CN19" s="14"/>
      <c r="CO19" s="14"/>
      <c r="CP19" s="14"/>
      <c r="CQ19" s="14"/>
      <c r="CR19" s="14"/>
      <c r="CS19" s="14"/>
      <c r="CT19" s="14"/>
      <c r="CU19" s="14"/>
      <c r="CV19" s="14"/>
    </row>
    <row r="20" spans="1:100" x14ac:dyDescent="0.2">
      <c r="A20" s="14"/>
      <c r="B20" s="14"/>
      <c r="C20" s="14"/>
      <c r="D20" s="14"/>
      <c r="E20" s="14"/>
      <c r="F20" s="14"/>
      <c r="G20" s="14"/>
      <c r="H20" s="14"/>
      <c r="I20" s="14"/>
      <c r="J20" s="14"/>
      <c r="K20" s="14"/>
      <c r="L20" s="15"/>
      <c r="M20" s="14"/>
      <c r="N20" s="14"/>
      <c r="O20" s="14"/>
      <c r="P20" s="14"/>
      <c r="Q20" s="16"/>
      <c r="R20" s="14"/>
      <c r="Z20" s="16"/>
      <c r="AC20" s="14"/>
      <c r="AD20" s="14"/>
      <c r="AE20" s="14"/>
      <c r="AF20" s="14"/>
      <c r="AG20" s="14"/>
      <c r="AH20" s="14"/>
      <c r="AI20" s="14"/>
      <c r="AJ20" s="14"/>
      <c r="AK20" s="14"/>
      <c r="AL20" s="14"/>
      <c r="AS20" s="14"/>
      <c r="AT20" s="14"/>
      <c r="AU20" s="14"/>
      <c r="AV20" s="14"/>
      <c r="AW20" s="14"/>
      <c r="AX20" s="14"/>
      <c r="AY20" s="14"/>
      <c r="BA20" s="14"/>
      <c r="BE20" s="16"/>
      <c r="BH20" s="14"/>
      <c r="BI20" s="14"/>
      <c r="BJ20" s="14"/>
      <c r="BK20" s="14"/>
      <c r="BL20" s="14"/>
      <c r="BM20" s="14"/>
      <c r="BN20" s="14"/>
      <c r="BO20" s="14"/>
      <c r="BP20" s="14"/>
      <c r="BQ20" s="14"/>
      <c r="BX20" s="14"/>
      <c r="BY20" s="14"/>
      <c r="BZ20" s="14"/>
      <c r="CA20" s="14"/>
      <c r="CB20" s="14"/>
      <c r="CC20" s="14"/>
      <c r="CD20" s="14"/>
      <c r="CF20" s="14"/>
      <c r="CJ20" s="16"/>
      <c r="CM20" s="14"/>
      <c r="CN20" s="14"/>
      <c r="CO20" s="14"/>
      <c r="CP20" s="14"/>
      <c r="CQ20" s="14"/>
      <c r="CR20" s="14"/>
      <c r="CS20" s="14"/>
      <c r="CT20" s="14"/>
      <c r="CU20" s="14"/>
      <c r="CV20" s="14"/>
    </row>
    <row r="21" spans="1:100" x14ac:dyDescent="0.2">
      <c r="A21" s="14"/>
      <c r="B21" s="14"/>
      <c r="C21" s="14"/>
      <c r="D21" s="14"/>
      <c r="E21" s="14"/>
      <c r="F21" s="14"/>
      <c r="G21" s="14"/>
      <c r="H21" s="14"/>
      <c r="I21" s="14"/>
      <c r="J21" s="14"/>
      <c r="K21" s="14"/>
      <c r="L21" s="15"/>
      <c r="M21" s="14"/>
      <c r="N21" s="14"/>
      <c r="O21" s="14"/>
      <c r="P21" s="14"/>
      <c r="Q21" s="16"/>
      <c r="R21" s="14"/>
      <c r="Z21" s="16"/>
      <c r="AC21" s="14"/>
      <c r="AD21" s="14"/>
      <c r="AE21" s="14"/>
      <c r="AF21" s="14"/>
      <c r="AG21" s="14"/>
      <c r="AH21" s="14"/>
      <c r="AI21" s="14"/>
      <c r="AJ21" s="14"/>
      <c r="AK21" s="14"/>
      <c r="AL21" s="14"/>
      <c r="AS21" s="14"/>
      <c r="AT21" s="14"/>
      <c r="AU21" s="14"/>
      <c r="AV21" s="14"/>
      <c r="AW21" s="14"/>
      <c r="AX21" s="14"/>
      <c r="AY21" s="14"/>
      <c r="BA21" s="14"/>
      <c r="BE21" s="16"/>
      <c r="BH21" s="14"/>
      <c r="BI21" s="14"/>
      <c r="BJ21" s="14"/>
      <c r="BK21" s="14"/>
      <c r="BL21" s="14"/>
      <c r="BM21" s="14"/>
      <c r="BN21" s="14"/>
      <c r="BO21" s="14"/>
      <c r="BP21" s="14"/>
      <c r="BQ21" s="14"/>
      <c r="BX21" s="14"/>
      <c r="BY21" s="14"/>
      <c r="BZ21" s="14"/>
      <c r="CA21" s="14"/>
      <c r="CB21" s="14"/>
      <c r="CC21" s="14"/>
      <c r="CD21" s="14"/>
      <c r="CF21" s="14"/>
      <c r="CJ21" s="16"/>
      <c r="CM21" s="14"/>
      <c r="CN21" s="14"/>
      <c r="CO21" s="14"/>
      <c r="CP21" s="14"/>
      <c r="CQ21" s="14"/>
      <c r="CR21" s="14"/>
      <c r="CS21" s="14"/>
      <c r="CT21" s="14"/>
      <c r="CU21" s="14"/>
      <c r="CV21" s="14"/>
    </row>
    <row r="22" spans="1:100" x14ac:dyDescent="0.2">
      <c r="A22" s="14"/>
      <c r="B22" s="14"/>
      <c r="C22" s="14"/>
      <c r="D22" s="14"/>
      <c r="E22" s="14"/>
      <c r="F22" s="14"/>
      <c r="G22" s="14"/>
      <c r="H22" s="14"/>
      <c r="I22" s="14"/>
      <c r="J22" s="14"/>
      <c r="K22" s="14"/>
      <c r="L22" s="15"/>
      <c r="M22" s="14"/>
      <c r="N22" s="14"/>
      <c r="O22" s="14"/>
      <c r="P22" s="14"/>
      <c r="Q22" s="16"/>
      <c r="R22" s="14"/>
      <c r="Z22" s="16"/>
      <c r="AC22" s="14"/>
      <c r="AD22" s="14"/>
      <c r="AE22" s="14"/>
      <c r="AF22" s="14"/>
      <c r="AG22" s="14"/>
      <c r="AH22" s="14"/>
      <c r="AI22" s="14"/>
      <c r="AJ22" s="14"/>
      <c r="AK22" s="14"/>
      <c r="AL22" s="14"/>
      <c r="AS22" s="14"/>
      <c r="AT22" s="14"/>
      <c r="AU22" s="14"/>
      <c r="AV22" s="14"/>
      <c r="AW22" s="14"/>
      <c r="AX22" s="14"/>
      <c r="AY22" s="14"/>
      <c r="BA22" s="14"/>
      <c r="BE22" s="16"/>
      <c r="BH22" s="14"/>
      <c r="BI22" s="14"/>
      <c r="BJ22" s="14"/>
      <c r="BK22" s="14"/>
      <c r="BL22" s="14"/>
      <c r="BM22" s="14"/>
      <c r="BN22" s="14"/>
      <c r="BO22" s="14"/>
      <c r="BP22" s="14"/>
      <c r="BQ22" s="14"/>
      <c r="BX22" s="14"/>
      <c r="BY22" s="14"/>
      <c r="BZ22" s="14"/>
      <c r="CA22" s="14"/>
      <c r="CB22" s="14"/>
      <c r="CC22" s="14"/>
      <c r="CD22" s="14"/>
      <c r="CF22" s="14"/>
      <c r="CJ22" s="16"/>
      <c r="CM22" s="14"/>
      <c r="CN22" s="14"/>
      <c r="CO22" s="14"/>
      <c r="CP22" s="14"/>
      <c r="CQ22" s="14"/>
      <c r="CR22" s="14"/>
      <c r="CS22" s="14"/>
      <c r="CT22" s="14"/>
      <c r="CU22" s="14"/>
      <c r="CV22" s="14"/>
    </row>
    <row r="23" spans="1:100" x14ac:dyDescent="0.2">
      <c r="A23" s="14"/>
      <c r="B23" s="14"/>
      <c r="C23" s="14"/>
      <c r="D23" s="14"/>
      <c r="E23" s="14"/>
      <c r="F23" s="14"/>
      <c r="G23" s="14"/>
      <c r="H23" s="14"/>
      <c r="I23" s="14"/>
      <c r="J23" s="14"/>
      <c r="K23" s="14"/>
      <c r="L23" s="15"/>
      <c r="M23" s="14"/>
      <c r="N23" s="14"/>
      <c r="O23" s="14"/>
      <c r="P23" s="14"/>
      <c r="Q23" s="16"/>
      <c r="R23" s="14"/>
      <c r="Z23" s="16"/>
      <c r="AC23" s="14"/>
      <c r="AD23" s="14"/>
      <c r="AE23" s="14"/>
      <c r="AF23" s="14"/>
      <c r="AG23" s="14"/>
      <c r="AH23" s="14"/>
      <c r="AI23" s="14"/>
      <c r="AJ23" s="14"/>
      <c r="AK23" s="14"/>
      <c r="AL23" s="14"/>
      <c r="AS23" s="14"/>
      <c r="AT23" s="14"/>
      <c r="AU23" s="14"/>
      <c r="AV23" s="14"/>
      <c r="AW23" s="14"/>
      <c r="AX23" s="14"/>
      <c r="AY23" s="14"/>
      <c r="BA23" s="14"/>
      <c r="BE23" s="16"/>
      <c r="BH23" s="14"/>
      <c r="BI23" s="14"/>
      <c r="BJ23" s="14"/>
      <c r="BK23" s="14"/>
      <c r="BL23" s="14"/>
      <c r="BM23" s="14"/>
      <c r="BN23" s="14"/>
      <c r="BO23" s="14"/>
      <c r="BP23" s="14"/>
      <c r="BQ23" s="14"/>
      <c r="BX23" s="14"/>
      <c r="BY23" s="14"/>
      <c r="BZ23" s="14"/>
      <c r="CA23" s="14"/>
      <c r="CB23" s="14"/>
      <c r="CC23" s="14"/>
      <c r="CD23" s="14"/>
      <c r="CF23" s="14"/>
      <c r="CJ23" s="16"/>
      <c r="CM23" s="14"/>
      <c r="CN23" s="14"/>
      <c r="CO23" s="14"/>
      <c r="CP23" s="14"/>
      <c r="CQ23" s="14"/>
      <c r="CR23" s="14"/>
      <c r="CS23" s="14"/>
      <c r="CT23" s="14"/>
      <c r="CU23" s="14"/>
      <c r="CV23" s="14"/>
    </row>
    <row r="24" spans="1:100" x14ac:dyDescent="0.2">
      <c r="A24" s="14"/>
      <c r="B24" s="14"/>
      <c r="C24" s="14"/>
      <c r="D24" s="14"/>
      <c r="E24" s="14"/>
      <c r="F24" s="14"/>
      <c r="G24" s="14"/>
      <c r="H24" s="14"/>
      <c r="I24" s="14"/>
      <c r="J24" s="14"/>
      <c r="K24" s="14"/>
      <c r="L24" s="15"/>
      <c r="M24" s="14"/>
      <c r="N24" s="14"/>
      <c r="O24" s="14"/>
      <c r="P24" s="14"/>
      <c r="Q24" s="16"/>
      <c r="R24" s="14"/>
      <c r="Z24" s="16"/>
      <c r="AC24" s="14"/>
      <c r="AD24" s="14"/>
      <c r="AE24" s="14"/>
      <c r="AF24" s="14"/>
      <c r="AG24" s="14"/>
      <c r="AH24" s="14"/>
      <c r="AI24" s="14"/>
      <c r="AJ24" s="14"/>
      <c r="AK24" s="14"/>
      <c r="AL24" s="14"/>
      <c r="AS24" s="14"/>
      <c r="AT24" s="14"/>
      <c r="AU24" s="14"/>
      <c r="AV24" s="14"/>
      <c r="AW24" s="14"/>
      <c r="AX24" s="14"/>
      <c r="AY24" s="14"/>
      <c r="BA24" s="14"/>
      <c r="BE24" s="16"/>
      <c r="BH24" s="14"/>
      <c r="BI24" s="14"/>
      <c r="BJ24" s="14"/>
      <c r="BK24" s="14"/>
      <c r="BL24" s="14"/>
      <c r="BM24" s="14"/>
      <c r="BN24" s="14"/>
      <c r="BO24" s="14"/>
      <c r="BP24" s="14"/>
      <c r="BQ24" s="14"/>
      <c r="BX24" s="14"/>
      <c r="BY24" s="14"/>
      <c r="BZ24" s="14"/>
      <c r="CA24" s="14"/>
      <c r="CB24" s="14"/>
      <c r="CC24" s="14"/>
      <c r="CD24" s="14"/>
      <c r="CF24" s="14"/>
      <c r="CJ24" s="16"/>
      <c r="CM24" s="14"/>
      <c r="CN24" s="14"/>
      <c r="CO24" s="14"/>
      <c r="CP24" s="14"/>
      <c r="CQ24" s="14"/>
      <c r="CR24" s="14"/>
      <c r="CS24" s="14"/>
      <c r="CT24" s="14"/>
      <c r="CU24" s="14"/>
      <c r="CV24" s="14"/>
    </row>
    <row r="25" spans="1:100" x14ac:dyDescent="0.2">
      <c r="A25" s="14"/>
      <c r="B25" s="14"/>
      <c r="C25" s="14"/>
      <c r="D25" s="14"/>
      <c r="E25" s="14"/>
      <c r="F25" s="14"/>
      <c r="G25" s="14"/>
      <c r="H25" s="14"/>
      <c r="I25" s="14"/>
      <c r="J25" s="14"/>
      <c r="K25" s="14"/>
      <c r="L25" s="15"/>
      <c r="M25" s="14"/>
      <c r="N25" s="14"/>
      <c r="O25" s="14"/>
      <c r="P25" s="14"/>
      <c r="Q25" s="16"/>
      <c r="R25" s="14"/>
      <c r="Z25" s="16"/>
      <c r="AC25" s="14"/>
      <c r="AD25" s="14"/>
      <c r="AE25" s="14"/>
      <c r="AF25" s="14"/>
      <c r="AG25" s="14"/>
      <c r="AH25" s="14"/>
      <c r="AI25" s="14"/>
      <c r="AJ25" s="14"/>
      <c r="AK25" s="14"/>
      <c r="AL25" s="14"/>
      <c r="AS25" s="14"/>
      <c r="AT25" s="14"/>
      <c r="AU25" s="14"/>
      <c r="AV25" s="14"/>
      <c r="AW25" s="14"/>
      <c r="AX25" s="14"/>
      <c r="AY25" s="14"/>
      <c r="BA25" s="14"/>
      <c r="BE25" s="16"/>
      <c r="BH25" s="14"/>
      <c r="BI25" s="14"/>
      <c r="BJ25" s="14"/>
      <c r="BK25" s="14"/>
      <c r="BL25" s="14"/>
      <c r="BM25" s="14"/>
      <c r="BN25" s="14"/>
      <c r="BO25" s="14"/>
      <c r="BP25" s="14"/>
      <c r="BQ25" s="14"/>
      <c r="BX25" s="14"/>
      <c r="BY25" s="14"/>
      <c r="BZ25" s="14"/>
      <c r="CA25" s="14"/>
      <c r="CB25" s="14"/>
      <c r="CC25" s="14"/>
      <c r="CD25" s="14"/>
      <c r="CF25" s="14"/>
      <c r="CJ25" s="16"/>
      <c r="CM25" s="14"/>
      <c r="CN25" s="14"/>
      <c r="CO25" s="14"/>
      <c r="CP25" s="14"/>
      <c r="CQ25" s="14"/>
      <c r="CR25" s="14"/>
      <c r="CS25" s="14"/>
      <c r="CT25" s="14"/>
      <c r="CU25" s="14"/>
      <c r="CV25" s="14"/>
    </row>
    <row r="26" spans="1:100" x14ac:dyDescent="0.2">
      <c r="A26" s="14"/>
      <c r="B26" s="14"/>
      <c r="C26" s="14"/>
      <c r="D26" s="14"/>
      <c r="E26" s="14"/>
      <c r="F26" s="14"/>
      <c r="G26" s="14"/>
      <c r="H26" s="14"/>
      <c r="I26" s="14"/>
      <c r="J26" s="14"/>
      <c r="K26" s="14"/>
      <c r="L26" s="15"/>
      <c r="M26" s="14"/>
      <c r="N26" s="14"/>
      <c r="O26" s="14"/>
      <c r="P26" s="14"/>
      <c r="Q26" s="16"/>
      <c r="R26" s="14"/>
      <c r="Z26" s="16"/>
      <c r="AC26" s="14"/>
      <c r="AD26" s="14"/>
      <c r="AE26" s="14"/>
      <c r="AF26" s="14"/>
      <c r="AG26" s="14"/>
      <c r="AH26" s="14"/>
      <c r="AI26" s="14"/>
      <c r="AJ26" s="14"/>
      <c r="AK26" s="14"/>
      <c r="AL26" s="14"/>
      <c r="AS26" s="14"/>
      <c r="AT26" s="14"/>
      <c r="AU26" s="14"/>
      <c r="AV26" s="14"/>
      <c r="AW26" s="14"/>
      <c r="AX26" s="14"/>
      <c r="AY26" s="14"/>
      <c r="BA26" s="14"/>
      <c r="BE26" s="16"/>
      <c r="BH26" s="14"/>
      <c r="BI26" s="14"/>
      <c r="BJ26" s="14"/>
      <c r="BK26" s="14"/>
      <c r="BL26" s="14"/>
      <c r="BM26" s="14"/>
      <c r="BN26" s="14"/>
      <c r="BO26" s="14"/>
      <c r="BP26" s="14"/>
      <c r="BQ26" s="14"/>
      <c r="BX26" s="14"/>
      <c r="BY26" s="14"/>
      <c r="BZ26" s="14"/>
      <c r="CA26" s="14"/>
      <c r="CB26" s="14"/>
      <c r="CC26" s="14"/>
      <c r="CD26" s="14"/>
      <c r="CF26" s="14"/>
      <c r="CJ26" s="16"/>
      <c r="CM26" s="14"/>
      <c r="CN26" s="14"/>
      <c r="CO26" s="14"/>
      <c r="CP26" s="14"/>
      <c r="CQ26" s="14"/>
      <c r="CR26" s="14"/>
      <c r="CS26" s="14"/>
      <c r="CT26" s="14"/>
      <c r="CU26" s="14"/>
      <c r="CV26" s="14"/>
    </row>
    <row r="27" spans="1:100" x14ac:dyDescent="0.2">
      <c r="A27" s="14"/>
      <c r="B27" s="14"/>
      <c r="C27" s="14"/>
      <c r="D27" s="14"/>
      <c r="E27" s="14"/>
      <c r="F27" s="14"/>
      <c r="G27" s="14"/>
      <c r="H27" s="14"/>
      <c r="I27" s="14"/>
      <c r="J27" s="14"/>
      <c r="K27" s="14"/>
      <c r="L27" s="15"/>
      <c r="M27" s="14"/>
      <c r="N27" s="14"/>
      <c r="O27" s="14"/>
      <c r="P27" s="14"/>
      <c r="Q27" s="16"/>
      <c r="R27" s="14"/>
      <c r="Z27" s="16"/>
      <c r="AC27" s="14"/>
      <c r="AD27" s="14"/>
      <c r="AE27" s="14"/>
      <c r="AF27" s="14"/>
      <c r="AG27" s="14"/>
      <c r="AH27" s="14"/>
      <c r="AI27" s="14"/>
      <c r="AJ27" s="14"/>
      <c r="AK27" s="14"/>
      <c r="AL27" s="14"/>
      <c r="AS27" s="14"/>
      <c r="AT27" s="14"/>
      <c r="AU27" s="14"/>
      <c r="AV27" s="14"/>
      <c r="AW27" s="14"/>
      <c r="AX27" s="14"/>
      <c r="AY27" s="14"/>
      <c r="BA27" s="14"/>
      <c r="BE27" s="16"/>
      <c r="BH27" s="14"/>
      <c r="BI27" s="14"/>
      <c r="BJ27" s="14"/>
      <c r="BK27" s="14"/>
      <c r="BL27" s="14"/>
      <c r="BM27" s="14"/>
      <c r="BN27" s="14"/>
      <c r="BO27" s="14"/>
      <c r="BP27" s="14"/>
      <c r="BQ27" s="14"/>
      <c r="BX27" s="14"/>
      <c r="BY27" s="14"/>
      <c r="BZ27" s="14"/>
      <c r="CA27" s="14"/>
      <c r="CB27" s="14"/>
      <c r="CC27" s="14"/>
      <c r="CD27" s="14"/>
      <c r="CF27" s="14"/>
      <c r="CJ27" s="16"/>
      <c r="CM27" s="14"/>
      <c r="CN27" s="14"/>
      <c r="CO27" s="14"/>
      <c r="CP27" s="14"/>
      <c r="CQ27" s="14"/>
      <c r="CR27" s="14"/>
      <c r="CS27" s="14"/>
      <c r="CT27" s="14"/>
      <c r="CU27" s="14"/>
      <c r="CV27" s="14"/>
    </row>
    <row r="28" spans="1:100" x14ac:dyDescent="0.2">
      <c r="A28" s="14"/>
      <c r="B28" s="14"/>
      <c r="C28" s="14"/>
      <c r="D28" s="14"/>
      <c r="E28" s="14"/>
      <c r="F28" s="14"/>
      <c r="G28" s="14"/>
      <c r="H28" s="14"/>
      <c r="I28" s="14"/>
      <c r="J28" s="14"/>
      <c r="K28" s="14"/>
      <c r="L28" s="15"/>
      <c r="M28" s="14"/>
      <c r="N28" s="14"/>
      <c r="O28" s="14"/>
      <c r="P28" s="14"/>
      <c r="Q28" s="16"/>
      <c r="R28" s="14"/>
      <c r="Z28" s="16"/>
      <c r="AC28" s="14"/>
      <c r="AD28" s="14"/>
      <c r="AE28" s="14"/>
      <c r="AF28" s="14"/>
      <c r="AG28" s="14"/>
      <c r="AH28" s="14"/>
      <c r="AI28" s="14"/>
      <c r="AJ28" s="14"/>
      <c r="AK28" s="14"/>
      <c r="AL28" s="14"/>
      <c r="AS28" s="14"/>
      <c r="AT28" s="14"/>
      <c r="AU28" s="14"/>
      <c r="AV28" s="14"/>
      <c r="AW28" s="14"/>
      <c r="AX28" s="14"/>
      <c r="AY28" s="14"/>
      <c r="BA28" s="14"/>
      <c r="BE28" s="16"/>
      <c r="BH28" s="14"/>
      <c r="BI28" s="14"/>
      <c r="BJ28" s="14"/>
      <c r="BK28" s="14"/>
      <c r="BL28" s="14"/>
      <c r="BM28" s="14"/>
      <c r="BN28" s="14"/>
      <c r="BO28" s="14"/>
      <c r="BP28" s="14"/>
      <c r="BQ28" s="14"/>
      <c r="BX28" s="14"/>
      <c r="BY28" s="14"/>
      <c r="BZ28" s="14"/>
      <c r="CA28" s="14"/>
      <c r="CB28" s="14"/>
      <c r="CC28" s="14"/>
      <c r="CD28" s="14"/>
      <c r="CF28" s="14"/>
      <c r="CJ28" s="16"/>
      <c r="CM28" s="14"/>
      <c r="CN28" s="14"/>
      <c r="CO28" s="14"/>
      <c r="CP28" s="14"/>
      <c r="CQ28" s="14"/>
      <c r="CR28" s="14"/>
      <c r="CS28" s="14"/>
      <c r="CT28" s="14"/>
      <c r="CU28" s="14"/>
      <c r="CV28" s="14"/>
    </row>
    <row r="29" spans="1:100" x14ac:dyDescent="0.2">
      <c r="A29" s="14"/>
      <c r="B29" s="14"/>
      <c r="C29" s="14"/>
      <c r="D29" s="14"/>
      <c r="E29" s="14"/>
      <c r="F29" s="14"/>
      <c r="G29" s="14"/>
      <c r="H29" s="14"/>
      <c r="I29" s="14"/>
      <c r="J29" s="14"/>
      <c r="K29" s="14"/>
      <c r="L29" s="15"/>
      <c r="M29" s="14"/>
      <c r="N29" s="14"/>
      <c r="O29" s="14"/>
      <c r="P29" s="14"/>
      <c r="Q29" s="16"/>
      <c r="R29" s="14"/>
      <c r="Z29" s="16"/>
      <c r="AC29" s="14"/>
      <c r="AD29" s="14"/>
      <c r="AE29" s="14"/>
      <c r="AF29" s="14"/>
      <c r="AG29" s="14"/>
      <c r="AH29" s="14"/>
      <c r="AI29" s="14"/>
      <c r="AJ29" s="14"/>
      <c r="AK29" s="14"/>
      <c r="AL29" s="14"/>
      <c r="AS29" s="14"/>
      <c r="AT29" s="14"/>
      <c r="AU29" s="14"/>
      <c r="AV29" s="14"/>
      <c r="AW29" s="14"/>
      <c r="AX29" s="14"/>
      <c r="AY29" s="14"/>
      <c r="BA29" s="14"/>
      <c r="BE29" s="16"/>
      <c r="BH29" s="14"/>
      <c r="BI29" s="14"/>
      <c r="BJ29" s="14"/>
      <c r="BK29" s="14"/>
      <c r="BL29" s="14"/>
      <c r="BM29" s="14"/>
      <c r="BN29" s="14"/>
      <c r="BO29" s="14"/>
      <c r="BP29" s="14"/>
      <c r="BQ29" s="14"/>
      <c r="BX29" s="14"/>
      <c r="BY29" s="14"/>
      <c r="BZ29" s="14"/>
      <c r="CA29" s="14"/>
      <c r="CB29" s="14"/>
      <c r="CC29" s="14"/>
      <c r="CD29" s="14"/>
      <c r="CF29" s="14"/>
      <c r="CJ29" s="16"/>
      <c r="CM29" s="14"/>
      <c r="CN29" s="14"/>
      <c r="CO29" s="14"/>
      <c r="CP29" s="14"/>
      <c r="CQ29" s="14"/>
      <c r="CR29" s="14"/>
      <c r="CS29" s="14"/>
      <c r="CT29" s="14"/>
      <c r="CU29" s="14"/>
      <c r="CV29" s="14"/>
    </row>
    <row r="30" spans="1:100" x14ac:dyDescent="0.2">
      <c r="A30" s="14"/>
      <c r="B30" s="14"/>
      <c r="C30" s="14"/>
      <c r="D30" s="14"/>
      <c r="E30" s="14"/>
      <c r="F30" s="14"/>
      <c r="G30" s="14"/>
      <c r="H30" s="14"/>
      <c r="I30" s="14"/>
      <c r="J30" s="14"/>
      <c r="K30" s="14"/>
      <c r="L30" s="15"/>
      <c r="M30" s="14"/>
      <c r="N30" s="14"/>
      <c r="O30" s="14"/>
      <c r="P30" s="14"/>
      <c r="Q30" s="16"/>
      <c r="R30" s="14"/>
      <c r="Z30" s="16"/>
      <c r="AC30" s="14"/>
      <c r="AD30" s="14"/>
      <c r="AE30" s="14"/>
      <c r="AF30" s="14"/>
      <c r="AG30" s="14"/>
      <c r="AH30" s="14"/>
      <c r="AI30" s="14"/>
      <c r="AJ30" s="14"/>
      <c r="AK30" s="14"/>
      <c r="AL30" s="14"/>
      <c r="AS30" s="14"/>
      <c r="AT30" s="14"/>
      <c r="AU30" s="14"/>
      <c r="AV30" s="14"/>
      <c r="AW30" s="14"/>
      <c r="AX30" s="14"/>
      <c r="AY30" s="14"/>
      <c r="BA30" s="14"/>
      <c r="BE30" s="16"/>
      <c r="BH30" s="14"/>
      <c r="BI30" s="14"/>
      <c r="BJ30" s="14"/>
      <c r="BK30" s="14"/>
      <c r="BL30" s="14"/>
      <c r="BM30" s="14"/>
      <c r="BN30" s="14"/>
      <c r="BO30" s="14"/>
      <c r="BP30" s="14"/>
      <c r="BQ30" s="14"/>
      <c r="BX30" s="14"/>
      <c r="BY30" s="14"/>
      <c r="BZ30" s="14"/>
      <c r="CA30" s="14"/>
      <c r="CB30" s="14"/>
      <c r="CC30" s="14"/>
      <c r="CD30" s="14"/>
      <c r="CF30" s="14"/>
      <c r="CJ30" s="16"/>
      <c r="CM30" s="14"/>
      <c r="CN30" s="14"/>
      <c r="CO30" s="14"/>
      <c r="CP30" s="14"/>
      <c r="CQ30" s="14"/>
      <c r="CR30" s="14"/>
      <c r="CS30" s="14"/>
      <c r="CT30" s="14"/>
      <c r="CU30" s="14"/>
      <c r="CV30" s="14"/>
    </row>
    <row r="31" spans="1:100" x14ac:dyDescent="0.2">
      <c r="A31" s="14"/>
      <c r="B31" s="14"/>
      <c r="C31" s="14"/>
      <c r="D31" s="14"/>
      <c r="E31" s="14"/>
      <c r="F31" s="14"/>
      <c r="G31" s="14"/>
      <c r="H31" s="14"/>
      <c r="I31" s="14"/>
      <c r="J31" s="14"/>
      <c r="K31" s="14"/>
      <c r="L31" s="15"/>
      <c r="M31" s="14"/>
      <c r="N31" s="14"/>
      <c r="O31" s="14"/>
      <c r="P31" s="14"/>
      <c r="Q31" s="16"/>
      <c r="R31" s="14"/>
      <c r="Z31" s="16"/>
      <c r="AC31" s="14"/>
      <c r="AD31" s="14"/>
      <c r="AE31" s="14"/>
      <c r="AF31" s="14"/>
      <c r="AG31" s="14"/>
      <c r="AH31" s="14"/>
      <c r="AI31" s="14"/>
      <c r="AJ31" s="14"/>
      <c r="AK31" s="14"/>
      <c r="AL31" s="14"/>
      <c r="AS31" s="14"/>
      <c r="AT31" s="14"/>
      <c r="AU31" s="14"/>
      <c r="AV31" s="14"/>
      <c r="AW31" s="14"/>
      <c r="AX31" s="14"/>
      <c r="AY31" s="14"/>
      <c r="BA31" s="14"/>
      <c r="BE31" s="16"/>
      <c r="BH31" s="14"/>
      <c r="BI31" s="14"/>
      <c r="BJ31" s="14"/>
      <c r="BK31" s="14"/>
      <c r="BL31" s="14"/>
      <c r="BM31" s="14"/>
      <c r="BN31" s="14"/>
      <c r="BO31" s="14"/>
      <c r="BP31" s="14"/>
      <c r="BQ31" s="14"/>
      <c r="BX31" s="14"/>
      <c r="BY31" s="14"/>
      <c r="BZ31" s="14"/>
      <c r="CA31" s="14"/>
      <c r="CB31" s="14"/>
      <c r="CC31" s="14"/>
      <c r="CD31" s="14"/>
      <c r="CF31" s="14"/>
      <c r="CJ31" s="16"/>
      <c r="CM31" s="14"/>
      <c r="CN31" s="14"/>
      <c r="CO31" s="14"/>
      <c r="CP31" s="14"/>
      <c r="CQ31" s="14"/>
      <c r="CR31" s="14"/>
      <c r="CS31" s="14"/>
      <c r="CT31" s="14"/>
      <c r="CU31" s="14"/>
      <c r="CV31" s="14"/>
    </row>
    <row r="32" spans="1:100" x14ac:dyDescent="0.2">
      <c r="A32" s="14"/>
      <c r="B32" s="14"/>
      <c r="C32" s="14"/>
      <c r="D32" s="14"/>
      <c r="E32" s="14"/>
      <c r="F32" s="14"/>
      <c r="G32" s="14"/>
      <c r="H32" s="14"/>
      <c r="I32" s="14"/>
      <c r="J32" s="14"/>
      <c r="K32" s="14"/>
      <c r="L32" s="15"/>
      <c r="M32" s="14"/>
      <c r="N32" s="14"/>
      <c r="O32" s="14"/>
      <c r="P32" s="14"/>
      <c r="Q32" s="16"/>
      <c r="R32" s="14"/>
      <c r="Z32" s="16"/>
      <c r="AC32" s="14"/>
      <c r="AD32" s="14"/>
      <c r="AE32" s="14"/>
      <c r="AF32" s="14"/>
      <c r="AG32" s="14"/>
      <c r="AH32" s="14"/>
      <c r="AI32" s="14"/>
      <c r="AJ32" s="14"/>
      <c r="AK32" s="14"/>
      <c r="AL32" s="14"/>
      <c r="AS32" s="14"/>
      <c r="AT32" s="14"/>
      <c r="AU32" s="14"/>
      <c r="AV32" s="14"/>
      <c r="AW32" s="14"/>
      <c r="AX32" s="14"/>
      <c r="AY32" s="14"/>
      <c r="BA32" s="14"/>
      <c r="BE32" s="16"/>
      <c r="BH32" s="14"/>
      <c r="BI32" s="14"/>
      <c r="BJ32" s="14"/>
      <c r="BK32" s="14"/>
      <c r="BL32" s="14"/>
      <c r="BM32" s="14"/>
      <c r="BN32" s="14"/>
      <c r="BO32" s="14"/>
      <c r="BP32" s="14"/>
      <c r="BQ32" s="14"/>
      <c r="BX32" s="14"/>
      <c r="BY32" s="14"/>
      <c r="BZ32" s="14"/>
      <c r="CA32" s="14"/>
      <c r="CB32" s="14"/>
      <c r="CC32" s="14"/>
      <c r="CD32" s="14"/>
      <c r="CF32" s="14"/>
      <c r="CJ32" s="16"/>
      <c r="CM32" s="14"/>
      <c r="CN32" s="14"/>
      <c r="CO32" s="14"/>
      <c r="CP32" s="14"/>
      <c r="CQ32" s="14"/>
      <c r="CR32" s="14"/>
      <c r="CS32" s="14"/>
      <c r="CT32" s="14"/>
      <c r="CU32" s="14"/>
      <c r="CV32" s="14"/>
    </row>
    <row r="33" spans="1:100" x14ac:dyDescent="0.2">
      <c r="A33" s="14"/>
      <c r="B33" s="14"/>
      <c r="C33" s="14"/>
      <c r="D33" s="14"/>
      <c r="E33" s="14"/>
      <c r="F33" s="14"/>
      <c r="G33" s="14"/>
      <c r="H33" s="14"/>
      <c r="I33" s="14"/>
      <c r="J33" s="14"/>
      <c r="K33" s="14"/>
      <c r="L33" s="15"/>
      <c r="M33" s="14"/>
      <c r="N33" s="14"/>
      <c r="O33" s="14"/>
      <c r="P33" s="14"/>
      <c r="Q33" s="16"/>
      <c r="R33" s="14"/>
      <c r="Z33" s="16"/>
      <c r="AC33" s="14"/>
      <c r="AD33" s="14"/>
      <c r="AE33" s="14"/>
      <c r="AF33" s="14"/>
      <c r="AG33" s="14"/>
      <c r="AH33" s="14"/>
      <c r="AI33" s="14"/>
      <c r="AJ33" s="14"/>
      <c r="AK33" s="14"/>
      <c r="AL33" s="14"/>
      <c r="AS33" s="14"/>
      <c r="AT33" s="14"/>
      <c r="AU33" s="14"/>
      <c r="AV33" s="14"/>
      <c r="AW33" s="14"/>
      <c r="AX33" s="14"/>
      <c r="AY33" s="14"/>
      <c r="BA33" s="14"/>
      <c r="BE33" s="16"/>
      <c r="BH33" s="14"/>
      <c r="BI33" s="14"/>
      <c r="BJ33" s="14"/>
      <c r="BK33" s="14"/>
      <c r="BL33" s="14"/>
      <c r="BM33" s="14"/>
      <c r="BN33" s="14"/>
      <c r="BO33" s="14"/>
      <c r="BP33" s="14"/>
      <c r="BQ33" s="14"/>
      <c r="BX33" s="14"/>
      <c r="BY33" s="14"/>
      <c r="BZ33" s="14"/>
      <c r="CA33" s="14"/>
      <c r="CB33" s="14"/>
      <c r="CC33" s="14"/>
      <c r="CD33" s="14"/>
      <c r="CF33" s="14"/>
      <c r="CJ33" s="16"/>
      <c r="CM33" s="14"/>
      <c r="CN33" s="14"/>
      <c r="CO33" s="14"/>
      <c r="CP33" s="14"/>
      <c r="CQ33" s="14"/>
      <c r="CR33" s="14"/>
      <c r="CS33" s="14"/>
      <c r="CT33" s="14"/>
      <c r="CU33" s="14"/>
      <c r="CV33" s="14"/>
    </row>
    <row r="34" spans="1:100" x14ac:dyDescent="0.2">
      <c r="A34" s="14"/>
      <c r="B34" s="14"/>
      <c r="C34" s="14"/>
      <c r="D34" s="14"/>
      <c r="E34" s="14"/>
      <c r="F34" s="14"/>
      <c r="G34" s="14"/>
      <c r="H34" s="14"/>
      <c r="I34" s="14"/>
      <c r="J34" s="14"/>
      <c r="K34" s="14"/>
      <c r="L34" s="15"/>
      <c r="M34" s="14"/>
      <c r="N34" s="14"/>
      <c r="O34" s="14"/>
      <c r="P34" s="14"/>
      <c r="Q34" s="16"/>
      <c r="R34" s="14"/>
      <c r="Z34" s="16"/>
      <c r="AC34" s="14"/>
      <c r="AD34" s="14"/>
      <c r="AE34" s="14"/>
      <c r="AF34" s="14"/>
      <c r="AG34" s="14"/>
      <c r="AH34" s="14"/>
      <c r="AI34" s="14"/>
      <c r="AJ34" s="14"/>
      <c r="AK34" s="14"/>
      <c r="AL34" s="14"/>
      <c r="AS34" s="14"/>
      <c r="AT34" s="14"/>
      <c r="AU34" s="14"/>
      <c r="AV34" s="14"/>
      <c r="AW34" s="14"/>
      <c r="AX34" s="14"/>
      <c r="AY34" s="14"/>
      <c r="BA34" s="14"/>
      <c r="BE34" s="16"/>
      <c r="BH34" s="14"/>
      <c r="BI34" s="14"/>
      <c r="BJ34" s="14"/>
      <c r="BK34" s="14"/>
      <c r="BL34" s="14"/>
      <c r="BM34" s="14"/>
      <c r="BN34" s="14"/>
      <c r="BO34" s="14"/>
      <c r="BP34" s="14"/>
      <c r="BQ34" s="14"/>
      <c r="BX34" s="14"/>
      <c r="BY34" s="14"/>
      <c r="BZ34" s="14"/>
      <c r="CA34" s="14"/>
      <c r="CB34" s="14"/>
      <c r="CC34" s="14"/>
      <c r="CD34" s="14"/>
      <c r="CF34" s="14"/>
      <c r="CJ34" s="16"/>
      <c r="CM34" s="14"/>
      <c r="CN34" s="14"/>
      <c r="CO34" s="14"/>
      <c r="CP34" s="14"/>
      <c r="CQ34" s="14"/>
      <c r="CR34" s="14"/>
      <c r="CS34" s="14"/>
      <c r="CT34" s="14"/>
      <c r="CU34" s="14"/>
      <c r="CV34" s="14"/>
    </row>
    <row r="35" spans="1:100" x14ac:dyDescent="0.2">
      <c r="A35" s="14"/>
      <c r="B35" s="14"/>
      <c r="C35" s="14"/>
      <c r="D35" s="14"/>
      <c r="E35" s="14"/>
      <c r="F35" s="14"/>
      <c r="G35" s="14"/>
      <c r="H35" s="14"/>
      <c r="I35" s="14"/>
      <c r="J35" s="14"/>
      <c r="K35" s="14"/>
      <c r="L35" s="15"/>
      <c r="M35" s="14"/>
      <c r="N35" s="14"/>
      <c r="O35" s="14"/>
      <c r="P35" s="14"/>
      <c r="Q35" s="16"/>
      <c r="R35" s="14"/>
      <c r="Z35" s="16"/>
      <c r="AC35" s="14"/>
      <c r="AD35" s="14"/>
      <c r="AE35" s="14"/>
      <c r="AF35" s="14"/>
      <c r="AG35" s="14"/>
      <c r="AH35" s="14"/>
      <c r="AI35" s="14"/>
      <c r="AJ35" s="14"/>
      <c r="AK35" s="14"/>
      <c r="AL35" s="14"/>
      <c r="AS35" s="14"/>
      <c r="AT35" s="14"/>
      <c r="AU35" s="14"/>
      <c r="AV35" s="14"/>
      <c r="AW35" s="14"/>
      <c r="AX35" s="14"/>
      <c r="AY35" s="14"/>
      <c r="BA35" s="14"/>
      <c r="BE35" s="16"/>
      <c r="BH35" s="14"/>
      <c r="BI35" s="14"/>
      <c r="BJ35" s="14"/>
      <c r="BK35" s="14"/>
      <c r="BL35" s="14"/>
      <c r="BM35" s="14"/>
      <c r="BN35" s="14"/>
      <c r="BO35" s="14"/>
      <c r="BP35" s="14"/>
      <c r="BQ35" s="14"/>
      <c r="BX35" s="14"/>
      <c r="BY35" s="14"/>
      <c r="BZ35" s="14"/>
      <c r="CA35" s="14"/>
      <c r="CB35" s="14"/>
      <c r="CC35" s="14"/>
      <c r="CD35" s="14"/>
      <c r="CF35" s="14"/>
      <c r="CJ35" s="16"/>
      <c r="CM35" s="14"/>
      <c r="CN35" s="14"/>
      <c r="CO35" s="14"/>
      <c r="CP35" s="14"/>
      <c r="CQ35" s="14"/>
      <c r="CR35" s="14"/>
      <c r="CS35" s="14"/>
      <c r="CT35" s="14"/>
      <c r="CU35" s="14"/>
      <c r="CV35" s="14"/>
    </row>
    <row r="36" spans="1:100" x14ac:dyDescent="0.2">
      <c r="A36" s="14"/>
      <c r="B36" s="14"/>
      <c r="C36" s="14"/>
      <c r="D36" s="14"/>
      <c r="E36" s="14"/>
      <c r="F36" s="14"/>
      <c r="G36" s="14"/>
      <c r="H36" s="14"/>
      <c r="I36" s="14"/>
      <c r="J36" s="14"/>
      <c r="K36" s="14"/>
      <c r="L36" s="15"/>
      <c r="M36" s="14"/>
      <c r="N36" s="14"/>
      <c r="O36" s="14"/>
      <c r="P36" s="14"/>
      <c r="Q36" s="16"/>
      <c r="R36" s="14"/>
      <c r="Z36" s="16"/>
      <c r="AC36" s="14"/>
      <c r="AD36" s="14"/>
      <c r="AE36" s="14"/>
      <c r="AF36" s="14"/>
      <c r="AG36" s="14"/>
      <c r="AH36" s="14"/>
      <c r="AI36" s="14"/>
      <c r="AJ36" s="14"/>
      <c r="AK36" s="14"/>
      <c r="AL36" s="14"/>
      <c r="AS36" s="14"/>
      <c r="AT36" s="14"/>
      <c r="AU36" s="14"/>
      <c r="AV36" s="14"/>
      <c r="AW36" s="14"/>
      <c r="AX36" s="14"/>
      <c r="AY36" s="14"/>
      <c r="BA36" s="14"/>
      <c r="BE36" s="16"/>
      <c r="BH36" s="14"/>
      <c r="BI36" s="14"/>
      <c r="BJ36" s="14"/>
      <c r="BK36" s="14"/>
      <c r="BL36" s="14"/>
      <c r="BM36" s="14"/>
      <c r="BN36" s="14"/>
      <c r="BO36" s="14"/>
      <c r="BP36" s="14"/>
      <c r="BQ36" s="14"/>
      <c r="BX36" s="14"/>
      <c r="BY36" s="14"/>
      <c r="BZ36" s="14"/>
      <c r="CA36" s="14"/>
      <c r="CB36" s="14"/>
      <c r="CC36" s="14"/>
      <c r="CD36" s="14"/>
      <c r="CF36" s="14"/>
      <c r="CJ36" s="16"/>
      <c r="CM36" s="14"/>
      <c r="CN36" s="14"/>
      <c r="CO36" s="14"/>
      <c r="CP36" s="14"/>
      <c r="CQ36" s="14"/>
      <c r="CR36" s="14"/>
      <c r="CS36" s="14"/>
      <c r="CT36" s="14"/>
      <c r="CU36" s="14"/>
      <c r="CV36" s="14"/>
    </row>
    <row r="37" spans="1:100" x14ac:dyDescent="0.2">
      <c r="A37" s="14"/>
      <c r="B37" s="14"/>
      <c r="C37" s="14"/>
      <c r="D37" s="14"/>
      <c r="E37" s="14"/>
      <c r="F37" s="14"/>
      <c r="G37" s="14"/>
      <c r="H37" s="14"/>
      <c r="I37" s="14"/>
      <c r="J37" s="14"/>
      <c r="K37" s="14"/>
      <c r="L37" s="15"/>
      <c r="M37" s="14"/>
      <c r="N37" s="14"/>
      <c r="O37" s="14"/>
      <c r="P37" s="14"/>
      <c r="Q37" s="16"/>
      <c r="R37" s="14"/>
      <c r="Z37" s="16"/>
      <c r="AC37" s="14"/>
      <c r="AD37" s="14"/>
      <c r="AE37" s="14"/>
      <c r="AF37" s="14"/>
      <c r="AG37" s="14"/>
      <c r="AH37" s="14"/>
      <c r="AI37" s="14"/>
      <c r="AJ37" s="14"/>
      <c r="AK37" s="14"/>
      <c r="AL37" s="14"/>
      <c r="AS37" s="14"/>
      <c r="AT37" s="14"/>
      <c r="AU37" s="14"/>
      <c r="AV37" s="14"/>
      <c r="AW37" s="14"/>
      <c r="AX37" s="14"/>
      <c r="AY37" s="14"/>
      <c r="BA37" s="14"/>
      <c r="BE37" s="16"/>
      <c r="BH37" s="14"/>
      <c r="BI37" s="14"/>
      <c r="BJ37" s="14"/>
      <c r="BK37" s="14"/>
      <c r="BL37" s="14"/>
      <c r="BM37" s="14"/>
      <c r="BN37" s="14"/>
      <c r="BO37" s="14"/>
      <c r="BP37" s="14"/>
      <c r="BQ37" s="14"/>
      <c r="BX37" s="14"/>
      <c r="BY37" s="14"/>
      <c r="BZ37" s="14"/>
      <c r="CA37" s="14"/>
      <c r="CB37" s="14"/>
      <c r="CC37" s="14"/>
      <c r="CD37" s="14"/>
      <c r="CF37" s="14"/>
      <c r="CJ37" s="16"/>
      <c r="CM37" s="14"/>
      <c r="CN37" s="14"/>
      <c r="CO37" s="14"/>
      <c r="CP37" s="14"/>
      <c r="CQ37" s="14"/>
      <c r="CR37" s="14"/>
      <c r="CS37" s="14"/>
      <c r="CT37" s="14"/>
      <c r="CU37" s="14"/>
      <c r="CV37" s="14"/>
    </row>
    <row r="38" spans="1:100" x14ac:dyDescent="0.2">
      <c r="A38" s="14"/>
      <c r="B38" s="14"/>
      <c r="C38" s="14"/>
      <c r="D38" s="14"/>
      <c r="E38" s="14"/>
      <c r="F38" s="14"/>
      <c r="G38" s="14"/>
      <c r="H38" s="14"/>
      <c r="I38" s="14"/>
      <c r="J38" s="14"/>
      <c r="K38" s="14"/>
      <c r="L38" s="15"/>
      <c r="M38" s="14"/>
      <c r="N38" s="14"/>
      <c r="O38" s="14"/>
      <c r="P38" s="14"/>
      <c r="Q38" s="16"/>
      <c r="R38" s="14"/>
      <c r="Z38" s="16"/>
      <c r="AC38" s="14"/>
      <c r="AD38" s="14"/>
      <c r="AE38" s="14"/>
      <c r="AF38" s="14"/>
      <c r="AG38" s="14"/>
      <c r="AH38" s="14"/>
      <c r="AI38" s="14"/>
      <c r="AJ38" s="14"/>
      <c r="AK38" s="14"/>
      <c r="AL38" s="14"/>
      <c r="AS38" s="14"/>
      <c r="AT38" s="14"/>
      <c r="AU38" s="14"/>
      <c r="AV38" s="14"/>
      <c r="AW38" s="14"/>
      <c r="AX38" s="14"/>
      <c r="AY38" s="14"/>
      <c r="BA38" s="14"/>
      <c r="BE38" s="16"/>
      <c r="BH38" s="14"/>
      <c r="BI38" s="14"/>
      <c r="BJ38" s="14"/>
      <c r="BK38" s="14"/>
      <c r="BL38" s="14"/>
      <c r="BM38" s="14"/>
      <c r="BN38" s="14"/>
      <c r="BO38" s="14"/>
      <c r="BP38" s="14"/>
      <c r="BQ38" s="14"/>
      <c r="BX38" s="14"/>
      <c r="BY38" s="14"/>
      <c r="BZ38" s="14"/>
      <c r="CA38" s="14"/>
      <c r="CB38" s="14"/>
      <c r="CC38" s="14"/>
      <c r="CD38" s="14"/>
      <c r="CF38" s="14"/>
      <c r="CJ38" s="16"/>
      <c r="CM38" s="14"/>
      <c r="CN38" s="14"/>
      <c r="CO38" s="14"/>
      <c r="CP38" s="14"/>
      <c r="CQ38" s="14"/>
      <c r="CR38" s="14"/>
      <c r="CS38" s="14"/>
      <c r="CT38" s="14"/>
      <c r="CU38" s="14"/>
      <c r="CV38" s="14"/>
    </row>
    <row r="39" spans="1:100" x14ac:dyDescent="0.2">
      <c r="A39" s="14"/>
      <c r="B39" s="14"/>
      <c r="C39" s="14"/>
      <c r="D39" s="14"/>
      <c r="E39" s="14"/>
      <c r="F39" s="14"/>
      <c r="G39" s="14"/>
      <c r="H39" s="14"/>
      <c r="I39" s="14"/>
      <c r="J39" s="14"/>
      <c r="K39" s="14"/>
      <c r="L39" s="15"/>
      <c r="M39" s="14"/>
      <c r="N39" s="14"/>
      <c r="O39" s="14"/>
      <c r="P39" s="14"/>
      <c r="Q39" s="16"/>
      <c r="R39" s="14"/>
      <c r="Z39" s="16"/>
      <c r="AC39" s="14"/>
      <c r="AD39" s="14"/>
      <c r="AE39" s="14"/>
      <c r="AF39" s="14"/>
      <c r="AG39" s="14"/>
      <c r="AH39" s="14"/>
      <c r="AI39" s="14"/>
      <c r="AJ39" s="14"/>
      <c r="AK39" s="14"/>
      <c r="AL39" s="14"/>
      <c r="AS39" s="14"/>
      <c r="AT39" s="14"/>
      <c r="AU39" s="14"/>
      <c r="AV39" s="14"/>
      <c r="AW39" s="14"/>
      <c r="AX39" s="14"/>
      <c r="AY39" s="14"/>
      <c r="BA39" s="14"/>
      <c r="BE39" s="16"/>
      <c r="BH39" s="14"/>
      <c r="BI39" s="14"/>
      <c r="BJ39" s="14"/>
      <c r="BK39" s="14"/>
      <c r="BL39" s="14"/>
      <c r="BM39" s="14"/>
      <c r="BN39" s="14"/>
      <c r="BO39" s="14"/>
      <c r="BP39" s="14"/>
      <c r="BQ39" s="14"/>
      <c r="BX39" s="14"/>
      <c r="BY39" s="14"/>
      <c r="BZ39" s="14"/>
      <c r="CA39" s="14"/>
      <c r="CB39" s="14"/>
      <c r="CC39" s="14"/>
      <c r="CD39" s="14"/>
      <c r="CF39" s="14"/>
      <c r="CJ39" s="16"/>
      <c r="CM39" s="14"/>
      <c r="CN39" s="14"/>
      <c r="CO39" s="14"/>
      <c r="CP39" s="14"/>
      <c r="CQ39" s="14"/>
      <c r="CR39" s="14"/>
      <c r="CS39" s="14"/>
      <c r="CT39" s="14"/>
      <c r="CU39" s="14"/>
      <c r="CV39" s="14"/>
    </row>
    <row r="40" spans="1:100" x14ac:dyDescent="0.2">
      <c r="A40" s="14"/>
      <c r="B40" s="14"/>
      <c r="C40" s="14"/>
      <c r="D40" s="14"/>
      <c r="E40" s="14"/>
      <c r="F40" s="14"/>
      <c r="G40" s="14"/>
      <c r="H40" s="14"/>
      <c r="I40" s="14"/>
      <c r="J40" s="14"/>
      <c r="K40" s="14"/>
      <c r="L40" s="15"/>
      <c r="M40" s="14"/>
      <c r="N40" s="14"/>
      <c r="O40" s="14"/>
      <c r="P40" s="14"/>
      <c r="Q40" s="16"/>
      <c r="R40" s="14"/>
      <c r="Z40" s="16"/>
      <c r="AC40" s="14"/>
      <c r="AD40" s="14"/>
      <c r="AE40" s="14"/>
      <c r="AF40" s="14"/>
      <c r="AG40" s="14"/>
      <c r="AH40" s="14"/>
      <c r="AI40" s="14"/>
      <c r="AJ40" s="14"/>
      <c r="AK40" s="14"/>
      <c r="AL40" s="14"/>
      <c r="AS40" s="14"/>
      <c r="AT40" s="14"/>
      <c r="AU40" s="14"/>
      <c r="AV40" s="14"/>
      <c r="AW40" s="14"/>
      <c r="AX40" s="14"/>
      <c r="AY40" s="14"/>
      <c r="BA40" s="14"/>
      <c r="BE40" s="16"/>
      <c r="BH40" s="14"/>
      <c r="BI40" s="14"/>
      <c r="BJ40" s="14"/>
      <c r="BK40" s="14"/>
      <c r="BL40" s="14"/>
      <c r="BM40" s="14"/>
      <c r="BN40" s="14"/>
      <c r="BO40" s="14"/>
      <c r="BP40" s="14"/>
      <c r="BQ40" s="14"/>
      <c r="BX40" s="14"/>
      <c r="BY40" s="14"/>
      <c r="BZ40" s="14"/>
      <c r="CA40" s="14"/>
      <c r="CB40" s="14"/>
      <c r="CC40" s="14"/>
      <c r="CD40" s="14"/>
      <c r="CF40" s="14"/>
      <c r="CJ40" s="16"/>
      <c r="CM40" s="14"/>
      <c r="CN40" s="14"/>
      <c r="CO40" s="14"/>
      <c r="CP40" s="14"/>
      <c r="CQ40" s="14"/>
      <c r="CR40" s="14"/>
      <c r="CS40" s="14"/>
      <c r="CT40" s="14"/>
      <c r="CU40" s="14"/>
      <c r="CV40" s="14"/>
    </row>
    <row r="41" spans="1:100" x14ac:dyDescent="0.2">
      <c r="A41" s="14"/>
      <c r="B41" s="14"/>
      <c r="C41" s="14"/>
      <c r="D41" s="14"/>
      <c r="E41" s="14"/>
      <c r="F41" s="14"/>
      <c r="G41" s="14"/>
      <c r="H41" s="14"/>
      <c r="I41" s="14"/>
      <c r="J41" s="14"/>
      <c r="K41" s="14"/>
      <c r="L41" s="15"/>
      <c r="M41" s="14"/>
      <c r="N41" s="14"/>
      <c r="O41" s="14"/>
      <c r="P41" s="14"/>
      <c r="Q41" s="16"/>
      <c r="R41" s="14"/>
      <c r="Z41" s="16"/>
      <c r="AC41" s="14"/>
      <c r="AD41" s="14"/>
      <c r="AE41" s="14"/>
      <c r="AF41" s="14"/>
      <c r="AG41" s="14"/>
      <c r="AH41" s="14"/>
      <c r="AI41" s="14"/>
      <c r="AJ41" s="14"/>
      <c r="AK41" s="14"/>
      <c r="AL41" s="14"/>
      <c r="AS41" s="14"/>
      <c r="AT41" s="14"/>
      <c r="AU41" s="14"/>
      <c r="AV41" s="14"/>
      <c r="AW41" s="14"/>
      <c r="AX41" s="14"/>
      <c r="AY41" s="14"/>
      <c r="BA41" s="14"/>
      <c r="BE41" s="16"/>
      <c r="BH41" s="14"/>
      <c r="BI41" s="14"/>
      <c r="BJ41" s="14"/>
      <c r="BK41" s="14"/>
      <c r="BL41" s="14"/>
      <c r="BM41" s="14"/>
      <c r="BN41" s="14"/>
      <c r="BO41" s="14"/>
      <c r="BP41" s="14"/>
      <c r="BQ41" s="14"/>
      <c r="BX41" s="14"/>
      <c r="BY41" s="14"/>
      <c r="BZ41" s="14"/>
      <c r="CA41" s="14"/>
      <c r="CB41" s="14"/>
      <c r="CC41" s="14"/>
      <c r="CD41" s="14"/>
      <c r="CF41" s="14"/>
      <c r="CJ41" s="16"/>
      <c r="CM41" s="14"/>
      <c r="CN41" s="14"/>
      <c r="CO41" s="14"/>
      <c r="CP41" s="14"/>
      <c r="CQ41" s="14"/>
      <c r="CR41" s="14"/>
      <c r="CS41" s="14"/>
      <c r="CT41" s="14"/>
      <c r="CU41" s="14"/>
      <c r="CV41" s="14"/>
    </row>
    <row r="42" spans="1:100" x14ac:dyDescent="0.2">
      <c r="A42" s="14"/>
      <c r="B42" s="14"/>
      <c r="C42" s="14"/>
      <c r="D42" s="14"/>
      <c r="E42" s="14"/>
      <c r="F42" s="14"/>
      <c r="G42" s="14"/>
      <c r="H42" s="14"/>
      <c r="I42" s="14"/>
      <c r="J42" s="14"/>
      <c r="K42" s="14"/>
      <c r="L42" s="15"/>
      <c r="M42" s="14"/>
      <c r="N42" s="14"/>
      <c r="O42" s="14"/>
      <c r="P42" s="14"/>
      <c r="Q42" s="16"/>
      <c r="R42" s="14"/>
      <c r="Z42" s="16"/>
      <c r="AC42" s="14"/>
      <c r="AD42" s="14"/>
      <c r="AE42" s="14"/>
      <c r="AF42" s="14"/>
      <c r="AG42" s="14"/>
      <c r="AH42" s="14"/>
      <c r="AI42" s="14"/>
      <c r="AJ42" s="14"/>
      <c r="AK42" s="14"/>
      <c r="AL42" s="14"/>
      <c r="AS42" s="14"/>
      <c r="AT42" s="14"/>
      <c r="AU42" s="14"/>
      <c r="AV42" s="14"/>
      <c r="AW42" s="14"/>
      <c r="AX42" s="14"/>
      <c r="AY42" s="14"/>
      <c r="BA42" s="14"/>
      <c r="BE42" s="16"/>
      <c r="BH42" s="14"/>
      <c r="BI42" s="14"/>
      <c r="BJ42" s="14"/>
      <c r="BK42" s="14"/>
      <c r="BL42" s="14"/>
      <c r="BM42" s="14"/>
      <c r="BN42" s="14"/>
      <c r="BO42" s="14"/>
      <c r="BP42" s="14"/>
      <c r="BQ42" s="14"/>
      <c r="BX42" s="14"/>
      <c r="BY42" s="14"/>
      <c r="BZ42" s="14"/>
      <c r="CA42" s="14"/>
      <c r="CB42" s="14"/>
      <c r="CC42" s="14"/>
      <c r="CD42" s="14"/>
      <c r="CF42" s="14"/>
      <c r="CJ42" s="16"/>
      <c r="CM42" s="14"/>
      <c r="CN42" s="14"/>
      <c r="CO42" s="14"/>
      <c r="CP42" s="14"/>
      <c r="CQ42" s="14"/>
      <c r="CR42" s="14"/>
      <c r="CS42" s="14"/>
      <c r="CT42" s="14"/>
      <c r="CU42" s="14"/>
      <c r="CV42" s="14"/>
    </row>
    <row r="43" spans="1:100" x14ac:dyDescent="0.2">
      <c r="A43" s="14"/>
      <c r="B43" s="14"/>
      <c r="C43" s="14"/>
      <c r="D43" s="14"/>
      <c r="E43" s="14"/>
      <c r="F43" s="14"/>
      <c r="G43" s="14"/>
      <c r="H43" s="14"/>
      <c r="I43" s="14"/>
      <c r="J43" s="14"/>
      <c r="K43" s="14"/>
      <c r="L43" s="15"/>
      <c r="M43" s="14"/>
      <c r="N43" s="14"/>
      <c r="O43" s="14"/>
      <c r="P43" s="14"/>
      <c r="Q43" s="16"/>
      <c r="R43" s="14"/>
      <c r="Z43" s="16"/>
      <c r="AC43" s="14"/>
      <c r="AD43" s="14"/>
      <c r="AE43" s="14"/>
      <c r="AF43" s="14"/>
      <c r="AG43" s="14"/>
      <c r="AH43" s="14"/>
      <c r="AI43" s="14"/>
      <c r="AJ43" s="14"/>
      <c r="AK43" s="14"/>
      <c r="AL43" s="14"/>
      <c r="AS43" s="14"/>
      <c r="AT43" s="14"/>
      <c r="AU43" s="14"/>
      <c r="AV43" s="14"/>
      <c r="AW43" s="14"/>
      <c r="AX43" s="14"/>
      <c r="AY43" s="14"/>
      <c r="BA43" s="14"/>
      <c r="BE43" s="16"/>
      <c r="BH43" s="14"/>
      <c r="BI43" s="14"/>
      <c r="BJ43" s="14"/>
      <c r="BK43" s="14"/>
      <c r="BL43" s="14"/>
      <c r="BM43" s="14"/>
      <c r="BN43" s="14"/>
      <c r="BO43" s="14"/>
      <c r="BP43" s="14"/>
      <c r="BQ43" s="14"/>
      <c r="BX43" s="14"/>
      <c r="BY43" s="14"/>
      <c r="BZ43" s="14"/>
      <c r="CA43" s="14"/>
      <c r="CB43" s="14"/>
      <c r="CC43" s="14"/>
      <c r="CD43" s="14"/>
      <c r="CF43" s="14"/>
      <c r="CJ43" s="16"/>
      <c r="CM43" s="14"/>
      <c r="CN43" s="14"/>
      <c r="CO43" s="14"/>
      <c r="CP43" s="14"/>
      <c r="CQ43" s="14"/>
      <c r="CR43" s="14"/>
      <c r="CS43" s="14"/>
      <c r="CT43" s="14"/>
      <c r="CU43" s="14"/>
      <c r="CV43" s="14"/>
    </row>
    <row r="44" spans="1:100" x14ac:dyDescent="0.2">
      <c r="A44" s="14"/>
      <c r="B44" s="14"/>
      <c r="C44" s="14"/>
      <c r="D44" s="14"/>
      <c r="E44" s="14"/>
      <c r="F44" s="14"/>
      <c r="G44" s="14"/>
      <c r="H44" s="14"/>
      <c r="I44" s="14"/>
      <c r="J44" s="14"/>
      <c r="K44" s="14"/>
      <c r="L44" s="15"/>
      <c r="M44" s="14"/>
      <c r="N44" s="14"/>
      <c r="O44" s="14"/>
      <c r="P44" s="14"/>
      <c r="Q44" s="16"/>
      <c r="R44" s="14"/>
      <c r="Z44" s="16"/>
      <c r="AC44" s="14"/>
      <c r="AD44" s="14"/>
      <c r="AE44" s="14"/>
      <c r="AF44" s="14"/>
      <c r="AG44" s="14"/>
      <c r="AH44" s="14"/>
      <c r="AI44" s="14"/>
      <c r="AJ44" s="14"/>
      <c r="AK44" s="14"/>
      <c r="AL44" s="14"/>
      <c r="AS44" s="14"/>
      <c r="AT44" s="14"/>
      <c r="AU44" s="14"/>
      <c r="AV44" s="14"/>
      <c r="AW44" s="14"/>
      <c r="AX44" s="14"/>
      <c r="AY44" s="14"/>
      <c r="BA44" s="14"/>
      <c r="BE44" s="16"/>
      <c r="BH44" s="14"/>
      <c r="BI44" s="14"/>
      <c r="BJ44" s="14"/>
      <c r="BK44" s="14"/>
      <c r="BL44" s="14"/>
      <c r="BM44" s="14"/>
      <c r="BN44" s="14"/>
      <c r="BO44" s="14"/>
      <c r="BP44" s="14"/>
      <c r="BQ44" s="14"/>
      <c r="BX44" s="14"/>
      <c r="BY44" s="14"/>
      <c r="BZ44" s="14"/>
      <c r="CA44" s="14"/>
      <c r="CB44" s="14"/>
      <c r="CC44" s="14"/>
      <c r="CD44" s="14"/>
      <c r="CF44" s="14"/>
      <c r="CJ44" s="16"/>
      <c r="CM44" s="14"/>
      <c r="CN44" s="14"/>
      <c r="CO44" s="14"/>
      <c r="CP44" s="14"/>
      <c r="CQ44" s="14"/>
      <c r="CR44" s="14"/>
      <c r="CS44" s="14"/>
      <c r="CT44" s="14"/>
      <c r="CU44" s="14"/>
      <c r="CV44" s="14"/>
    </row>
    <row r="45" spans="1:100" x14ac:dyDescent="0.2">
      <c r="A45" s="14"/>
      <c r="B45" s="14"/>
      <c r="C45" s="14"/>
      <c r="D45" s="14"/>
      <c r="E45" s="14"/>
      <c r="F45" s="14"/>
      <c r="G45" s="14"/>
      <c r="H45" s="14"/>
      <c r="I45" s="14"/>
      <c r="J45" s="14"/>
      <c r="K45" s="14"/>
      <c r="L45" s="15"/>
      <c r="M45" s="14"/>
      <c r="N45" s="14"/>
      <c r="O45" s="14"/>
      <c r="P45" s="14"/>
      <c r="Q45" s="16"/>
      <c r="R45" s="14"/>
      <c r="Z45" s="16"/>
      <c r="AC45" s="14"/>
      <c r="AD45" s="14"/>
      <c r="AE45" s="14"/>
      <c r="AF45" s="14"/>
      <c r="AG45" s="14"/>
      <c r="AH45" s="14"/>
      <c r="AI45" s="14"/>
      <c r="AJ45" s="14"/>
      <c r="AK45" s="14"/>
      <c r="AL45" s="14"/>
      <c r="AS45" s="14"/>
      <c r="AT45" s="14"/>
      <c r="AU45" s="14"/>
      <c r="AV45" s="14"/>
      <c r="AW45" s="14"/>
      <c r="AX45" s="14"/>
      <c r="AY45" s="14"/>
      <c r="BA45" s="14"/>
      <c r="BE45" s="16"/>
      <c r="BH45" s="14"/>
      <c r="BI45" s="14"/>
      <c r="BJ45" s="14"/>
      <c r="BK45" s="14"/>
      <c r="BL45" s="14"/>
      <c r="BM45" s="14"/>
      <c r="BN45" s="14"/>
      <c r="BO45" s="14"/>
      <c r="BP45" s="14"/>
      <c r="BQ45" s="14"/>
      <c r="BX45" s="14"/>
      <c r="BY45" s="14"/>
      <c r="BZ45" s="14"/>
      <c r="CA45" s="14"/>
      <c r="CB45" s="14"/>
      <c r="CC45" s="14"/>
      <c r="CD45" s="14"/>
      <c r="CF45" s="14"/>
      <c r="CJ45" s="16"/>
      <c r="CM45" s="14"/>
      <c r="CN45" s="14"/>
      <c r="CO45" s="14"/>
      <c r="CP45" s="14"/>
      <c r="CQ45" s="14"/>
      <c r="CR45" s="14"/>
      <c r="CS45" s="14"/>
      <c r="CT45" s="14"/>
      <c r="CU45" s="14"/>
      <c r="CV45" s="14"/>
    </row>
    <row r="46" spans="1:100" x14ac:dyDescent="0.2">
      <c r="A46" s="14"/>
      <c r="B46" s="14"/>
      <c r="C46" s="14"/>
      <c r="D46" s="14"/>
      <c r="E46" s="14"/>
      <c r="F46" s="14"/>
      <c r="G46" s="14"/>
      <c r="H46" s="14"/>
      <c r="I46" s="14"/>
      <c r="J46" s="14"/>
      <c r="K46" s="14"/>
      <c r="L46" s="15"/>
      <c r="M46" s="14"/>
      <c r="N46" s="14"/>
      <c r="O46" s="14"/>
      <c r="P46" s="14"/>
      <c r="Q46" s="16"/>
      <c r="R46" s="14"/>
      <c r="Z46" s="16"/>
      <c r="AC46" s="14"/>
      <c r="AD46" s="14"/>
      <c r="AE46" s="14"/>
      <c r="AF46" s="14"/>
      <c r="AG46" s="14"/>
      <c r="AH46" s="14"/>
      <c r="AI46" s="14"/>
      <c r="AJ46" s="14"/>
      <c r="AK46" s="14"/>
      <c r="AL46" s="14"/>
      <c r="AS46" s="14"/>
      <c r="AT46" s="14"/>
      <c r="AU46" s="14"/>
      <c r="AV46" s="14"/>
      <c r="AW46" s="14"/>
      <c r="AX46" s="14"/>
      <c r="AY46" s="14"/>
      <c r="BA46" s="14"/>
      <c r="BE46" s="16"/>
      <c r="BH46" s="14"/>
      <c r="BI46" s="14"/>
      <c r="BJ46" s="14"/>
      <c r="BK46" s="14"/>
      <c r="BL46" s="14"/>
      <c r="BM46" s="14"/>
      <c r="BN46" s="14"/>
      <c r="BO46" s="14"/>
      <c r="BP46" s="14"/>
      <c r="BQ46" s="14"/>
      <c r="BX46" s="14"/>
      <c r="BY46" s="14"/>
      <c r="BZ46" s="14"/>
      <c r="CA46" s="14"/>
      <c r="CB46" s="14"/>
      <c r="CC46" s="14"/>
      <c r="CD46" s="14"/>
      <c r="CF46" s="14"/>
      <c r="CJ46" s="16"/>
      <c r="CM46" s="14"/>
      <c r="CN46" s="14"/>
      <c r="CO46" s="14"/>
      <c r="CP46" s="14"/>
      <c r="CQ46" s="14"/>
      <c r="CR46" s="14"/>
      <c r="CS46" s="14"/>
      <c r="CT46" s="14"/>
      <c r="CU46" s="14"/>
      <c r="CV46" s="14"/>
    </row>
    <row r="47" spans="1:100" x14ac:dyDescent="0.2">
      <c r="A47" s="14"/>
      <c r="B47" s="14"/>
      <c r="C47" s="14"/>
      <c r="D47" s="14"/>
      <c r="E47" s="14"/>
      <c r="F47" s="14"/>
      <c r="G47" s="14"/>
      <c r="H47" s="14"/>
      <c r="I47" s="14"/>
      <c r="J47" s="14"/>
      <c r="K47" s="14"/>
      <c r="L47" s="15"/>
      <c r="M47" s="14"/>
      <c r="N47" s="14"/>
      <c r="O47" s="14"/>
      <c r="P47" s="14"/>
      <c r="Q47" s="16"/>
      <c r="R47" s="14"/>
      <c r="Z47" s="16"/>
      <c r="AC47" s="14"/>
      <c r="AD47" s="14"/>
      <c r="AE47" s="14"/>
      <c r="AF47" s="14"/>
      <c r="AG47" s="14"/>
      <c r="AH47" s="14"/>
      <c r="AI47" s="14"/>
      <c r="AJ47" s="14"/>
      <c r="AK47" s="14"/>
      <c r="AL47" s="14"/>
      <c r="AS47" s="14"/>
      <c r="AT47" s="14"/>
      <c r="AU47" s="14"/>
      <c r="AV47" s="14"/>
      <c r="AW47" s="14"/>
      <c r="AX47" s="14"/>
      <c r="AY47" s="14"/>
      <c r="BA47" s="14"/>
      <c r="BE47" s="16"/>
      <c r="BH47" s="14"/>
      <c r="BI47" s="14"/>
      <c r="BJ47" s="14"/>
      <c r="BK47" s="14"/>
      <c r="BL47" s="14"/>
      <c r="BM47" s="14"/>
      <c r="BN47" s="14"/>
      <c r="BO47" s="14"/>
      <c r="BP47" s="14"/>
      <c r="BQ47" s="14"/>
      <c r="BX47" s="14"/>
      <c r="BY47" s="14"/>
      <c r="BZ47" s="14"/>
      <c r="CA47" s="14"/>
      <c r="CB47" s="14"/>
      <c r="CC47" s="14"/>
      <c r="CD47" s="14"/>
      <c r="CF47" s="14"/>
      <c r="CJ47" s="16"/>
      <c r="CM47" s="14"/>
      <c r="CN47" s="14"/>
      <c r="CO47" s="14"/>
      <c r="CP47" s="14"/>
      <c r="CQ47" s="14"/>
      <c r="CR47" s="14"/>
      <c r="CS47" s="14"/>
      <c r="CT47" s="14"/>
      <c r="CU47" s="14"/>
      <c r="CV47" s="14"/>
    </row>
    <row r="48" spans="1:100" x14ac:dyDescent="0.2">
      <c r="A48" s="14"/>
      <c r="B48" s="14"/>
      <c r="C48" s="14"/>
      <c r="D48" s="14"/>
      <c r="E48" s="14"/>
      <c r="F48" s="14"/>
      <c r="G48" s="14"/>
      <c r="H48" s="14"/>
      <c r="I48" s="14"/>
      <c r="J48" s="14"/>
      <c r="K48" s="14"/>
      <c r="L48" s="15"/>
      <c r="M48" s="14"/>
      <c r="N48" s="14"/>
      <c r="O48" s="14"/>
      <c r="P48" s="14"/>
      <c r="Q48" s="16"/>
      <c r="R48" s="14"/>
      <c r="Z48" s="16"/>
      <c r="AC48" s="14"/>
      <c r="AD48" s="14"/>
      <c r="AE48" s="14"/>
      <c r="AF48" s="14"/>
      <c r="AG48" s="14"/>
      <c r="AH48" s="14"/>
      <c r="AI48" s="14"/>
      <c r="AJ48" s="14"/>
      <c r="AK48" s="14"/>
      <c r="AL48" s="14"/>
      <c r="AS48" s="14"/>
      <c r="AT48" s="14"/>
      <c r="AU48" s="14"/>
      <c r="AV48" s="14"/>
      <c r="AW48" s="14"/>
      <c r="AX48" s="14"/>
      <c r="AY48" s="14"/>
      <c r="BA48" s="14"/>
      <c r="BE48" s="16"/>
      <c r="BH48" s="14"/>
      <c r="BI48" s="14"/>
      <c r="BJ48" s="14"/>
      <c r="BK48" s="14"/>
      <c r="BL48" s="14"/>
      <c r="BM48" s="14"/>
      <c r="BN48" s="14"/>
      <c r="BO48" s="14"/>
      <c r="BP48" s="14"/>
      <c r="BQ48" s="14"/>
      <c r="BX48" s="14"/>
      <c r="BY48" s="14"/>
      <c r="BZ48" s="14"/>
      <c r="CA48" s="14"/>
      <c r="CB48" s="14"/>
      <c r="CC48" s="14"/>
      <c r="CD48" s="14"/>
      <c r="CF48" s="14"/>
      <c r="CJ48" s="16"/>
      <c r="CM48" s="14"/>
      <c r="CN48" s="14"/>
      <c r="CO48" s="14"/>
      <c r="CP48" s="14"/>
      <c r="CQ48" s="14"/>
      <c r="CR48" s="14"/>
      <c r="CS48" s="14"/>
      <c r="CT48" s="14"/>
      <c r="CU48" s="14"/>
      <c r="CV48" s="14"/>
    </row>
    <row r="49" spans="1:100" x14ac:dyDescent="0.2">
      <c r="A49" s="14"/>
      <c r="B49" s="14"/>
      <c r="C49" s="14"/>
      <c r="D49" s="14"/>
      <c r="E49" s="14"/>
      <c r="F49" s="14"/>
      <c r="G49" s="14"/>
      <c r="H49" s="14"/>
      <c r="I49" s="14"/>
      <c r="J49" s="14"/>
      <c r="K49" s="14"/>
      <c r="L49" s="15"/>
      <c r="M49" s="14"/>
      <c r="N49" s="14"/>
      <c r="O49" s="14"/>
      <c r="P49" s="14"/>
      <c r="Q49" s="16"/>
      <c r="R49" s="14"/>
      <c r="Z49" s="16"/>
      <c r="AC49" s="14"/>
      <c r="AD49" s="14"/>
      <c r="AE49" s="14"/>
      <c r="AF49" s="14"/>
      <c r="AG49" s="14"/>
      <c r="AH49" s="14"/>
      <c r="AI49" s="14"/>
      <c r="AJ49" s="14"/>
      <c r="AK49" s="14"/>
      <c r="AL49" s="14"/>
      <c r="AS49" s="14"/>
      <c r="AT49" s="14"/>
      <c r="AU49" s="14"/>
      <c r="AV49" s="14"/>
      <c r="AW49" s="14"/>
      <c r="AX49" s="14"/>
      <c r="AY49" s="14"/>
      <c r="BA49" s="14"/>
      <c r="BE49" s="16"/>
      <c r="BH49" s="14"/>
      <c r="BI49" s="14"/>
      <c r="BJ49" s="14"/>
      <c r="BK49" s="14"/>
      <c r="BL49" s="14"/>
      <c r="BM49" s="14"/>
      <c r="BN49" s="14"/>
      <c r="BO49" s="14"/>
      <c r="BP49" s="14"/>
      <c r="BQ49" s="14"/>
      <c r="BX49" s="14"/>
      <c r="BY49" s="14"/>
      <c r="BZ49" s="14"/>
      <c r="CA49" s="14"/>
      <c r="CB49" s="14"/>
      <c r="CC49" s="14"/>
      <c r="CD49" s="14"/>
      <c r="CF49" s="14"/>
      <c r="CJ49" s="16"/>
      <c r="CM49" s="14"/>
      <c r="CN49" s="14"/>
      <c r="CO49" s="14"/>
      <c r="CP49" s="14"/>
      <c r="CQ49" s="14"/>
      <c r="CR49" s="14"/>
      <c r="CS49" s="14"/>
      <c r="CT49" s="14"/>
      <c r="CU49" s="14"/>
      <c r="CV49" s="14"/>
    </row>
    <row r="50" spans="1:100" x14ac:dyDescent="0.2">
      <c r="A50" s="14"/>
      <c r="B50" s="14"/>
      <c r="C50" s="14"/>
      <c r="D50" s="14"/>
      <c r="E50" s="14"/>
      <c r="F50" s="14"/>
      <c r="G50" s="14"/>
      <c r="H50" s="14"/>
      <c r="I50" s="14"/>
      <c r="J50" s="14"/>
      <c r="K50" s="14"/>
      <c r="L50" s="15"/>
      <c r="M50" s="14"/>
      <c r="N50" s="14"/>
      <c r="O50" s="14"/>
      <c r="P50" s="14"/>
      <c r="Q50" s="16"/>
      <c r="R50" s="14"/>
      <c r="Z50" s="16"/>
      <c r="AC50" s="14"/>
      <c r="AD50" s="14"/>
      <c r="AE50" s="14"/>
      <c r="AF50" s="14"/>
      <c r="AG50" s="14"/>
      <c r="AH50" s="14"/>
      <c r="AI50" s="14"/>
      <c r="AJ50" s="14"/>
      <c r="AK50" s="14"/>
      <c r="AL50" s="14"/>
      <c r="AS50" s="14"/>
      <c r="AT50" s="14"/>
      <c r="AU50" s="14"/>
      <c r="AV50" s="14"/>
      <c r="AW50" s="14"/>
      <c r="AX50" s="14"/>
      <c r="AY50" s="14"/>
      <c r="BA50" s="14"/>
      <c r="BE50" s="16"/>
      <c r="BH50" s="14"/>
      <c r="BI50" s="14"/>
      <c r="BJ50" s="14"/>
      <c r="BK50" s="14"/>
      <c r="BL50" s="14"/>
      <c r="BM50" s="14"/>
      <c r="BN50" s="14"/>
      <c r="BO50" s="14"/>
      <c r="BP50" s="14"/>
      <c r="BQ50" s="14"/>
      <c r="BX50" s="14"/>
      <c r="BY50" s="14"/>
      <c r="BZ50" s="14"/>
      <c r="CA50" s="14"/>
      <c r="CB50" s="14"/>
      <c r="CC50" s="14"/>
      <c r="CD50" s="14"/>
      <c r="CF50" s="14"/>
      <c r="CJ50" s="16"/>
      <c r="CM50" s="14"/>
      <c r="CN50" s="14"/>
      <c r="CO50" s="14"/>
      <c r="CP50" s="14"/>
      <c r="CQ50" s="14"/>
      <c r="CR50" s="14"/>
      <c r="CS50" s="14"/>
      <c r="CT50" s="14"/>
      <c r="CU50" s="14"/>
      <c r="CV50" s="14"/>
    </row>
    <row r="51" spans="1:100" x14ac:dyDescent="0.2">
      <c r="A51" s="14"/>
      <c r="B51" s="14"/>
      <c r="C51" s="14"/>
      <c r="D51" s="14"/>
      <c r="E51" s="14"/>
      <c r="F51" s="14"/>
      <c r="G51" s="14"/>
      <c r="H51" s="14"/>
      <c r="I51" s="14"/>
      <c r="J51" s="14"/>
      <c r="K51" s="14"/>
      <c r="L51" s="15"/>
      <c r="M51" s="14"/>
      <c r="N51" s="14"/>
      <c r="O51" s="14"/>
      <c r="P51" s="14"/>
      <c r="Q51" s="16"/>
      <c r="R51" s="14"/>
      <c r="Z51" s="16"/>
      <c r="AC51" s="14"/>
      <c r="AD51" s="14"/>
      <c r="AE51" s="14"/>
      <c r="AF51" s="14"/>
      <c r="AG51" s="14"/>
      <c r="AH51" s="14"/>
      <c r="AI51" s="14"/>
      <c r="AJ51" s="14"/>
      <c r="AK51" s="14"/>
      <c r="AL51" s="14"/>
      <c r="AS51" s="14"/>
      <c r="AT51" s="14"/>
      <c r="AU51" s="14"/>
      <c r="AV51" s="14"/>
      <c r="AW51" s="14"/>
      <c r="AX51" s="14"/>
      <c r="AY51" s="14"/>
      <c r="BA51" s="14"/>
      <c r="BE51" s="16"/>
      <c r="BH51" s="14"/>
      <c r="BI51" s="14"/>
      <c r="BJ51" s="14"/>
      <c r="BK51" s="14"/>
      <c r="BL51" s="14"/>
      <c r="BM51" s="14"/>
      <c r="BN51" s="14"/>
      <c r="BO51" s="14"/>
      <c r="BP51" s="14"/>
      <c r="BQ51" s="14"/>
      <c r="BX51" s="14"/>
      <c r="BY51" s="14"/>
      <c r="BZ51" s="14"/>
      <c r="CA51" s="14"/>
      <c r="CB51" s="14"/>
      <c r="CC51" s="14"/>
      <c r="CD51" s="14"/>
      <c r="CF51" s="14"/>
      <c r="CJ51" s="16"/>
      <c r="CM51" s="14"/>
      <c r="CN51" s="14"/>
      <c r="CO51" s="14"/>
      <c r="CP51" s="14"/>
      <c r="CQ51" s="14"/>
      <c r="CR51" s="14"/>
      <c r="CS51" s="14"/>
      <c r="CT51" s="14"/>
      <c r="CU51" s="14"/>
      <c r="CV51" s="14"/>
    </row>
    <row r="52" spans="1:100" x14ac:dyDescent="0.2">
      <c r="A52" s="14"/>
      <c r="B52" s="14"/>
      <c r="C52" s="14"/>
      <c r="D52" s="14"/>
      <c r="E52" s="14"/>
      <c r="F52" s="14"/>
      <c r="G52" s="14"/>
      <c r="H52" s="14"/>
      <c r="I52" s="14"/>
      <c r="J52" s="14"/>
      <c r="K52" s="14"/>
      <c r="L52" s="15"/>
      <c r="M52" s="14"/>
      <c r="N52" s="14"/>
      <c r="O52" s="14"/>
      <c r="P52" s="14"/>
      <c r="Q52" s="16"/>
      <c r="R52" s="14"/>
      <c r="Z52" s="16"/>
      <c r="AC52" s="14"/>
      <c r="AD52" s="14"/>
      <c r="AE52" s="14"/>
      <c r="AF52" s="14"/>
      <c r="AG52" s="14"/>
      <c r="AH52" s="14"/>
      <c r="AI52" s="14"/>
      <c r="AJ52" s="14"/>
      <c r="AK52" s="14"/>
      <c r="AL52" s="14"/>
      <c r="AS52" s="14"/>
      <c r="AT52" s="14"/>
      <c r="AU52" s="14"/>
      <c r="AV52" s="14"/>
      <c r="AW52" s="14"/>
      <c r="AX52" s="14"/>
      <c r="AY52" s="14"/>
      <c r="BA52" s="14"/>
      <c r="BE52" s="16"/>
      <c r="BH52" s="14"/>
      <c r="BI52" s="14"/>
      <c r="BJ52" s="14"/>
      <c r="BK52" s="14"/>
      <c r="BL52" s="14"/>
      <c r="BM52" s="14"/>
      <c r="BN52" s="14"/>
      <c r="BO52" s="14"/>
      <c r="BP52" s="14"/>
      <c r="BQ52" s="14"/>
      <c r="BX52" s="14"/>
      <c r="BY52" s="14"/>
      <c r="BZ52" s="14"/>
      <c r="CA52" s="14"/>
      <c r="CB52" s="14"/>
      <c r="CC52" s="14"/>
      <c r="CD52" s="14"/>
      <c r="CF52" s="14"/>
      <c r="CJ52" s="16"/>
      <c r="CM52" s="14"/>
      <c r="CN52" s="14"/>
      <c r="CO52" s="14"/>
      <c r="CP52" s="14"/>
      <c r="CQ52" s="14"/>
      <c r="CR52" s="14"/>
      <c r="CS52" s="14"/>
      <c r="CT52" s="14"/>
      <c r="CU52" s="14"/>
      <c r="CV52" s="14"/>
    </row>
    <row r="53" spans="1:100" x14ac:dyDescent="0.2">
      <c r="A53" s="14"/>
      <c r="B53" s="14"/>
      <c r="C53" s="14"/>
      <c r="D53" s="14"/>
      <c r="E53" s="14"/>
      <c r="F53" s="14"/>
      <c r="G53" s="14"/>
      <c r="H53" s="14"/>
      <c r="I53" s="14"/>
      <c r="J53" s="14"/>
      <c r="K53" s="14"/>
      <c r="L53" s="15"/>
      <c r="M53" s="14"/>
      <c r="N53" s="14"/>
      <c r="O53" s="14"/>
      <c r="P53" s="14"/>
      <c r="Q53" s="16"/>
      <c r="R53" s="14"/>
      <c r="Z53" s="16"/>
      <c r="AC53" s="14"/>
      <c r="AD53" s="14"/>
      <c r="AE53" s="14"/>
      <c r="AF53" s="14"/>
      <c r="AG53" s="14"/>
      <c r="AH53" s="14"/>
      <c r="AI53" s="14"/>
      <c r="AJ53" s="14"/>
      <c r="AK53" s="14"/>
      <c r="AL53" s="14"/>
      <c r="AS53" s="14"/>
      <c r="AT53" s="14"/>
      <c r="AU53" s="14"/>
      <c r="AV53" s="14"/>
      <c r="AW53" s="14"/>
      <c r="AX53" s="14"/>
      <c r="AY53" s="14"/>
      <c r="BA53" s="14"/>
      <c r="BE53" s="16"/>
      <c r="BH53" s="14"/>
      <c r="BI53" s="14"/>
      <c r="BJ53" s="14"/>
      <c r="BK53" s="14"/>
      <c r="BL53" s="14"/>
      <c r="BM53" s="14"/>
      <c r="BN53" s="14"/>
      <c r="BO53" s="14"/>
      <c r="BP53" s="14"/>
      <c r="BQ53" s="14"/>
      <c r="BX53" s="14"/>
      <c r="BY53" s="14"/>
      <c r="BZ53" s="14"/>
      <c r="CA53" s="14"/>
      <c r="CB53" s="14"/>
      <c r="CC53" s="14"/>
      <c r="CD53" s="14"/>
      <c r="CF53" s="14"/>
      <c r="CJ53" s="16"/>
      <c r="CM53" s="14"/>
      <c r="CN53" s="14"/>
      <c r="CO53" s="14"/>
      <c r="CP53" s="14"/>
      <c r="CQ53" s="14"/>
      <c r="CR53" s="14"/>
      <c r="CS53" s="14"/>
      <c r="CT53" s="14"/>
      <c r="CU53" s="14"/>
      <c r="CV53" s="14"/>
    </row>
    <row r="54" spans="1:100" x14ac:dyDescent="0.2">
      <c r="A54" s="14"/>
      <c r="B54" s="14"/>
      <c r="C54" s="14"/>
      <c r="D54" s="14"/>
      <c r="E54" s="14"/>
      <c r="F54" s="14"/>
      <c r="G54" s="14"/>
      <c r="H54" s="14"/>
      <c r="I54" s="14"/>
      <c r="J54" s="14"/>
      <c r="K54" s="14"/>
      <c r="L54" s="15"/>
      <c r="M54" s="14"/>
      <c r="N54" s="14"/>
      <c r="O54" s="14"/>
      <c r="P54" s="14"/>
      <c r="Q54" s="16"/>
      <c r="R54" s="14"/>
      <c r="Z54" s="16"/>
      <c r="AC54" s="14"/>
      <c r="AD54" s="14"/>
      <c r="AE54" s="14"/>
      <c r="AF54" s="14"/>
      <c r="AG54" s="14"/>
      <c r="AH54" s="14"/>
      <c r="AI54" s="14"/>
      <c r="AJ54" s="14"/>
      <c r="AK54" s="14"/>
      <c r="AL54" s="14"/>
      <c r="AS54" s="14"/>
      <c r="AT54" s="14"/>
      <c r="AU54" s="14"/>
      <c r="AV54" s="14"/>
      <c r="AW54" s="14"/>
      <c r="AX54" s="14"/>
      <c r="AY54" s="14"/>
      <c r="BA54" s="14"/>
      <c r="BE54" s="16"/>
      <c r="BH54" s="14"/>
      <c r="BI54" s="14"/>
      <c r="BJ54" s="14"/>
      <c r="BK54" s="14"/>
      <c r="BL54" s="14"/>
      <c r="BM54" s="14"/>
      <c r="BN54" s="14"/>
      <c r="BO54" s="14"/>
      <c r="BP54" s="14"/>
      <c r="BQ54" s="14"/>
      <c r="BX54" s="14"/>
      <c r="BY54" s="14"/>
      <c r="BZ54" s="14"/>
      <c r="CA54" s="14"/>
      <c r="CB54" s="14"/>
      <c r="CC54" s="14"/>
      <c r="CD54" s="14"/>
      <c r="CF54" s="14"/>
      <c r="CJ54" s="16"/>
      <c r="CM54" s="14"/>
      <c r="CN54" s="14"/>
      <c r="CO54" s="14"/>
      <c r="CP54" s="14"/>
      <c r="CQ54" s="14"/>
      <c r="CR54" s="14"/>
      <c r="CS54" s="14"/>
      <c r="CT54" s="14"/>
      <c r="CU54" s="14"/>
      <c r="CV54" s="14"/>
    </row>
    <row r="55" spans="1:100" x14ac:dyDescent="0.2">
      <c r="A55" s="14"/>
      <c r="B55" s="14"/>
      <c r="C55" s="14"/>
      <c r="D55" s="14"/>
      <c r="E55" s="14"/>
      <c r="F55" s="14"/>
      <c r="G55" s="14"/>
      <c r="H55" s="14"/>
      <c r="I55" s="14"/>
      <c r="J55" s="14"/>
      <c r="K55" s="14"/>
      <c r="L55" s="15"/>
      <c r="M55" s="14"/>
      <c r="N55" s="14"/>
      <c r="O55" s="14"/>
      <c r="P55" s="14"/>
      <c r="Q55" s="16"/>
      <c r="R55" s="14"/>
      <c r="Z55" s="16"/>
      <c r="AC55" s="14"/>
      <c r="AD55" s="14"/>
      <c r="AE55" s="14"/>
      <c r="AF55" s="14"/>
      <c r="AG55" s="14"/>
      <c r="AH55" s="14"/>
      <c r="AI55" s="14"/>
      <c r="AJ55" s="14"/>
      <c r="AK55" s="14"/>
      <c r="AL55" s="14"/>
      <c r="AS55" s="14"/>
      <c r="AT55" s="14"/>
      <c r="AU55" s="14"/>
      <c r="AV55" s="14"/>
      <c r="AW55" s="14"/>
      <c r="AX55" s="14"/>
      <c r="AY55" s="14"/>
      <c r="BA55" s="14"/>
      <c r="BE55" s="16"/>
      <c r="BH55" s="14"/>
      <c r="BI55" s="14"/>
      <c r="BJ55" s="14"/>
      <c r="BK55" s="14"/>
      <c r="BL55" s="14"/>
      <c r="BM55" s="14"/>
      <c r="BN55" s="14"/>
      <c r="BO55" s="14"/>
      <c r="BP55" s="14"/>
      <c r="BQ55" s="14"/>
      <c r="BX55" s="14"/>
      <c r="BY55" s="14"/>
      <c r="BZ55" s="14"/>
      <c r="CA55" s="14"/>
      <c r="CB55" s="14"/>
      <c r="CC55" s="14"/>
      <c r="CD55" s="14"/>
      <c r="CF55" s="14"/>
      <c r="CJ55" s="16"/>
      <c r="CM55" s="14"/>
      <c r="CN55" s="14"/>
      <c r="CO55" s="14"/>
      <c r="CP55" s="14"/>
      <c r="CQ55" s="14"/>
      <c r="CR55" s="14"/>
      <c r="CS55" s="14"/>
      <c r="CT55" s="14"/>
      <c r="CU55" s="14"/>
      <c r="CV55" s="14"/>
    </row>
    <row r="56" spans="1:100" x14ac:dyDescent="0.2">
      <c r="A56" s="14"/>
      <c r="B56" s="14"/>
      <c r="C56" s="14"/>
      <c r="D56" s="14"/>
      <c r="E56" s="14"/>
      <c r="F56" s="14"/>
      <c r="G56" s="14"/>
      <c r="H56" s="14"/>
      <c r="I56" s="14"/>
      <c r="J56" s="14"/>
      <c r="K56" s="14"/>
      <c r="L56" s="15"/>
      <c r="M56" s="14"/>
      <c r="N56" s="14"/>
      <c r="O56" s="14"/>
      <c r="P56" s="14"/>
      <c r="Q56" s="16"/>
      <c r="R56" s="14"/>
      <c r="Z56" s="16"/>
      <c r="AC56" s="14"/>
      <c r="AD56" s="14"/>
      <c r="AE56" s="14"/>
      <c r="AF56" s="14"/>
      <c r="AG56" s="14"/>
      <c r="AH56" s="14"/>
      <c r="AI56" s="14"/>
      <c r="AJ56" s="14"/>
      <c r="AK56" s="14"/>
      <c r="AL56" s="14"/>
      <c r="AS56" s="14"/>
      <c r="AT56" s="14"/>
      <c r="AU56" s="14"/>
      <c r="AV56" s="14"/>
      <c r="AW56" s="14"/>
      <c r="AX56" s="14"/>
      <c r="AY56" s="14"/>
      <c r="BA56" s="14"/>
      <c r="BE56" s="16"/>
      <c r="BH56" s="14"/>
      <c r="BI56" s="14"/>
      <c r="BJ56" s="14"/>
      <c r="BK56" s="14"/>
      <c r="BL56" s="14"/>
      <c r="BM56" s="14"/>
      <c r="BN56" s="14"/>
      <c r="BO56" s="14"/>
      <c r="BP56" s="14"/>
      <c r="BQ56" s="14"/>
      <c r="BX56" s="14"/>
      <c r="BY56" s="14"/>
      <c r="BZ56" s="14"/>
      <c r="CA56" s="14"/>
      <c r="CB56" s="14"/>
      <c r="CC56" s="14"/>
      <c r="CD56" s="14"/>
      <c r="CF56" s="14"/>
      <c r="CJ56" s="16"/>
      <c r="CM56" s="14"/>
      <c r="CN56" s="14"/>
      <c r="CO56" s="14"/>
      <c r="CP56" s="14"/>
      <c r="CQ56" s="14"/>
      <c r="CR56" s="14"/>
      <c r="CS56" s="14"/>
      <c r="CT56" s="14"/>
      <c r="CU56" s="14"/>
      <c r="CV56" s="14"/>
    </row>
    <row r="57" spans="1:100" x14ac:dyDescent="0.2">
      <c r="A57" s="14"/>
      <c r="B57" s="14"/>
      <c r="C57" s="14"/>
      <c r="D57" s="14"/>
      <c r="E57" s="14"/>
      <c r="F57" s="14"/>
      <c r="G57" s="14"/>
      <c r="H57" s="14"/>
      <c r="I57" s="14"/>
      <c r="J57" s="14"/>
      <c r="K57" s="14"/>
      <c r="L57" s="15"/>
      <c r="M57" s="14"/>
      <c r="N57" s="14"/>
      <c r="O57" s="14"/>
      <c r="P57" s="14"/>
      <c r="Q57" s="16"/>
      <c r="R57" s="14"/>
      <c r="Z57" s="16"/>
      <c r="AC57" s="14"/>
      <c r="AD57" s="14"/>
      <c r="AE57" s="14"/>
      <c r="AF57" s="14"/>
      <c r="AG57" s="14"/>
      <c r="AH57" s="14"/>
      <c r="AI57" s="14"/>
      <c r="AJ57" s="14"/>
      <c r="AK57" s="14"/>
      <c r="AL57" s="14"/>
      <c r="AS57" s="14"/>
      <c r="AT57" s="14"/>
      <c r="AU57" s="14"/>
      <c r="AV57" s="14"/>
      <c r="AW57" s="14"/>
      <c r="AX57" s="14"/>
      <c r="AY57" s="14"/>
      <c r="BA57" s="14"/>
      <c r="BE57" s="16"/>
      <c r="BH57" s="14"/>
      <c r="BI57" s="14"/>
      <c r="BJ57" s="14"/>
      <c r="BK57" s="14"/>
      <c r="BL57" s="14"/>
      <c r="BM57" s="14"/>
      <c r="BN57" s="14"/>
      <c r="BO57" s="14"/>
      <c r="BP57" s="14"/>
      <c r="BQ57" s="14"/>
      <c r="BX57" s="14"/>
      <c r="BY57" s="14"/>
      <c r="BZ57" s="14"/>
      <c r="CA57" s="14"/>
      <c r="CB57" s="14"/>
      <c r="CC57" s="14"/>
      <c r="CD57" s="14"/>
      <c r="CF57" s="14"/>
      <c r="CJ57" s="16"/>
      <c r="CM57" s="14"/>
      <c r="CN57" s="14"/>
      <c r="CO57" s="14"/>
      <c r="CP57" s="14"/>
      <c r="CQ57" s="14"/>
      <c r="CR57" s="14"/>
      <c r="CS57" s="14"/>
      <c r="CT57" s="14"/>
      <c r="CU57" s="14"/>
      <c r="CV57" s="14"/>
    </row>
    <row r="58" spans="1:100" x14ac:dyDescent="0.2">
      <c r="A58" s="14"/>
      <c r="B58" s="14"/>
      <c r="C58" s="14"/>
      <c r="D58" s="14"/>
      <c r="E58" s="14"/>
      <c r="F58" s="14"/>
      <c r="G58" s="14"/>
      <c r="H58" s="14"/>
      <c r="I58" s="14"/>
      <c r="J58" s="14"/>
      <c r="K58" s="14"/>
      <c r="L58" s="15"/>
      <c r="M58" s="14"/>
      <c r="N58" s="14"/>
      <c r="O58" s="14"/>
      <c r="P58" s="14"/>
      <c r="Q58" s="16"/>
      <c r="R58" s="14"/>
      <c r="Z58" s="16"/>
      <c r="AC58" s="14"/>
      <c r="AD58" s="14"/>
      <c r="AE58" s="14"/>
      <c r="AF58" s="14"/>
      <c r="AG58" s="14"/>
      <c r="AH58" s="14"/>
      <c r="AI58" s="14"/>
      <c r="AJ58" s="14"/>
      <c r="AK58" s="14"/>
      <c r="AL58" s="14"/>
      <c r="AS58" s="14"/>
      <c r="AT58" s="14"/>
      <c r="AU58" s="14"/>
      <c r="AV58" s="14"/>
      <c r="AW58" s="14"/>
      <c r="AX58" s="14"/>
      <c r="AY58" s="14"/>
      <c r="BA58" s="14"/>
      <c r="BE58" s="16"/>
      <c r="BH58" s="14"/>
      <c r="BI58" s="14"/>
      <c r="BJ58" s="14"/>
      <c r="BK58" s="14"/>
      <c r="BL58" s="14"/>
      <c r="BM58" s="14"/>
      <c r="BN58" s="14"/>
      <c r="BO58" s="14"/>
      <c r="BP58" s="14"/>
      <c r="BQ58" s="14"/>
      <c r="BX58" s="14"/>
      <c r="BY58" s="14"/>
      <c r="BZ58" s="14"/>
      <c r="CA58" s="14"/>
      <c r="CB58" s="14"/>
      <c r="CC58" s="14"/>
      <c r="CD58" s="14"/>
      <c r="CF58" s="14"/>
      <c r="CJ58" s="16"/>
      <c r="CM58" s="14"/>
      <c r="CN58" s="14"/>
      <c r="CO58" s="14"/>
      <c r="CP58" s="14"/>
      <c r="CQ58" s="14"/>
      <c r="CR58" s="14"/>
      <c r="CS58" s="14"/>
      <c r="CT58" s="14"/>
      <c r="CU58" s="14"/>
      <c r="CV58" s="14"/>
    </row>
    <row r="59" spans="1:100" x14ac:dyDescent="0.2">
      <c r="A59" s="14"/>
      <c r="B59" s="14"/>
      <c r="C59" s="14"/>
      <c r="D59" s="14"/>
      <c r="E59" s="14"/>
      <c r="F59" s="14"/>
      <c r="G59" s="14"/>
      <c r="H59" s="14"/>
      <c r="I59" s="14"/>
      <c r="J59" s="14"/>
      <c r="K59" s="14"/>
      <c r="L59" s="15"/>
      <c r="M59" s="14"/>
      <c r="N59" s="14"/>
      <c r="O59" s="14"/>
      <c r="P59" s="14"/>
      <c r="Q59" s="16"/>
      <c r="R59" s="14"/>
      <c r="Z59" s="16"/>
      <c r="AC59" s="14"/>
      <c r="AD59" s="14"/>
      <c r="AE59" s="14"/>
      <c r="AF59" s="14"/>
      <c r="AG59" s="14"/>
      <c r="AH59" s="14"/>
      <c r="AI59" s="14"/>
      <c r="AJ59" s="14"/>
      <c r="AK59" s="14"/>
      <c r="AL59" s="14"/>
      <c r="AS59" s="14"/>
      <c r="AT59" s="14"/>
      <c r="AU59" s="14"/>
      <c r="AV59" s="14"/>
      <c r="AW59" s="14"/>
      <c r="AX59" s="14"/>
      <c r="AY59" s="14"/>
      <c r="BA59" s="14"/>
      <c r="BE59" s="16"/>
      <c r="BH59" s="14"/>
      <c r="BI59" s="14"/>
      <c r="BJ59" s="14"/>
      <c r="BK59" s="14"/>
      <c r="BL59" s="14"/>
      <c r="BM59" s="14"/>
      <c r="BN59" s="14"/>
      <c r="BO59" s="14"/>
      <c r="BP59" s="14"/>
      <c r="BQ59" s="14"/>
      <c r="BX59" s="14"/>
      <c r="BY59" s="14"/>
      <c r="BZ59" s="14"/>
      <c r="CA59" s="14"/>
      <c r="CB59" s="14"/>
      <c r="CC59" s="14"/>
      <c r="CD59" s="14"/>
      <c r="CF59" s="14"/>
      <c r="CJ59" s="16"/>
      <c r="CM59" s="14"/>
      <c r="CN59" s="14"/>
      <c r="CO59" s="14"/>
      <c r="CP59" s="14"/>
      <c r="CQ59" s="14"/>
      <c r="CR59" s="14"/>
      <c r="CS59" s="14"/>
      <c r="CT59" s="14"/>
      <c r="CU59" s="14"/>
      <c r="CV59" s="14"/>
    </row>
    <row r="60" spans="1:100" x14ac:dyDescent="0.2">
      <c r="A60" s="14"/>
      <c r="B60" s="14"/>
      <c r="C60" s="14"/>
      <c r="D60" s="14"/>
      <c r="E60" s="14"/>
      <c r="F60" s="14"/>
      <c r="G60" s="14"/>
      <c r="H60" s="14"/>
      <c r="I60" s="14"/>
      <c r="J60" s="14"/>
      <c r="K60" s="14"/>
      <c r="L60" s="15"/>
      <c r="M60" s="14"/>
      <c r="N60" s="14"/>
      <c r="O60" s="14"/>
      <c r="P60" s="14"/>
      <c r="Q60" s="16"/>
      <c r="R60" s="14"/>
      <c r="Z60" s="16"/>
      <c r="AC60" s="14"/>
      <c r="AD60" s="14"/>
      <c r="AE60" s="14"/>
      <c r="AF60" s="14"/>
      <c r="AG60" s="14"/>
      <c r="AH60" s="14"/>
      <c r="AI60" s="14"/>
      <c r="AJ60" s="14"/>
      <c r="AK60" s="14"/>
      <c r="AL60" s="14"/>
      <c r="AS60" s="14"/>
      <c r="AT60" s="14"/>
      <c r="AU60" s="14"/>
      <c r="AV60" s="14"/>
      <c r="AW60" s="14"/>
      <c r="AX60" s="14"/>
      <c r="AY60" s="14"/>
      <c r="BA60" s="14"/>
      <c r="BE60" s="16"/>
      <c r="BH60" s="14"/>
      <c r="BI60" s="14"/>
      <c r="BJ60" s="14"/>
      <c r="BK60" s="14"/>
      <c r="BL60" s="14"/>
      <c r="BM60" s="14"/>
      <c r="BN60" s="14"/>
      <c r="BO60" s="14"/>
      <c r="BP60" s="14"/>
      <c r="BQ60" s="14"/>
      <c r="BX60" s="14"/>
      <c r="BY60" s="14"/>
      <c r="BZ60" s="14"/>
      <c r="CA60" s="14"/>
      <c r="CB60" s="14"/>
      <c r="CC60" s="14"/>
      <c r="CD60" s="14"/>
      <c r="CF60" s="14"/>
      <c r="CJ60" s="16"/>
      <c r="CM60" s="14"/>
      <c r="CN60" s="14"/>
      <c r="CO60" s="14"/>
      <c r="CP60" s="14"/>
      <c r="CQ60" s="14"/>
      <c r="CR60" s="14"/>
      <c r="CS60" s="14"/>
      <c r="CT60" s="14"/>
      <c r="CU60" s="14"/>
      <c r="CV60" s="14"/>
    </row>
    <row r="61" spans="1:100" x14ac:dyDescent="0.2">
      <c r="A61" s="14"/>
      <c r="B61" s="14"/>
      <c r="C61" s="14"/>
      <c r="D61" s="14"/>
      <c r="E61" s="14"/>
      <c r="F61" s="14"/>
      <c r="G61" s="14"/>
      <c r="H61" s="14"/>
      <c r="I61" s="14"/>
      <c r="J61" s="14"/>
      <c r="K61" s="14"/>
      <c r="L61" s="15"/>
      <c r="M61" s="14"/>
      <c r="N61" s="14"/>
      <c r="O61" s="14"/>
      <c r="P61" s="14"/>
      <c r="Q61" s="16"/>
      <c r="R61" s="14"/>
      <c r="Z61" s="16"/>
      <c r="AC61" s="14"/>
      <c r="AD61" s="14"/>
      <c r="AE61" s="14"/>
      <c r="AF61" s="14"/>
      <c r="AG61" s="14"/>
      <c r="AH61" s="14"/>
      <c r="AI61" s="14"/>
      <c r="AJ61" s="14"/>
      <c r="AK61" s="14"/>
      <c r="AL61" s="14"/>
      <c r="AS61" s="14"/>
      <c r="AT61" s="14"/>
      <c r="AU61" s="14"/>
      <c r="AV61" s="14"/>
      <c r="AW61" s="14"/>
      <c r="AX61" s="14"/>
      <c r="AY61" s="14"/>
      <c r="BA61" s="14"/>
      <c r="BE61" s="16"/>
      <c r="BH61" s="14"/>
      <c r="BI61" s="14"/>
      <c r="BJ61" s="14"/>
      <c r="BK61" s="14"/>
      <c r="BL61" s="14"/>
      <c r="BM61" s="14"/>
      <c r="BN61" s="14"/>
      <c r="BO61" s="14"/>
      <c r="BP61" s="14"/>
      <c r="BQ61" s="14"/>
      <c r="BX61" s="14"/>
      <c r="BY61" s="14"/>
      <c r="BZ61" s="14"/>
      <c r="CA61" s="14"/>
      <c r="CB61" s="14"/>
      <c r="CC61" s="14"/>
      <c r="CD61" s="14"/>
      <c r="CF61" s="14"/>
      <c r="CJ61" s="16"/>
      <c r="CM61" s="14"/>
      <c r="CN61" s="14"/>
      <c r="CO61" s="14"/>
      <c r="CP61" s="14"/>
      <c r="CQ61" s="14"/>
      <c r="CR61" s="14"/>
      <c r="CS61" s="14"/>
      <c r="CT61" s="14"/>
      <c r="CU61" s="14"/>
      <c r="CV61" s="14"/>
    </row>
    <row r="62" spans="1:100" x14ac:dyDescent="0.2">
      <c r="A62" s="14"/>
      <c r="B62" s="14"/>
      <c r="C62" s="14"/>
      <c r="D62" s="14"/>
      <c r="E62" s="14"/>
      <c r="F62" s="14"/>
      <c r="G62" s="14"/>
      <c r="H62" s="14"/>
      <c r="I62" s="14"/>
      <c r="J62" s="14"/>
      <c r="K62" s="14"/>
      <c r="L62" s="15"/>
      <c r="M62" s="14"/>
      <c r="N62" s="14"/>
      <c r="O62" s="14"/>
      <c r="P62" s="14"/>
      <c r="Q62" s="16"/>
      <c r="R62" s="14"/>
      <c r="Z62" s="16"/>
      <c r="AC62" s="14"/>
      <c r="AD62" s="14"/>
      <c r="AE62" s="14"/>
      <c r="AF62" s="14"/>
      <c r="AG62" s="14"/>
      <c r="AH62" s="14"/>
      <c r="AI62" s="14"/>
      <c r="AJ62" s="14"/>
      <c r="AK62" s="14"/>
      <c r="AL62" s="14"/>
      <c r="AS62" s="14"/>
      <c r="AT62" s="14"/>
      <c r="AU62" s="14"/>
      <c r="AV62" s="14"/>
      <c r="AW62" s="14"/>
      <c r="AX62" s="14"/>
      <c r="AY62" s="14"/>
      <c r="BA62" s="14"/>
      <c r="BE62" s="16"/>
      <c r="BH62" s="14"/>
      <c r="BI62" s="14"/>
      <c r="BJ62" s="14"/>
      <c r="BK62" s="14"/>
      <c r="BL62" s="14"/>
      <c r="BM62" s="14"/>
      <c r="BN62" s="14"/>
      <c r="BO62" s="14"/>
      <c r="BP62" s="14"/>
      <c r="BQ62" s="14"/>
      <c r="BX62" s="14"/>
      <c r="BY62" s="14"/>
      <c r="BZ62" s="14"/>
      <c r="CA62" s="14"/>
      <c r="CB62" s="14"/>
      <c r="CC62" s="14"/>
      <c r="CD62" s="14"/>
      <c r="CF62" s="14"/>
      <c r="CJ62" s="16"/>
      <c r="CM62" s="14"/>
      <c r="CN62" s="14"/>
      <c r="CO62" s="14"/>
      <c r="CP62" s="14"/>
      <c r="CQ62" s="14"/>
      <c r="CR62" s="14"/>
      <c r="CS62" s="14"/>
      <c r="CT62" s="14"/>
      <c r="CU62" s="14"/>
      <c r="CV62" s="14"/>
    </row>
    <row r="63" spans="1:100" x14ac:dyDescent="0.2">
      <c r="A63" s="14"/>
      <c r="B63" s="14"/>
      <c r="C63" s="14"/>
      <c r="D63" s="14"/>
      <c r="E63" s="14"/>
      <c r="F63" s="14"/>
      <c r="G63" s="14"/>
      <c r="H63" s="14"/>
      <c r="I63" s="14"/>
      <c r="J63" s="14"/>
      <c r="K63" s="14"/>
      <c r="L63" s="15"/>
      <c r="M63" s="14"/>
      <c r="N63" s="14"/>
      <c r="O63" s="14"/>
      <c r="P63" s="14"/>
      <c r="Q63" s="16"/>
      <c r="R63" s="14"/>
      <c r="Z63" s="16"/>
      <c r="AC63" s="14"/>
      <c r="AD63" s="14"/>
      <c r="AE63" s="14"/>
      <c r="AF63" s="14"/>
      <c r="AG63" s="14"/>
      <c r="AH63" s="14"/>
      <c r="AI63" s="14"/>
      <c r="AJ63" s="14"/>
      <c r="AK63" s="14"/>
      <c r="AL63" s="14"/>
      <c r="AS63" s="14"/>
      <c r="AT63" s="14"/>
      <c r="AU63" s="14"/>
      <c r="AV63" s="14"/>
      <c r="AW63" s="14"/>
      <c r="AX63" s="14"/>
      <c r="AY63" s="14"/>
      <c r="BA63" s="14"/>
      <c r="BE63" s="16"/>
      <c r="BH63" s="14"/>
      <c r="BI63" s="14"/>
      <c r="BJ63" s="14"/>
      <c r="BK63" s="14"/>
      <c r="BL63" s="14"/>
      <c r="BM63" s="14"/>
      <c r="BN63" s="14"/>
      <c r="BO63" s="14"/>
      <c r="BP63" s="14"/>
      <c r="BQ63" s="14"/>
      <c r="BX63" s="14"/>
      <c r="BY63" s="14"/>
      <c r="BZ63" s="14"/>
      <c r="CA63" s="14"/>
      <c r="CB63" s="14"/>
      <c r="CC63" s="14"/>
      <c r="CD63" s="14"/>
      <c r="CF63" s="14"/>
      <c r="CJ63" s="16"/>
      <c r="CM63" s="14"/>
      <c r="CN63" s="14"/>
      <c r="CO63" s="14"/>
      <c r="CP63" s="14"/>
      <c r="CQ63" s="14"/>
      <c r="CR63" s="14"/>
      <c r="CS63" s="14"/>
      <c r="CT63" s="14"/>
      <c r="CU63" s="14"/>
      <c r="CV63" s="14"/>
    </row>
    <row r="64" spans="1:100" x14ac:dyDescent="0.2">
      <c r="A64" s="14"/>
      <c r="B64" s="14"/>
      <c r="C64" s="14"/>
      <c r="D64" s="14"/>
      <c r="E64" s="14"/>
      <c r="F64" s="14"/>
      <c r="G64" s="14"/>
      <c r="H64" s="14"/>
      <c r="I64" s="14"/>
      <c r="J64" s="14"/>
      <c r="K64" s="14"/>
      <c r="L64" s="15"/>
      <c r="M64" s="14"/>
      <c r="N64" s="14"/>
      <c r="O64" s="14"/>
      <c r="P64" s="14"/>
      <c r="Q64" s="16"/>
      <c r="R64" s="14"/>
      <c r="Z64" s="16"/>
      <c r="AC64" s="14"/>
      <c r="AD64" s="14"/>
      <c r="AE64" s="14"/>
      <c r="AF64" s="14"/>
      <c r="AG64" s="14"/>
      <c r="AH64" s="14"/>
      <c r="AI64" s="14"/>
      <c r="AJ64" s="14"/>
      <c r="AK64" s="14"/>
      <c r="AL64" s="14"/>
      <c r="AS64" s="14"/>
      <c r="AT64" s="14"/>
      <c r="AU64" s="14"/>
      <c r="AV64" s="14"/>
      <c r="AW64" s="14"/>
      <c r="AX64" s="14"/>
      <c r="AY64" s="14"/>
      <c r="BA64" s="14"/>
      <c r="BE64" s="16"/>
      <c r="BH64" s="14"/>
      <c r="BI64" s="14"/>
      <c r="BJ64" s="14"/>
      <c r="BK64" s="14"/>
      <c r="BL64" s="14"/>
      <c r="BM64" s="14"/>
      <c r="BN64" s="14"/>
      <c r="BO64" s="14"/>
      <c r="BP64" s="14"/>
      <c r="BQ64" s="14"/>
      <c r="BX64" s="14"/>
      <c r="BY64" s="14"/>
      <c r="BZ64" s="14"/>
      <c r="CA64" s="14"/>
      <c r="CB64" s="14"/>
      <c r="CC64" s="14"/>
      <c r="CD64" s="14"/>
      <c r="CF64" s="14"/>
      <c r="CJ64" s="16"/>
      <c r="CM64" s="14"/>
      <c r="CN64" s="14"/>
      <c r="CO64" s="14"/>
      <c r="CP64" s="14"/>
      <c r="CQ64" s="14"/>
      <c r="CR64" s="14"/>
      <c r="CS64" s="14"/>
      <c r="CT64" s="14"/>
      <c r="CU64" s="14"/>
      <c r="CV64" s="14"/>
    </row>
    <row r="65" spans="1:100" x14ac:dyDescent="0.2">
      <c r="A65" s="14"/>
      <c r="B65" s="14"/>
      <c r="C65" s="14"/>
      <c r="D65" s="14"/>
      <c r="E65" s="14"/>
      <c r="F65" s="14"/>
      <c r="G65" s="14"/>
      <c r="H65" s="14"/>
      <c r="I65" s="14"/>
      <c r="J65" s="14"/>
      <c r="K65" s="14"/>
      <c r="L65" s="15"/>
      <c r="M65" s="14"/>
      <c r="N65" s="14"/>
      <c r="O65" s="14"/>
      <c r="P65" s="14"/>
      <c r="Q65" s="16"/>
      <c r="R65" s="14"/>
      <c r="Z65" s="16"/>
      <c r="AC65" s="14"/>
      <c r="AD65" s="14"/>
      <c r="AE65" s="14"/>
      <c r="AF65" s="14"/>
      <c r="AG65" s="14"/>
      <c r="AH65" s="14"/>
      <c r="AI65" s="14"/>
      <c r="AJ65" s="14"/>
      <c r="AK65" s="14"/>
      <c r="AL65" s="14"/>
      <c r="AS65" s="14"/>
      <c r="AT65" s="14"/>
      <c r="AU65" s="14"/>
      <c r="AV65" s="14"/>
      <c r="AW65" s="14"/>
      <c r="AX65" s="14"/>
      <c r="AY65" s="14"/>
      <c r="BA65" s="14"/>
      <c r="BE65" s="16"/>
      <c r="BH65" s="14"/>
      <c r="BI65" s="14"/>
      <c r="BJ65" s="14"/>
      <c r="BK65" s="14"/>
      <c r="BL65" s="14"/>
      <c r="BM65" s="14"/>
      <c r="BN65" s="14"/>
      <c r="BO65" s="14"/>
      <c r="BP65" s="14"/>
      <c r="BQ65" s="14"/>
      <c r="BX65" s="14"/>
      <c r="BY65" s="14"/>
      <c r="BZ65" s="14"/>
      <c r="CA65" s="14"/>
      <c r="CB65" s="14"/>
      <c r="CC65" s="14"/>
      <c r="CD65" s="14"/>
      <c r="CF65" s="14"/>
      <c r="CJ65" s="16"/>
      <c r="CM65" s="14"/>
      <c r="CN65" s="14"/>
      <c r="CO65" s="14"/>
      <c r="CP65" s="14"/>
      <c r="CQ65" s="14"/>
      <c r="CR65" s="14"/>
      <c r="CS65" s="14"/>
      <c r="CT65" s="14"/>
      <c r="CU65" s="14"/>
      <c r="CV65" s="14"/>
    </row>
    <row r="66" spans="1:100" x14ac:dyDescent="0.2">
      <c r="A66" s="14"/>
      <c r="B66" s="14"/>
      <c r="C66" s="14"/>
      <c r="D66" s="14"/>
      <c r="E66" s="14"/>
      <c r="F66" s="14"/>
      <c r="G66" s="14"/>
      <c r="H66" s="14"/>
      <c r="I66" s="14"/>
      <c r="J66" s="14"/>
      <c r="K66" s="14"/>
      <c r="L66" s="15"/>
      <c r="M66" s="14"/>
      <c r="N66" s="14"/>
      <c r="O66" s="14"/>
      <c r="P66" s="14"/>
      <c r="Q66" s="16"/>
      <c r="R66" s="14"/>
      <c r="Z66" s="16"/>
      <c r="AC66" s="14"/>
      <c r="AD66" s="14"/>
      <c r="AE66" s="14"/>
      <c r="AF66" s="14"/>
      <c r="AG66" s="14"/>
      <c r="AH66" s="14"/>
      <c r="AI66" s="14"/>
      <c r="AJ66" s="14"/>
      <c r="AK66" s="14"/>
      <c r="AL66" s="14"/>
      <c r="AS66" s="14"/>
      <c r="AT66" s="14"/>
      <c r="AU66" s="14"/>
      <c r="AV66" s="14"/>
      <c r="AW66" s="14"/>
      <c r="AX66" s="14"/>
      <c r="AY66" s="14"/>
      <c r="BA66" s="14"/>
      <c r="BE66" s="16"/>
      <c r="BH66" s="14"/>
      <c r="BI66" s="14"/>
      <c r="BJ66" s="14"/>
      <c r="BK66" s="14"/>
      <c r="BL66" s="14"/>
      <c r="BM66" s="14"/>
      <c r="BN66" s="14"/>
      <c r="BO66" s="14"/>
      <c r="BP66" s="14"/>
      <c r="BQ66" s="14"/>
      <c r="BX66" s="14"/>
      <c r="BY66" s="14"/>
      <c r="BZ66" s="14"/>
      <c r="CA66" s="14"/>
      <c r="CB66" s="14"/>
      <c r="CC66" s="14"/>
      <c r="CD66" s="14"/>
      <c r="CF66" s="14"/>
      <c r="CJ66" s="16"/>
      <c r="CM66" s="14"/>
      <c r="CN66" s="14"/>
      <c r="CO66" s="14"/>
      <c r="CP66" s="14"/>
      <c r="CQ66" s="14"/>
      <c r="CR66" s="14"/>
      <c r="CS66" s="14"/>
      <c r="CT66" s="14"/>
      <c r="CU66" s="14"/>
      <c r="CV66" s="14"/>
    </row>
    <row r="67" spans="1:100" x14ac:dyDescent="0.2">
      <c r="A67" s="14"/>
      <c r="B67" s="14"/>
      <c r="C67" s="14"/>
      <c r="D67" s="14"/>
      <c r="E67" s="14"/>
      <c r="F67" s="14"/>
      <c r="G67" s="14"/>
      <c r="H67" s="14"/>
      <c r="I67" s="14"/>
      <c r="J67" s="14"/>
      <c r="K67" s="14"/>
      <c r="L67" s="15"/>
      <c r="M67" s="14"/>
      <c r="N67" s="14"/>
      <c r="O67" s="14"/>
      <c r="P67" s="14"/>
      <c r="Q67" s="16"/>
      <c r="R67" s="14"/>
      <c r="Z67" s="16"/>
      <c r="AC67" s="14"/>
      <c r="AD67" s="14"/>
      <c r="AE67" s="14"/>
      <c r="AF67" s="14"/>
      <c r="AG67" s="14"/>
      <c r="AH67" s="14"/>
      <c r="AI67" s="14"/>
      <c r="AJ67" s="14"/>
      <c r="AK67" s="14"/>
      <c r="AL67" s="14"/>
      <c r="AS67" s="14"/>
      <c r="AT67" s="14"/>
      <c r="AU67" s="14"/>
      <c r="AV67" s="14"/>
      <c r="AW67" s="14"/>
      <c r="AX67" s="14"/>
      <c r="AY67" s="14"/>
      <c r="BA67" s="14"/>
      <c r="BE67" s="16"/>
      <c r="BH67" s="14"/>
      <c r="BI67" s="14"/>
      <c r="BJ67" s="14"/>
      <c r="BK67" s="14"/>
      <c r="BL67" s="14"/>
      <c r="BM67" s="14"/>
      <c r="BN67" s="14"/>
      <c r="BO67" s="14"/>
      <c r="BP67" s="14"/>
      <c r="BQ67" s="14"/>
      <c r="BX67" s="14"/>
      <c r="BY67" s="14"/>
      <c r="BZ67" s="14"/>
      <c r="CA67" s="14"/>
      <c r="CB67" s="14"/>
      <c r="CC67" s="14"/>
      <c r="CD67" s="14"/>
      <c r="CF67" s="14"/>
      <c r="CJ67" s="16"/>
      <c r="CM67" s="14"/>
      <c r="CN67" s="14"/>
      <c r="CO67" s="14"/>
      <c r="CP67" s="14"/>
      <c r="CQ67" s="14"/>
      <c r="CR67" s="14"/>
      <c r="CS67" s="14"/>
      <c r="CT67" s="14"/>
      <c r="CU67" s="14"/>
      <c r="CV67" s="14"/>
    </row>
    <row r="68" spans="1:100" x14ac:dyDescent="0.2">
      <c r="A68" s="14"/>
      <c r="B68" s="14"/>
      <c r="C68" s="14"/>
      <c r="D68" s="14"/>
      <c r="E68" s="14"/>
      <c r="F68" s="14"/>
      <c r="G68" s="14"/>
      <c r="H68" s="14"/>
      <c r="I68" s="14"/>
      <c r="J68" s="14"/>
      <c r="K68" s="14"/>
      <c r="L68" s="15"/>
      <c r="M68" s="14"/>
      <c r="N68" s="14"/>
      <c r="O68" s="14"/>
      <c r="P68" s="14"/>
      <c r="Q68" s="16"/>
      <c r="R68" s="14"/>
      <c r="Z68" s="16"/>
      <c r="AC68" s="14"/>
      <c r="AD68" s="14"/>
      <c r="AE68" s="14"/>
      <c r="AF68" s="14"/>
      <c r="AG68" s="14"/>
      <c r="AH68" s="14"/>
      <c r="AI68" s="14"/>
      <c r="AJ68" s="14"/>
      <c r="AK68" s="14"/>
      <c r="AL68" s="14"/>
      <c r="AS68" s="14"/>
      <c r="AT68" s="14"/>
      <c r="AU68" s="14"/>
      <c r="AV68" s="14"/>
      <c r="AW68" s="14"/>
      <c r="AX68" s="14"/>
      <c r="AY68" s="14"/>
      <c r="BA68" s="14"/>
      <c r="BE68" s="16"/>
      <c r="BH68" s="14"/>
      <c r="BI68" s="14"/>
      <c r="BJ68" s="14"/>
      <c r="BK68" s="14"/>
      <c r="BL68" s="14"/>
      <c r="BM68" s="14"/>
      <c r="BN68" s="14"/>
      <c r="BO68" s="14"/>
      <c r="BP68" s="14"/>
      <c r="BQ68" s="14"/>
      <c r="BX68" s="14"/>
      <c r="BY68" s="14"/>
      <c r="BZ68" s="14"/>
      <c r="CA68" s="14"/>
      <c r="CB68" s="14"/>
      <c r="CC68" s="14"/>
      <c r="CD68" s="14"/>
      <c r="CF68" s="14"/>
      <c r="CJ68" s="16"/>
      <c r="CM68" s="14"/>
      <c r="CN68" s="14"/>
      <c r="CO68" s="14"/>
      <c r="CP68" s="14"/>
      <c r="CQ68" s="14"/>
      <c r="CR68" s="14"/>
      <c r="CS68" s="14"/>
      <c r="CT68" s="14"/>
      <c r="CU68" s="14"/>
      <c r="CV68" s="14"/>
    </row>
    <row r="69" spans="1:100" x14ac:dyDescent="0.2">
      <c r="A69" s="14"/>
      <c r="B69" s="14"/>
      <c r="C69" s="14"/>
      <c r="D69" s="14"/>
      <c r="E69" s="14"/>
      <c r="F69" s="14"/>
      <c r="G69" s="14"/>
      <c r="H69" s="14"/>
      <c r="I69" s="14"/>
      <c r="J69" s="14"/>
      <c r="K69" s="14"/>
      <c r="L69" s="15"/>
      <c r="M69" s="14"/>
      <c r="N69" s="14"/>
      <c r="O69" s="14"/>
      <c r="P69" s="14"/>
      <c r="Q69" s="16"/>
      <c r="R69" s="14"/>
      <c r="Z69" s="16"/>
      <c r="AC69" s="14"/>
      <c r="AD69" s="14"/>
      <c r="AE69" s="14"/>
      <c r="AF69" s="14"/>
      <c r="AG69" s="14"/>
      <c r="AH69" s="14"/>
      <c r="AI69" s="14"/>
      <c r="AJ69" s="14"/>
      <c r="AK69" s="14"/>
      <c r="AL69" s="14"/>
      <c r="AS69" s="14"/>
      <c r="AT69" s="14"/>
      <c r="AU69" s="14"/>
      <c r="AV69" s="14"/>
      <c r="AW69" s="14"/>
      <c r="AX69" s="14"/>
      <c r="AY69" s="14"/>
      <c r="BA69" s="14"/>
      <c r="BE69" s="16"/>
      <c r="BH69" s="14"/>
      <c r="BI69" s="14"/>
      <c r="BJ69" s="14"/>
      <c r="BK69" s="14"/>
      <c r="BL69" s="14"/>
      <c r="BM69" s="14"/>
      <c r="BN69" s="14"/>
      <c r="BO69" s="14"/>
      <c r="BP69" s="14"/>
      <c r="BQ69" s="14"/>
      <c r="BX69" s="14"/>
      <c r="BY69" s="14"/>
      <c r="BZ69" s="14"/>
      <c r="CA69" s="14"/>
      <c r="CB69" s="14"/>
      <c r="CC69" s="14"/>
      <c r="CD69" s="14"/>
      <c r="CF69" s="14"/>
      <c r="CJ69" s="16"/>
      <c r="CM69" s="14"/>
      <c r="CN69" s="14"/>
      <c r="CO69" s="14"/>
      <c r="CP69" s="14"/>
      <c r="CQ69" s="14"/>
      <c r="CR69" s="14"/>
      <c r="CS69" s="14"/>
      <c r="CT69" s="14"/>
      <c r="CU69" s="14"/>
      <c r="CV69" s="14"/>
    </row>
    <row r="70" spans="1:100" x14ac:dyDescent="0.2">
      <c r="A70" s="14"/>
      <c r="B70" s="14"/>
      <c r="C70" s="14"/>
      <c r="D70" s="14"/>
      <c r="E70" s="14"/>
      <c r="F70" s="14"/>
      <c r="G70" s="14"/>
      <c r="H70" s="14"/>
      <c r="I70" s="14"/>
      <c r="J70" s="14"/>
      <c r="K70" s="14"/>
      <c r="L70" s="15"/>
      <c r="M70" s="14"/>
      <c r="N70" s="14"/>
      <c r="O70" s="14"/>
      <c r="P70" s="14"/>
      <c r="Q70" s="16"/>
      <c r="R70" s="14"/>
      <c r="Z70" s="16"/>
      <c r="AC70" s="14"/>
      <c r="AD70" s="14"/>
      <c r="AE70" s="14"/>
      <c r="AF70" s="14"/>
      <c r="AG70" s="14"/>
      <c r="AH70" s="14"/>
      <c r="AI70" s="14"/>
      <c r="AJ70" s="14"/>
      <c r="AK70" s="14"/>
      <c r="AL70" s="14"/>
      <c r="AS70" s="14"/>
      <c r="AT70" s="14"/>
      <c r="AU70" s="14"/>
      <c r="AV70" s="14"/>
      <c r="AW70" s="14"/>
      <c r="AX70" s="14"/>
      <c r="AY70" s="14"/>
      <c r="BA70" s="14"/>
      <c r="BE70" s="16"/>
      <c r="BH70" s="14"/>
      <c r="BI70" s="14"/>
      <c r="BJ70" s="14"/>
      <c r="BK70" s="14"/>
      <c r="BL70" s="14"/>
      <c r="BM70" s="14"/>
      <c r="BN70" s="14"/>
      <c r="BO70" s="14"/>
      <c r="BP70" s="14"/>
      <c r="BQ70" s="14"/>
      <c r="BX70" s="14"/>
      <c r="BY70" s="14"/>
      <c r="BZ70" s="14"/>
      <c r="CA70" s="14"/>
      <c r="CB70" s="14"/>
      <c r="CC70" s="14"/>
      <c r="CD70" s="14"/>
      <c r="CF70" s="14"/>
      <c r="CJ70" s="16"/>
      <c r="CM70" s="14"/>
      <c r="CN70" s="14"/>
      <c r="CO70" s="14"/>
      <c r="CP70" s="14"/>
      <c r="CQ70" s="14"/>
      <c r="CR70" s="14"/>
      <c r="CS70" s="14"/>
      <c r="CT70" s="14"/>
      <c r="CU70" s="14"/>
      <c r="CV70" s="14"/>
    </row>
    <row r="71" spans="1:100" x14ac:dyDescent="0.2">
      <c r="A71" s="14"/>
      <c r="B71" s="14"/>
      <c r="C71" s="14"/>
      <c r="D71" s="14"/>
      <c r="E71" s="14"/>
      <c r="F71" s="14"/>
      <c r="G71" s="14"/>
      <c r="H71" s="14"/>
      <c r="I71" s="14"/>
      <c r="J71" s="14"/>
      <c r="K71" s="14"/>
      <c r="L71" s="15"/>
      <c r="M71" s="14"/>
      <c r="N71" s="14"/>
      <c r="O71" s="14"/>
      <c r="P71" s="14"/>
      <c r="Q71" s="16"/>
      <c r="R71" s="14"/>
      <c r="Z71" s="16"/>
      <c r="AC71" s="14"/>
      <c r="AD71" s="14"/>
      <c r="AE71" s="14"/>
      <c r="AF71" s="14"/>
      <c r="AG71" s="14"/>
      <c r="AH71" s="14"/>
      <c r="AI71" s="14"/>
      <c r="AJ71" s="14"/>
      <c r="AK71" s="14"/>
      <c r="AL71" s="14"/>
      <c r="AS71" s="14"/>
      <c r="AT71" s="14"/>
      <c r="AU71" s="14"/>
      <c r="AV71" s="14"/>
      <c r="AW71" s="14"/>
      <c r="AX71" s="14"/>
      <c r="AY71" s="14"/>
      <c r="BA71" s="14"/>
      <c r="BE71" s="16"/>
      <c r="BH71" s="14"/>
      <c r="BI71" s="14"/>
      <c r="BJ71" s="14"/>
      <c r="BK71" s="14"/>
      <c r="BL71" s="14"/>
      <c r="BM71" s="14"/>
      <c r="BN71" s="14"/>
      <c r="BO71" s="14"/>
      <c r="BP71" s="14"/>
      <c r="BQ71" s="14"/>
      <c r="BX71" s="14"/>
      <c r="BY71" s="14"/>
      <c r="BZ71" s="14"/>
      <c r="CA71" s="14"/>
      <c r="CB71" s="14"/>
      <c r="CC71" s="14"/>
      <c r="CD71" s="14"/>
      <c r="CF71" s="14"/>
      <c r="CJ71" s="16"/>
      <c r="CM71" s="14"/>
      <c r="CN71" s="14"/>
      <c r="CO71" s="14"/>
      <c r="CP71" s="14"/>
      <c r="CQ71" s="14"/>
      <c r="CR71" s="14"/>
      <c r="CS71" s="14"/>
      <c r="CT71" s="14"/>
      <c r="CU71" s="14"/>
      <c r="CV71" s="14"/>
    </row>
    <row r="72" spans="1:100" x14ac:dyDescent="0.2">
      <c r="A72" s="14"/>
      <c r="B72" s="14"/>
      <c r="C72" s="14"/>
      <c r="D72" s="14"/>
      <c r="E72" s="14"/>
      <c r="F72" s="14"/>
      <c r="G72" s="14"/>
      <c r="H72" s="14"/>
      <c r="I72" s="14"/>
      <c r="J72" s="14"/>
      <c r="K72" s="14"/>
      <c r="L72" s="15"/>
      <c r="M72" s="14"/>
      <c r="N72" s="14"/>
      <c r="O72" s="14"/>
      <c r="P72" s="14"/>
      <c r="Q72" s="16"/>
      <c r="R72" s="14"/>
      <c r="Z72" s="16"/>
      <c r="AC72" s="14"/>
      <c r="AD72" s="14"/>
      <c r="AE72" s="14"/>
      <c r="AF72" s="14"/>
      <c r="AG72" s="14"/>
      <c r="AH72" s="14"/>
      <c r="AI72" s="14"/>
      <c r="AJ72" s="14"/>
      <c r="AK72" s="14"/>
      <c r="AL72" s="14"/>
      <c r="AS72" s="14"/>
      <c r="AT72" s="14"/>
      <c r="AU72" s="14"/>
      <c r="AV72" s="14"/>
      <c r="AW72" s="14"/>
      <c r="AX72" s="14"/>
      <c r="AY72" s="14"/>
      <c r="BA72" s="14"/>
      <c r="BE72" s="16"/>
      <c r="BH72" s="14"/>
      <c r="BI72" s="14"/>
      <c r="BJ72" s="14"/>
      <c r="BK72" s="14"/>
      <c r="BL72" s="14"/>
      <c r="BM72" s="14"/>
      <c r="BN72" s="14"/>
      <c r="BO72" s="14"/>
      <c r="BP72" s="14"/>
      <c r="BQ72" s="14"/>
      <c r="BX72" s="14"/>
      <c r="BY72" s="14"/>
      <c r="BZ72" s="14"/>
      <c r="CA72" s="14"/>
      <c r="CB72" s="14"/>
      <c r="CC72" s="14"/>
      <c r="CD72" s="14"/>
      <c r="CF72" s="14"/>
      <c r="CJ72" s="16"/>
      <c r="CM72" s="14"/>
      <c r="CN72" s="14"/>
      <c r="CO72" s="14"/>
      <c r="CP72" s="14"/>
      <c r="CQ72" s="14"/>
      <c r="CR72" s="14"/>
      <c r="CS72" s="14"/>
      <c r="CT72" s="14"/>
      <c r="CU72" s="14"/>
      <c r="CV72" s="14"/>
    </row>
    <row r="73" spans="1:100" x14ac:dyDescent="0.2">
      <c r="A73" s="14"/>
      <c r="B73" s="14"/>
      <c r="C73" s="14"/>
      <c r="D73" s="14"/>
      <c r="E73" s="14"/>
      <c r="F73" s="14"/>
      <c r="G73" s="14"/>
      <c r="H73" s="14"/>
      <c r="I73" s="14"/>
      <c r="J73" s="14"/>
      <c r="K73" s="14"/>
      <c r="L73" s="15"/>
      <c r="M73" s="14"/>
      <c r="N73" s="14"/>
      <c r="O73" s="14"/>
      <c r="P73" s="14"/>
      <c r="Q73" s="16"/>
      <c r="R73" s="14"/>
      <c r="Z73" s="16"/>
      <c r="AC73" s="14"/>
      <c r="AD73" s="14"/>
      <c r="AE73" s="14"/>
      <c r="AF73" s="14"/>
      <c r="AG73" s="14"/>
      <c r="AH73" s="14"/>
      <c r="AI73" s="14"/>
      <c r="AJ73" s="14"/>
      <c r="AK73" s="14"/>
      <c r="AL73" s="14"/>
      <c r="AS73" s="14"/>
      <c r="AT73" s="14"/>
      <c r="AU73" s="14"/>
      <c r="AV73" s="14"/>
      <c r="AW73" s="14"/>
      <c r="AX73" s="14"/>
      <c r="AY73" s="14"/>
      <c r="BA73" s="14"/>
      <c r="BE73" s="16"/>
      <c r="BH73" s="14"/>
      <c r="BI73" s="14"/>
      <c r="BJ73" s="14"/>
      <c r="BK73" s="14"/>
      <c r="BL73" s="14"/>
      <c r="BM73" s="14"/>
      <c r="BN73" s="14"/>
      <c r="BO73" s="14"/>
      <c r="BP73" s="14"/>
      <c r="BQ73" s="14"/>
      <c r="BX73" s="14"/>
      <c r="BY73" s="14"/>
      <c r="BZ73" s="14"/>
      <c r="CA73" s="14"/>
      <c r="CB73" s="14"/>
      <c r="CC73" s="14"/>
      <c r="CD73" s="14"/>
      <c r="CF73" s="14"/>
      <c r="CJ73" s="16"/>
      <c r="CM73" s="14"/>
      <c r="CN73" s="14"/>
      <c r="CO73" s="14"/>
      <c r="CP73" s="14"/>
      <c r="CQ73" s="14"/>
      <c r="CR73" s="14"/>
      <c r="CS73" s="14"/>
      <c r="CT73" s="14"/>
      <c r="CU73" s="14"/>
      <c r="CV73" s="14"/>
    </row>
    <row r="74" spans="1:100" x14ac:dyDescent="0.2">
      <c r="A74" s="14"/>
      <c r="B74" s="14"/>
      <c r="C74" s="14"/>
      <c r="D74" s="14"/>
      <c r="E74" s="14"/>
      <c r="F74" s="14"/>
      <c r="G74" s="14"/>
      <c r="H74" s="14"/>
      <c r="I74" s="14"/>
      <c r="J74" s="14"/>
      <c r="K74" s="14"/>
      <c r="L74" s="15"/>
      <c r="M74" s="14"/>
      <c r="N74" s="14"/>
      <c r="O74" s="14"/>
      <c r="P74" s="14"/>
      <c r="Q74" s="16"/>
      <c r="R74" s="14"/>
      <c r="Z74" s="16"/>
      <c r="AC74" s="14"/>
      <c r="AD74" s="14"/>
      <c r="AE74" s="14"/>
      <c r="AF74" s="14"/>
      <c r="AG74" s="14"/>
      <c r="AH74" s="14"/>
      <c r="AI74" s="14"/>
      <c r="AJ74" s="14"/>
      <c r="AK74" s="14"/>
      <c r="AL74" s="14"/>
      <c r="AS74" s="14"/>
      <c r="AT74" s="14"/>
      <c r="AU74" s="14"/>
      <c r="AV74" s="14"/>
      <c r="AW74" s="14"/>
      <c r="AX74" s="14"/>
      <c r="AY74" s="14"/>
      <c r="BA74" s="14"/>
      <c r="BE74" s="16"/>
      <c r="BH74" s="14"/>
      <c r="BI74" s="14"/>
      <c r="BJ74" s="14"/>
      <c r="BK74" s="14"/>
      <c r="BL74" s="14"/>
      <c r="BM74" s="14"/>
      <c r="BN74" s="14"/>
      <c r="BO74" s="14"/>
      <c r="BP74" s="14"/>
      <c r="BQ74" s="14"/>
      <c r="BX74" s="14"/>
      <c r="BY74" s="14"/>
      <c r="BZ74" s="14"/>
      <c r="CA74" s="14"/>
      <c r="CB74" s="14"/>
      <c r="CC74" s="14"/>
      <c r="CD74" s="14"/>
      <c r="CF74" s="14"/>
      <c r="CJ74" s="16"/>
      <c r="CM74" s="14"/>
      <c r="CN74" s="14"/>
      <c r="CO74" s="14"/>
      <c r="CP74" s="14"/>
      <c r="CQ74" s="14"/>
      <c r="CR74" s="14"/>
      <c r="CS74" s="14"/>
      <c r="CT74" s="14"/>
      <c r="CU74" s="14"/>
      <c r="CV74" s="14"/>
    </row>
    <row r="75" spans="1:100" x14ac:dyDescent="0.2">
      <c r="A75" s="14"/>
      <c r="B75" s="14"/>
      <c r="C75" s="14"/>
      <c r="D75" s="14"/>
      <c r="E75" s="14"/>
      <c r="F75" s="14"/>
      <c r="G75" s="14"/>
      <c r="H75" s="14"/>
      <c r="I75" s="14"/>
      <c r="J75" s="14"/>
      <c r="K75" s="14"/>
      <c r="L75" s="15"/>
      <c r="M75" s="14"/>
      <c r="N75" s="14"/>
      <c r="O75" s="14"/>
      <c r="P75" s="14"/>
      <c r="Q75" s="16"/>
      <c r="R75" s="14"/>
      <c r="Z75" s="16"/>
      <c r="AC75" s="14"/>
      <c r="AD75" s="14"/>
      <c r="AE75" s="14"/>
      <c r="AF75" s="14"/>
      <c r="AG75" s="14"/>
      <c r="AH75" s="14"/>
      <c r="AI75" s="14"/>
      <c r="AJ75" s="14"/>
      <c r="AK75" s="14"/>
      <c r="AL75" s="14"/>
      <c r="AS75" s="14"/>
      <c r="AT75" s="14"/>
      <c r="AU75" s="14"/>
      <c r="AV75" s="14"/>
      <c r="AW75" s="14"/>
      <c r="AX75" s="14"/>
      <c r="AY75" s="14"/>
      <c r="BA75" s="14"/>
      <c r="BE75" s="16"/>
      <c r="BH75" s="14"/>
      <c r="BI75" s="14"/>
      <c r="BJ75" s="14"/>
      <c r="BK75" s="14"/>
      <c r="BL75" s="14"/>
      <c r="BM75" s="14"/>
      <c r="BN75" s="14"/>
      <c r="BO75" s="14"/>
      <c r="BP75" s="14"/>
      <c r="BQ75" s="14"/>
      <c r="BX75" s="14"/>
      <c r="BY75" s="14"/>
      <c r="BZ75" s="14"/>
      <c r="CA75" s="14"/>
      <c r="CB75" s="14"/>
      <c r="CC75" s="14"/>
      <c r="CD75" s="14"/>
      <c r="CF75" s="14"/>
      <c r="CJ75" s="16"/>
      <c r="CM75" s="14"/>
      <c r="CN75" s="14"/>
      <c r="CO75" s="14"/>
      <c r="CP75" s="14"/>
      <c r="CQ75" s="14"/>
      <c r="CR75" s="14"/>
      <c r="CS75" s="14"/>
      <c r="CT75" s="14"/>
      <c r="CU75" s="14"/>
      <c r="CV75" s="14"/>
    </row>
    <row r="76" spans="1:100" x14ac:dyDescent="0.2">
      <c r="A76" s="14"/>
      <c r="B76" s="14"/>
      <c r="C76" s="14"/>
      <c r="D76" s="14"/>
      <c r="E76" s="14"/>
      <c r="F76" s="14"/>
      <c r="G76" s="14"/>
      <c r="H76" s="14"/>
      <c r="I76" s="14"/>
      <c r="J76" s="14"/>
      <c r="K76" s="14"/>
      <c r="L76" s="15"/>
      <c r="M76" s="14"/>
      <c r="N76" s="14"/>
      <c r="O76" s="14"/>
      <c r="P76" s="14"/>
      <c r="Q76" s="16"/>
      <c r="R76" s="14"/>
      <c r="Z76" s="16"/>
      <c r="AC76" s="14"/>
      <c r="AD76" s="14"/>
      <c r="AE76" s="14"/>
      <c r="AF76" s="14"/>
      <c r="AG76" s="14"/>
      <c r="AH76" s="14"/>
      <c r="AI76" s="14"/>
      <c r="AJ76" s="14"/>
      <c r="AK76" s="14"/>
      <c r="AL76" s="14"/>
      <c r="AS76" s="14"/>
      <c r="AT76" s="14"/>
      <c r="AU76" s="14"/>
      <c r="AV76" s="14"/>
      <c r="AW76" s="14"/>
      <c r="AX76" s="14"/>
      <c r="AY76" s="14"/>
      <c r="BA76" s="14"/>
      <c r="BE76" s="16"/>
      <c r="BH76" s="14"/>
      <c r="BI76" s="14"/>
      <c r="BJ76" s="14"/>
      <c r="BK76" s="14"/>
      <c r="BL76" s="14"/>
      <c r="BM76" s="14"/>
      <c r="BN76" s="14"/>
      <c r="BO76" s="14"/>
      <c r="BP76" s="14"/>
      <c r="BQ76" s="14"/>
      <c r="BX76" s="14"/>
      <c r="BY76" s="14"/>
      <c r="BZ76" s="14"/>
      <c r="CA76" s="14"/>
      <c r="CB76" s="14"/>
      <c r="CC76" s="14"/>
      <c r="CD76" s="14"/>
      <c r="CF76" s="14"/>
      <c r="CJ76" s="16"/>
      <c r="CM76" s="14"/>
      <c r="CN76" s="14"/>
      <c r="CO76" s="14"/>
      <c r="CP76" s="14"/>
      <c r="CQ76" s="14"/>
      <c r="CR76" s="14"/>
      <c r="CS76" s="14"/>
      <c r="CT76" s="14"/>
      <c r="CU76" s="14"/>
      <c r="CV76" s="14"/>
    </row>
    <row r="77" spans="1:100" x14ac:dyDescent="0.2">
      <c r="A77" s="14"/>
      <c r="B77" s="14"/>
      <c r="C77" s="14"/>
      <c r="D77" s="14"/>
      <c r="E77" s="14"/>
      <c r="F77" s="14"/>
      <c r="G77" s="14"/>
      <c r="H77" s="14"/>
      <c r="I77" s="14"/>
      <c r="J77" s="14"/>
      <c r="K77" s="14"/>
      <c r="L77" s="15"/>
      <c r="M77" s="14"/>
      <c r="N77" s="14"/>
      <c r="O77" s="14"/>
      <c r="P77" s="14"/>
      <c r="Q77" s="16"/>
      <c r="R77" s="14"/>
      <c r="Z77" s="16"/>
      <c r="AC77" s="14"/>
      <c r="AD77" s="14"/>
      <c r="AE77" s="14"/>
      <c r="AF77" s="14"/>
      <c r="AG77" s="14"/>
      <c r="AH77" s="14"/>
      <c r="AI77" s="14"/>
      <c r="AJ77" s="14"/>
      <c r="AK77" s="14"/>
      <c r="AL77" s="14"/>
      <c r="AS77" s="14"/>
      <c r="AT77" s="14"/>
      <c r="AU77" s="14"/>
      <c r="AV77" s="14"/>
      <c r="AW77" s="14"/>
      <c r="AX77" s="14"/>
      <c r="AY77" s="14"/>
      <c r="BA77" s="14"/>
      <c r="BE77" s="16"/>
      <c r="BH77" s="14"/>
      <c r="BI77" s="14"/>
      <c r="BJ77" s="14"/>
      <c r="BK77" s="14"/>
      <c r="BL77" s="14"/>
      <c r="BM77" s="14"/>
      <c r="BN77" s="14"/>
      <c r="BO77" s="14"/>
      <c r="BP77" s="14"/>
      <c r="BQ77" s="14"/>
      <c r="BX77" s="14"/>
      <c r="BY77" s="14"/>
      <c r="BZ77" s="14"/>
      <c r="CA77" s="14"/>
      <c r="CB77" s="14"/>
      <c r="CC77" s="14"/>
      <c r="CD77" s="14"/>
      <c r="CF77" s="14"/>
      <c r="CJ77" s="16"/>
      <c r="CM77" s="14"/>
      <c r="CN77" s="14"/>
      <c r="CO77" s="14"/>
      <c r="CP77" s="14"/>
      <c r="CQ77" s="14"/>
      <c r="CR77" s="14"/>
      <c r="CS77" s="14"/>
      <c r="CT77" s="14"/>
      <c r="CU77" s="14"/>
      <c r="CV77" s="14"/>
    </row>
    <row r="78" spans="1:100" x14ac:dyDescent="0.2">
      <c r="A78" s="14"/>
      <c r="B78" s="14"/>
      <c r="C78" s="14"/>
      <c r="D78" s="14"/>
      <c r="E78" s="14"/>
      <c r="F78" s="14"/>
      <c r="G78" s="14"/>
      <c r="H78" s="14"/>
      <c r="I78" s="14"/>
      <c r="J78" s="14"/>
      <c r="K78" s="14"/>
      <c r="L78" s="15"/>
      <c r="M78" s="14"/>
      <c r="N78" s="14"/>
      <c r="O78" s="14"/>
      <c r="P78" s="14"/>
      <c r="Q78" s="16"/>
      <c r="R78" s="14"/>
      <c r="Z78" s="16"/>
      <c r="AC78" s="14"/>
      <c r="AD78" s="14"/>
      <c r="AE78" s="14"/>
      <c r="AF78" s="14"/>
      <c r="AG78" s="14"/>
      <c r="AH78" s="14"/>
      <c r="AI78" s="14"/>
      <c r="AJ78" s="14"/>
      <c r="AK78" s="14"/>
      <c r="AL78" s="14"/>
      <c r="AS78" s="14"/>
      <c r="AT78" s="14"/>
      <c r="AU78" s="14"/>
      <c r="AV78" s="14"/>
      <c r="AW78" s="14"/>
      <c r="AX78" s="14"/>
      <c r="AY78" s="14"/>
      <c r="BA78" s="14"/>
      <c r="BE78" s="16"/>
      <c r="BH78" s="14"/>
      <c r="BI78" s="14"/>
      <c r="BJ78" s="14"/>
      <c r="BK78" s="14"/>
      <c r="BL78" s="14"/>
      <c r="BM78" s="14"/>
      <c r="BN78" s="14"/>
      <c r="BO78" s="14"/>
      <c r="BP78" s="14"/>
      <c r="BQ78" s="14"/>
      <c r="BX78" s="14"/>
      <c r="BY78" s="14"/>
      <c r="BZ78" s="14"/>
      <c r="CA78" s="14"/>
      <c r="CB78" s="14"/>
      <c r="CC78" s="14"/>
      <c r="CD78" s="14"/>
      <c r="CF78" s="14"/>
      <c r="CJ78" s="16"/>
      <c r="CM78" s="14"/>
      <c r="CN78" s="14"/>
      <c r="CO78" s="14"/>
      <c r="CP78" s="14"/>
      <c r="CQ78" s="14"/>
      <c r="CR78" s="14"/>
      <c r="CS78" s="14"/>
      <c r="CT78" s="14"/>
      <c r="CU78" s="14"/>
      <c r="CV78" s="14"/>
    </row>
    <row r="79" spans="1:100" x14ac:dyDescent="0.2">
      <c r="A79" s="14"/>
      <c r="B79" s="14"/>
      <c r="C79" s="14"/>
      <c r="D79" s="14"/>
      <c r="E79" s="14"/>
      <c r="F79" s="14"/>
      <c r="G79" s="14"/>
      <c r="H79" s="14"/>
      <c r="I79" s="14"/>
      <c r="J79" s="14"/>
      <c r="K79" s="14"/>
      <c r="L79" s="15"/>
      <c r="M79" s="14"/>
      <c r="N79" s="14"/>
      <c r="O79" s="14"/>
      <c r="P79" s="14"/>
      <c r="Q79" s="16"/>
      <c r="R79" s="14"/>
      <c r="Z79" s="16"/>
      <c r="AC79" s="14"/>
      <c r="AD79" s="14"/>
      <c r="AE79" s="14"/>
      <c r="AF79" s="14"/>
      <c r="AG79" s="14"/>
      <c r="AH79" s="14"/>
      <c r="AI79" s="14"/>
      <c r="AJ79" s="14"/>
      <c r="AK79" s="14"/>
      <c r="AL79" s="14"/>
      <c r="AS79" s="14"/>
      <c r="AT79" s="14"/>
      <c r="AU79" s="14"/>
      <c r="AV79" s="14"/>
      <c r="AW79" s="14"/>
      <c r="AX79" s="14"/>
      <c r="AY79" s="14"/>
      <c r="BA79" s="14"/>
      <c r="BE79" s="16"/>
      <c r="BH79" s="14"/>
      <c r="BI79" s="14"/>
      <c r="BJ79" s="14"/>
      <c r="BK79" s="14"/>
      <c r="BL79" s="14"/>
      <c r="BM79" s="14"/>
      <c r="BN79" s="14"/>
      <c r="BO79" s="14"/>
      <c r="BP79" s="14"/>
      <c r="BQ79" s="14"/>
      <c r="BX79" s="14"/>
      <c r="BY79" s="14"/>
      <c r="BZ79" s="14"/>
      <c r="CA79" s="14"/>
      <c r="CB79" s="14"/>
      <c r="CC79" s="14"/>
      <c r="CD79" s="14"/>
      <c r="CF79" s="14"/>
      <c r="CJ79" s="16"/>
      <c r="CM79" s="14"/>
      <c r="CN79" s="14"/>
      <c r="CO79" s="14"/>
      <c r="CP79" s="14"/>
      <c r="CQ79" s="14"/>
      <c r="CR79" s="14"/>
      <c r="CS79" s="14"/>
      <c r="CT79" s="14"/>
      <c r="CU79" s="14"/>
      <c r="CV79" s="14"/>
    </row>
    <row r="80" spans="1:100" x14ac:dyDescent="0.2">
      <c r="A80" s="14"/>
      <c r="B80" s="14"/>
      <c r="C80" s="14"/>
      <c r="D80" s="14"/>
      <c r="E80" s="14"/>
      <c r="F80" s="14"/>
      <c r="G80" s="14"/>
      <c r="H80" s="14"/>
      <c r="I80" s="14"/>
      <c r="J80" s="14"/>
      <c r="K80" s="14"/>
      <c r="L80" s="15"/>
      <c r="M80" s="14"/>
      <c r="N80" s="14"/>
      <c r="O80" s="14"/>
      <c r="P80" s="14"/>
      <c r="Q80" s="16"/>
      <c r="R80" s="14"/>
      <c r="Z80" s="16"/>
      <c r="AC80" s="14"/>
      <c r="AD80" s="14"/>
      <c r="AE80" s="14"/>
      <c r="AF80" s="14"/>
      <c r="AG80" s="14"/>
      <c r="AH80" s="14"/>
      <c r="AI80" s="14"/>
      <c r="AJ80" s="14"/>
      <c r="AK80" s="14"/>
      <c r="AL80" s="14"/>
      <c r="AS80" s="14"/>
      <c r="AT80" s="14"/>
      <c r="AU80" s="14"/>
      <c r="AV80" s="14"/>
      <c r="AW80" s="14"/>
      <c r="AX80" s="14"/>
      <c r="AY80" s="14"/>
      <c r="BA80" s="14"/>
      <c r="BE80" s="16"/>
      <c r="BH80" s="14"/>
      <c r="BI80" s="14"/>
      <c r="BJ80" s="14"/>
      <c r="BK80" s="14"/>
      <c r="BL80" s="14"/>
      <c r="BM80" s="14"/>
      <c r="BN80" s="14"/>
      <c r="BO80" s="14"/>
      <c r="BP80" s="14"/>
      <c r="BQ80" s="14"/>
      <c r="BX80" s="14"/>
      <c r="BY80" s="14"/>
      <c r="BZ80" s="14"/>
      <c r="CA80" s="14"/>
      <c r="CB80" s="14"/>
      <c r="CC80" s="14"/>
      <c r="CD80" s="14"/>
      <c r="CF80" s="14"/>
      <c r="CJ80" s="16"/>
      <c r="CM80" s="14"/>
      <c r="CN80" s="14"/>
      <c r="CO80" s="14"/>
      <c r="CP80" s="14"/>
      <c r="CQ80" s="14"/>
      <c r="CR80" s="14"/>
      <c r="CS80" s="14"/>
      <c r="CT80" s="14"/>
      <c r="CU80" s="14"/>
      <c r="CV80" s="14"/>
    </row>
    <row r="81" spans="1:100" x14ac:dyDescent="0.2">
      <c r="A81" s="14"/>
      <c r="B81" s="14"/>
      <c r="C81" s="14"/>
      <c r="D81" s="14"/>
      <c r="E81" s="14"/>
      <c r="F81" s="14"/>
      <c r="G81" s="14"/>
      <c r="H81" s="14"/>
      <c r="I81" s="14"/>
      <c r="J81" s="14"/>
      <c r="K81" s="14"/>
      <c r="L81" s="15"/>
      <c r="M81" s="14"/>
      <c r="N81" s="14"/>
      <c r="O81" s="14"/>
      <c r="P81" s="14"/>
      <c r="Q81" s="16"/>
      <c r="R81" s="14"/>
      <c r="Z81" s="16"/>
      <c r="AC81" s="14"/>
      <c r="AD81" s="14"/>
      <c r="AE81" s="14"/>
      <c r="AF81" s="14"/>
      <c r="AG81" s="14"/>
      <c r="AH81" s="14"/>
      <c r="AI81" s="14"/>
      <c r="AJ81" s="14"/>
      <c r="AK81" s="14"/>
      <c r="AL81" s="14"/>
      <c r="AS81" s="14"/>
      <c r="AT81" s="14"/>
      <c r="AU81" s="14"/>
      <c r="AV81" s="14"/>
      <c r="AW81" s="14"/>
      <c r="AX81" s="14"/>
      <c r="AY81" s="14"/>
      <c r="BA81" s="14"/>
      <c r="BE81" s="16"/>
      <c r="BH81" s="14"/>
      <c r="BI81" s="14"/>
      <c r="BJ81" s="14"/>
      <c r="BK81" s="14"/>
      <c r="BL81" s="14"/>
      <c r="BM81" s="14"/>
      <c r="BN81" s="14"/>
      <c r="BO81" s="14"/>
      <c r="BP81" s="14"/>
      <c r="BQ81" s="14"/>
      <c r="BX81" s="14"/>
      <c r="BY81" s="14"/>
      <c r="BZ81" s="14"/>
      <c r="CA81" s="14"/>
      <c r="CB81" s="14"/>
      <c r="CC81" s="14"/>
      <c r="CD81" s="14"/>
      <c r="CF81" s="14"/>
      <c r="CJ81" s="16"/>
      <c r="CM81" s="14"/>
      <c r="CN81" s="14"/>
      <c r="CO81" s="14"/>
      <c r="CP81" s="14"/>
      <c r="CQ81" s="14"/>
      <c r="CR81" s="14"/>
      <c r="CS81" s="14"/>
      <c r="CT81" s="14"/>
      <c r="CU81" s="14"/>
      <c r="CV81" s="14"/>
    </row>
    <row r="82" spans="1:100" x14ac:dyDescent="0.2">
      <c r="A82" s="14"/>
      <c r="B82" s="14"/>
      <c r="C82" s="14"/>
      <c r="D82" s="14"/>
      <c r="E82" s="14"/>
      <c r="F82" s="14"/>
      <c r="G82" s="14"/>
      <c r="H82" s="14"/>
      <c r="I82" s="14"/>
      <c r="J82" s="14"/>
      <c r="K82" s="14"/>
      <c r="L82" s="15"/>
      <c r="M82" s="14"/>
      <c r="N82" s="14"/>
      <c r="O82" s="14"/>
      <c r="P82" s="14"/>
      <c r="Q82" s="16"/>
      <c r="R82" s="14"/>
      <c r="Z82" s="16"/>
      <c r="AC82" s="14"/>
      <c r="AD82" s="14"/>
      <c r="AE82" s="14"/>
      <c r="AF82" s="14"/>
      <c r="AG82" s="14"/>
      <c r="AH82" s="14"/>
      <c r="AI82" s="14"/>
      <c r="AJ82" s="14"/>
      <c r="AK82" s="14"/>
      <c r="AL82" s="14"/>
      <c r="AS82" s="14"/>
      <c r="AT82" s="14"/>
      <c r="AU82" s="14"/>
      <c r="AV82" s="14"/>
      <c r="AW82" s="14"/>
      <c r="AX82" s="14"/>
      <c r="AY82" s="14"/>
      <c r="BA82" s="14"/>
      <c r="BE82" s="16"/>
      <c r="BH82" s="14"/>
      <c r="BI82" s="14"/>
      <c r="BJ82" s="14"/>
      <c r="BK82" s="14"/>
      <c r="BL82" s="14"/>
      <c r="BM82" s="14"/>
      <c r="BN82" s="14"/>
      <c r="BO82" s="14"/>
      <c r="BP82" s="14"/>
      <c r="BQ82" s="14"/>
      <c r="BX82" s="14"/>
      <c r="BY82" s="14"/>
      <c r="BZ82" s="14"/>
      <c r="CA82" s="14"/>
      <c r="CB82" s="14"/>
      <c r="CC82" s="14"/>
      <c r="CD82" s="14"/>
      <c r="CF82" s="14"/>
      <c r="CJ82" s="16"/>
      <c r="CM82" s="14"/>
      <c r="CN82" s="14"/>
      <c r="CO82" s="14"/>
      <c r="CP82" s="14"/>
      <c r="CQ82" s="14"/>
      <c r="CR82" s="14"/>
      <c r="CS82" s="14"/>
      <c r="CT82" s="14"/>
      <c r="CU82" s="14"/>
      <c r="CV82" s="14"/>
    </row>
    <row r="83" spans="1:100" x14ac:dyDescent="0.2">
      <c r="A83" s="14"/>
      <c r="B83" s="14"/>
      <c r="C83" s="14"/>
      <c r="D83" s="14"/>
      <c r="E83" s="14"/>
      <c r="F83" s="14"/>
      <c r="G83" s="14"/>
      <c r="H83" s="14"/>
      <c r="I83" s="14"/>
      <c r="J83" s="14"/>
      <c r="K83" s="14"/>
      <c r="L83" s="15"/>
      <c r="M83" s="14"/>
      <c r="N83" s="14"/>
      <c r="O83" s="14"/>
      <c r="P83" s="14"/>
      <c r="Q83" s="16"/>
      <c r="R83" s="14"/>
      <c r="Z83" s="16"/>
      <c r="AC83" s="14"/>
      <c r="AD83" s="14"/>
      <c r="AE83" s="14"/>
      <c r="AF83" s="14"/>
      <c r="AG83" s="14"/>
      <c r="AH83" s="14"/>
      <c r="AI83" s="14"/>
      <c r="AJ83" s="14"/>
      <c r="AK83" s="14"/>
      <c r="AL83" s="14"/>
      <c r="AS83" s="14"/>
      <c r="AT83" s="14"/>
      <c r="AU83" s="14"/>
      <c r="AV83" s="14"/>
      <c r="AW83" s="14"/>
      <c r="AX83" s="14"/>
      <c r="AY83" s="14"/>
      <c r="BA83" s="14"/>
      <c r="BE83" s="16"/>
      <c r="BH83" s="14"/>
      <c r="BI83" s="14"/>
      <c r="BJ83" s="14"/>
      <c r="BK83" s="14"/>
      <c r="BL83" s="14"/>
      <c r="BM83" s="14"/>
      <c r="BN83" s="14"/>
      <c r="BO83" s="14"/>
      <c r="BP83" s="14"/>
      <c r="BQ83" s="14"/>
      <c r="BX83" s="14"/>
      <c r="BY83" s="14"/>
      <c r="BZ83" s="14"/>
      <c r="CA83" s="14"/>
      <c r="CB83" s="14"/>
      <c r="CC83" s="14"/>
      <c r="CD83" s="14"/>
      <c r="CF83" s="14"/>
      <c r="CJ83" s="16"/>
      <c r="CM83" s="14"/>
      <c r="CN83" s="14"/>
      <c r="CO83" s="14"/>
      <c r="CP83" s="14"/>
      <c r="CQ83" s="14"/>
      <c r="CR83" s="14"/>
      <c r="CS83" s="14"/>
      <c r="CT83" s="14"/>
      <c r="CU83" s="14"/>
      <c r="CV83" s="14"/>
    </row>
    <row r="84" spans="1:100" x14ac:dyDescent="0.2">
      <c r="A84" s="14"/>
      <c r="B84" s="14"/>
      <c r="C84" s="14"/>
      <c r="D84" s="14"/>
      <c r="E84" s="14"/>
      <c r="F84" s="14"/>
      <c r="G84" s="14"/>
      <c r="H84" s="14"/>
      <c r="I84" s="14"/>
      <c r="J84" s="14"/>
      <c r="K84" s="14"/>
      <c r="L84" s="15"/>
      <c r="M84" s="14"/>
      <c r="N84" s="14"/>
      <c r="O84" s="14"/>
      <c r="P84" s="14"/>
      <c r="Q84" s="16"/>
      <c r="R84" s="14"/>
      <c r="Z84" s="16"/>
      <c r="AC84" s="14"/>
      <c r="AD84" s="14"/>
      <c r="AE84" s="14"/>
      <c r="AF84" s="14"/>
      <c r="AG84" s="14"/>
      <c r="AH84" s="14"/>
      <c r="AI84" s="14"/>
      <c r="AJ84" s="14"/>
      <c r="AK84" s="14"/>
      <c r="AL84" s="14"/>
      <c r="AS84" s="14"/>
      <c r="AT84" s="14"/>
      <c r="AU84" s="14"/>
      <c r="AV84" s="14"/>
      <c r="AW84" s="14"/>
      <c r="AX84" s="14"/>
      <c r="AY84" s="14"/>
      <c r="BA84" s="14"/>
      <c r="BE84" s="16"/>
      <c r="BH84" s="14"/>
      <c r="BI84" s="14"/>
      <c r="BJ84" s="14"/>
      <c r="BK84" s="14"/>
      <c r="BL84" s="14"/>
      <c r="BM84" s="14"/>
      <c r="BN84" s="14"/>
      <c r="BO84" s="14"/>
      <c r="BP84" s="14"/>
      <c r="BQ84" s="14"/>
      <c r="BX84" s="14"/>
      <c r="BY84" s="14"/>
      <c r="BZ84" s="14"/>
      <c r="CA84" s="14"/>
      <c r="CB84" s="14"/>
      <c r="CC84" s="14"/>
      <c r="CD84" s="14"/>
      <c r="CF84" s="14"/>
      <c r="CJ84" s="16"/>
      <c r="CM84" s="14"/>
      <c r="CN84" s="14"/>
      <c r="CO84" s="14"/>
      <c r="CP84" s="14"/>
      <c r="CQ84" s="14"/>
      <c r="CR84" s="14"/>
      <c r="CS84" s="14"/>
      <c r="CT84" s="14"/>
      <c r="CU84" s="14"/>
      <c r="CV84" s="14"/>
    </row>
    <row r="85" spans="1:100" x14ac:dyDescent="0.2">
      <c r="A85" s="14"/>
      <c r="B85" s="14"/>
      <c r="C85" s="14"/>
      <c r="D85" s="14"/>
      <c r="E85" s="14"/>
      <c r="F85" s="14"/>
      <c r="G85" s="14"/>
      <c r="H85" s="14"/>
      <c r="I85" s="14"/>
      <c r="J85" s="14"/>
      <c r="K85" s="14"/>
      <c r="L85" s="15"/>
      <c r="M85" s="14"/>
      <c r="N85" s="14"/>
      <c r="O85" s="14"/>
      <c r="P85" s="14"/>
      <c r="Q85" s="16"/>
      <c r="R85" s="14"/>
      <c r="Z85" s="16"/>
      <c r="AC85" s="14"/>
      <c r="AD85" s="14"/>
      <c r="AE85" s="14"/>
      <c r="AF85" s="14"/>
      <c r="AG85" s="14"/>
      <c r="AH85" s="14"/>
      <c r="AI85" s="14"/>
      <c r="AJ85" s="14"/>
      <c r="AK85" s="14"/>
      <c r="AL85" s="14"/>
      <c r="AS85" s="14"/>
      <c r="AT85" s="14"/>
      <c r="AU85" s="14"/>
      <c r="AV85" s="14"/>
      <c r="AW85" s="14"/>
      <c r="AX85" s="14"/>
      <c r="AY85" s="14"/>
      <c r="BA85" s="14"/>
      <c r="BE85" s="16"/>
      <c r="BH85" s="14"/>
      <c r="BI85" s="14"/>
      <c r="BJ85" s="14"/>
      <c r="BK85" s="14"/>
      <c r="BL85" s="14"/>
      <c r="BM85" s="14"/>
      <c r="BN85" s="14"/>
      <c r="BO85" s="14"/>
      <c r="BP85" s="14"/>
      <c r="BQ85" s="14"/>
      <c r="BX85" s="14"/>
      <c r="BY85" s="14"/>
      <c r="BZ85" s="14"/>
      <c r="CA85" s="14"/>
      <c r="CB85" s="14"/>
      <c r="CC85" s="14"/>
      <c r="CD85" s="14"/>
      <c r="CF85" s="14"/>
      <c r="CJ85" s="16"/>
      <c r="CM85" s="14"/>
      <c r="CN85" s="14"/>
      <c r="CO85" s="14"/>
      <c r="CP85" s="14"/>
      <c r="CQ85" s="14"/>
      <c r="CR85" s="14"/>
      <c r="CS85" s="14"/>
      <c r="CT85" s="14"/>
      <c r="CU85" s="14"/>
      <c r="CV85" s="14"/>
    </row>
    <row r="86" spans="1:100" x14ac:dyDescent="0.2">
      <c r="A86" s="14"/>
      <c r="B86" s="14"/>
      <c r="C86" s="14"/>
      <c r="D86" s="14"/>
      <c r="E86" s="14"/>
      <c r="F86" s="14"/>
      <c r="G86" s="14"/>
      <c r="H86" s="14"/>
      <c r="I86" s="14"/>
      <c r="J86" s="14"/>
      <c r="K86" s="14"/>
      <c r="L86" s="15"/>
      <c r="M86" s="14"/>
      <c r="N86" s="14"/>
      <c r="O86" s="14"/>
      <c r="P86" s="14"/>
      <c r="Q86" s="16"/>
      <c r="R86" s="14"/>
      <c r="Z86" s="16"/>
      <c r="AC86" s="14"/>
      <c r="AD86" s="14"/>
      <c r="AE86" s="14"/>
      <c r="AF86" s="14"/>
      <c r="AG86" s="14"/>
      <c r="AH86" s="14"/>
      <c r="AI86" s="14"/>
      <c r="AJ86" s="14"/>
      <c r="AK86" s="14"/>
      <c r="AL86" s="14"/>
      <c r="AS86" s="14"/>
      <c r="AT86" s="14"/>
      <c r="AU86" s="14"/>
      <c r="AV86" s="14"/>
      <c r="AW86" s="14"/>
      <c r="AX86" s="14"/>
      <c r="AY86" s="14"/>
      <c r="BA86" s="14"/>
      <c r="BE86" s="16"/>
      <c r="BH86" s="14"/>
      <c r="BI86" s="14"/>
      <c r="BJ86" s="14"/>
      <c r="BK86" s="14"/>
      <c r="BL86" s="14"/>
      <c r="BM86" s="14"/>
      <c r="BN86" s="14"/>
      <c r="BO86" s="14"/>
      <c r="BP86" s="14"/>
      <c r="BQ86" s="14"/>
      <c r="BX86" s="14"/>
      <c r="BY86" s="14"/>
      <c r="BZ86" s="14"/>
      <c r="CA86" s="14"/>
      <c r="CB86" s="14"/>
      <c r="CC86" s="14"/>
      <c r="CD86" s="14"/>
      <c r="CF86" s="14"/>
      <c r="CJ86" s="16"/>
      <c r="CM86" s="14"/>
      <c r="CN86" s="14"/>
      <c r="CO86" s="14"/>
      <c r="CP86" s="14"/>
      <c r="CQ86" s="14"/>
      <c r="CR86" s="14"/>
      <c r="CS86" s="14"/>
      <c r="CT86" s="14"/>
      <c r="CU86" s="14"/>
      <c r="CV86" s="14"/>
    </row>
    <row r="87" spans="1:100" x14ac:dyDescent="0.2">
      <c r="A87" s="14"/>
      <c r="B87" s="14"/>
      <c r="C87" s="14"/>
      <c r="D87" s="14"/>
      <c r="E87" s="14"/>
      <c r="F87" s="14"/>
      <c r="G87" s="14"/>
      <c r="H87" s="14"/>
      <c r="I87" s="14"/>
      <c r="J87" s="14"/>
      <c r="K87" s="14"/>
      <c r="L87" s="15"/>
      <c r="M87" s="14"/>
      <c r="N87" s="14"/>
      <c r="O87" s="14"/>
      <c r="P87" s="14"/>
      <c r="Q87" s="16"/>
      <c r="R87" s="14"/>
      <c r="Z87" s="16"/>
      <c r="AC87" s="14"/>
      <c r="AD87" s="14"/>
      <c r="AE87" s="14"/>
      <c r="AF87" s="14"/>
      <c r="AG87" s="14"/>
      <c r="AH87" s="14"/>
      <c r="AI87" s="14"/>
      <c r="AJ87" s="14"/>
      <c r="AK87" s="14"/>
      <c r="AL87" s="14"/>
      <c r="AS87" s="14"/>
      <c r="AT87" s="14"/>
      <c r="AU87" s="14"/>
      <c r="AV87" s="14"/>
      <c r="AW87" s="14"/>
      <c r="AX87" s="14"/>
      <c r="AY87" s="14"/>
      <c r="BA87" s="14"/>
      <c r="BE87" s="16"/>
      <c r="BH87" s="14"/>
      <c r="BI87" s="14"/>
      <c r="BJ87" s="14"/>
      <c r="BK87" s="14"/>
      <c r="BL87" s="14"/>
      <c r="BM87" s="14"/>
      <c r="BN87" s="14"/>
      <c r="BO87" s="14"/>
      <c r="BP87" s="14"/>
      <c r="BQ87" s="14"/>
      <c r="BX87" s="14"/>
      <c r="BY87" s="14"/>
      <c r="BZ87" s="14"/>
      <c r="CA87" s="14"/>
      <c r="CB87" s="14"/>
      <c r="CC87" s="14"/>
      <c r="CD87" s="14"/>
      <c r="CF87" s="14"/>
      <c r="CJ87" s="16"/>
      <c r="CM87" s="14"/>
      <c r="CN87" s="14"/>
      <c r="CO87" s="14"/>
      <c r="CP87" s="14"/>
      <c r="CQ87" s="14"/>
      <c r="CR87" s="14"/>
      <c r="CS87" s="14"/>
      <c r="CT87" s="14"/>
      <c r="CU87" s="14"/>
      <c r="CV87" s="14"/>
    </row>
    <row r="88" spans="1:100" x14ac:dyDescent="0.2">
      <c r="A88" s="14"/>
      <c r="B88" s="14"/>
      <c r="C88" s="14"/>
      <c r="D88" s="14"/>
      <c r="E88" s="14"/>
      <c r="F88" s="14"/>
      <c r="G88" s="14"/>
      <c r="H88" s="14"/>
      <c r="I88" s="14"/>
      <c r="J88" s="14"/>
      <c r="K88" s="14"/>
      <c r="L88" s="15"/>
      <c r="M88" s="14"/>
      <c r="N88" s="14"/>
      <c r="O88" s="14"/>
      <c r="P88" s="14"/>
      <c r="Q88" s="16"/>
      <c r="R88" s="14"/>
      <c r="Z88" s="16"/>
      <c r="AC88" s="14"/>
      <c r="AD88" s="14"/>
      <c r="AE88" s="14"/>
      <c r="AF88" s="14"/>
      <c r="AG88" s="14"/>
      <c r="AH88" s="14"/>
      <c r="AI88" s="14"/>
      <c r="AJ88" s="14"/>
      <c r="AK88" s="14"/>
      <c r="AL88" s="14"/>
      <c r="AS88" s="14"/>
      <c r="AT88" s="14"/>
      <c r="AU88" s="14"/>
      <c r="AV88" s="14"/>
      <c r="AW88" s="14"/>
      <c r="AX88" s="14"/>
      <c r="AY88" s="14"/>
      <c r="BA88" s="14"/>
      <c r="BE88" s="16"/>
      <c r="BH88" s="14"/>
      <c r="BI88" s="14"/>
      <c r="BJ88" s="14"/>
      <c r="BK88" s="14"/>
      <c r="BL88" s="14"/>
      <c r="BM88" s="14"/>
      <c r="BN88" s="14"/>
      <c r="BO88" s="14"/>
      <c r="BP88" s="14"/>
      <c r="BQ88" s="14"/>
      <c r="BX88" s="14"/>
      <c r="BY88" s="14"/>
      <c r="BZ88" s="14"/>
      <c r="CA88" s="14"/>
      <c r="CB88" s="14"/>
      <c r="CC88" s="14"/>
      <c r="CD88" s="14"/>
      <c r="CF88" s="14"/>
      <c r="CJ88" s="16"/>
      <c r="CM88" s="14"/>
      <c r="CN88" s="14"/>
      <c r="CO88" s="14"/>
      <c r="CP88" s="14"/>
      <c r="CQ88" s="14"/>
      <c r="CR88" s="14"/>
      <c r="CS88" s="14"/>
      <c r="CT88" s="14"/>
      <c r="CU88" s="14"/>
      <c r="CV88" s="14"/>
    </row>
    <row r="89" spans="1:100" x14ac:dyDescent="0.2">
      <c r="A89" s="14"/>
      <c r="B89" s="14"/>
      <c r="C89" s="14"/>
      <c r="D89" s="14"/>
      <c r="E89" s="14"/>
      <c r="F89" s="14"/>
      <c r="G89" s="14"/>
      <c r="H89" s="14"/>
      <c r="I89" s="14"/>
      <c r="J89" s="14"/>
      <c r="K89" s="14"/>
      <c r="L89" s="15"/>
      <c r="M89" s="14"/>
      <c r="N89" s="14"/>
      <c r="O89" s="14"/>
      <c r="P89" s="14"/>
      <c r="Q89" s="16"/>
      <c r="R89" s="14"/>
      <c r="Z89" s="16"/>
      <c r="AC89" s="14"/>
      <c r="AD89" s="14"/>
      <c r="AE89" s="14"/>
      <c r="AF89" s="14"/>
      <c r="AG89" s="14"/>
      <c r="AH89" s="14"/>
      <c r="AI89" s="14"/>
      <c r="AJ89" s="14"/>
      <c r="AK89" s="14"/>
      <c r="AL89" s="14"/>
      <c r="AS89" s="14"/>
      <c r="AT89" s="14"/>
      <c r="AU89" s="14"/>
      <c r="AV89" s="14"/>
      <c r="AW89" s="14"/>
      <c r="AX89" s="14"/>
      <c r="AY89" s="14"/>
      <c r="BA89" s="14"/>
      <c r="BE89" s="16"/>
      <c r="BH89" s="14"/>
      <c r="BI89" s="14"/>
      <c r="BJ89" s="14"/>
      <c r="BK89" s="14"/>
      <c r="BL89" s="14"/>
      <c r="BM89" s="14"/>
      <c r="BN89" s="14"/>
      <c r="BO89" s="14"/>
      <c r="BP89" s="14"/>
      <c r="BQ89" s="14"/>
      <c r="BX89" s="14"/>
      <c r="BY89" s="14"/>
      <c r="BZ89" s="14"/>
      <c r="CA89" s="14"/>
      <c r="CB89" s="14"/>
      <c r="CC89" s="14"/>
      <c r="CD89" s="14"/>
      <c r="CF89" s="14"/>
      <c r="CJ89" s="16"/>
      <c r="CM89" s="14"/>
      <c r="CN89" s="14"/>
      <c r="CO89" s="14"/>
      <c r="CP89" s="14"/>
      <c r="CQ89" s="14"/>
      <c r="CR89" s="14"/>
      <c r="CS89" s="14"/>
      <c r="CT89" s="14"/>
      <c r="CU89" s="14"/>
      <c r="CV89" s="14"/>
    </row>
    <row r="90" spans="1:100" x14ac:dyDescent="0.2">
      <c r="A90" s="14"/>
      <c r="B90" s="14"/>
      <c r="C90" s="14"/>
      <c r="D90" s="14"/>
      <c r="E90" s="14"/>
      <c r="F90" s="14"/>
      <c r="G90" s="14"/>
      <c r="H90" s="14"/>
      <c r="I90" s="14"/>
      <c r="J90" s="14"/>
      <c r="K90" s="14"/>
      <c r="L90" s="15"/>
      <c r="M90" s="14"/>
      <c r="N90" s="14"/>
      <c r="O90" s="14"/>
      <c r="P90" s="14"/>
      <c r="Q90" s="16"/>
      <c r="R90" s="14"/>
      <c r="Z90" s="16"/>
      <c r="AC90" s="14"/>
      <c r="AD90" s="14"/>
      <c r="AE90" s="14"/>
      <c r="AF90" s="14"/>
      <c r="AG90" s="14"/>
      <c r="AH90" s="14"/>
      <c r="AI90" s="14"/>
      <c r="AJ90" s="14"/>
      <c r="AK90" s="14"/>
      <c r="AL90" s="14"/>
      <c r="AS90" s="14"/>
      <c r="AT90" s="14"/>
      <c r="AU90" s="14"/>
      <c r="AV90" s="14"/>
      <c r="AW90" s="14"/>
      <c r="AX90" s="14"/>
      <c r="AY90" s="14"/>
      <c r="BA90" s="14"/>
      <c r="BE90" s="16"/>
      <c r="BH90" s="14"/>
      <c r="BI90" s="14"/>
      <c r="BJ90" s="14"/>
      <c r="BK90" s="14"/>
      <c r="BL90" s="14"/>
      <c r="BM90" s="14"/>
      <c r="BN90" s="14"/>
      <c r="BO90" s="14"/>
      <c r="BP90" s="14"/>
      <c r="BQ90" s="14"/>
      <c r="BX90" s="14"/>
      <c r="BY90" s="14"/>
      <c r="BZ90" s="14"/>
      <c r="CA90" s="14"/>
      <c r="CB90" s="14"/>
      <c r="CC90" s="14"/>
      <c r="CD90" s="14"/>
      <c r="CF90" s="14"/>
      <c r="CJ90" s="16"/>
      <c r="CM90" s="14"/>
      <c r="CN90" s="14"/>
      <c r="CO90" s="14"/>
      <c r="CP90" s="14"/>
      <c r="CQ90" s="14"/>
      <c r="CR90" s="14"/>
      <c r="CS90" s="14"/>
      <c r="CT90" s="14"/>
      <c r="CU90" s="14"/>
      <c r="CV90" s="14"/>
    </row>
    <row r="91" spans="1:100" x14ac:dyDescent="0.2">
      <c r="A91" s="14"/>
      <c r="B91" s="14"/>
      <c r="C91" s="14"/>
      <c r="D91" s="14"/>
      <c r="E91" s="14"/>
      <c r="F91" s="14"/>
      <c r="G91" s="14"/>
      <c r="H91" s="14"/>
      <c r="I91" s="14"/>
      <c r="J91" s="14"/>
      <c r="K91" s="14"/>
      <c r="L91" s="15"/>
      <c r="M91" s="14"/>
      <c r="N91" s="14"/>
      <c r="O91" s="14"/>
      <c r="P91" s="14"/>
      <c r="Q91" s="16"/>
      <c r="R91" s="14"/>
      <c r="Z91" s="16"/>
      <c r="AC91" s="14"/>
      <c r="AD91" s="14"/>
      <c r="AE91" s="14"/>
      <c r="AF91" s="14"/>
      <c r="AG91" s="14"/>
      <c r="AH91" s="14"/>
      <c r="AI91" s="14"/>
      <c r="AJ91" s="14"/>
      <c r="AK91" s="14"/>
      <c r="AL91" s="14"/>
      <c r="AS91" s="14"/>
      <c r="AT91" s="14"/>
      <c r="AU91" s="14"/>
      <c r="AV91" s="14"/>
      <c r="AW91" s="14"/>
      <c r="AX91" s="14"/>
      <c r="AY91" s="14"/>
      <c r="BA91" s="14"/>
      <c r="BE91" s="16"/>
      <c r="BH91" s="14"/>
      <c r="BI91" s="14"/>
      <c r="BJ91" s="14"/>
      <c r="BK91" s="14"/>
      <c r="BL91" s="14"/>
      <c r="BM91" s="14"/>
      <c r="BN91" s="14"/>
      <c r="BO91" s="14"/>
      <c r="BP91" s="14"/>
      <c r="BQ91" s="14"/>
      <c r="BX91" s="14"/>
      <c r="BY91" s="14"/>
      <c r="BZ91" s="14"/>
      <c r="CA91" s="14"/>
      <c r="CB91" s="14"/>
      <c r="CC91" s="14"/>
      <c r="CD91" s="14"/>
      <c r="CF91" s="14"/>
      <c r="CJ91" s="16"/>
      <c r="CM91" s="14"/>
      <c r="CN91" s="14"/>
      <c r="CO91" s="14"/>
      <c r="CP91" s="14"/>
      <c r="CQ91" s="14"/>
      <c r="CR91" s="14"/>
      <c r="CS91" s="14"/>
      <c r="CT91" s="14"/>
      <c r="CU91" s="14"/>
      <c r="CV91" s="14"/>
    </row>
    <row r="92" spans="1:100" x14ac:dyDescent="0.2">
      <c r="A92" s="14"/>
      <c r="B92" s="14"/>
      <c r="C92" s="14"/>
      <c r="D92" s="14"/>
      <c r="E92" s="14"/>
      <c r="F92" s="14"/>
      <c r="G92" s="14"/>
      <c r="H92" s="14"/>
      <c r="I92" s="14"/>
      <c r="J92" s="14"/>
      <c r="K92" s="14"/>
      <c r="L92" s="15"/>
      <c r="M92" s="14"/>
      <c r="N92" s="14"/>
      <c r="O92" s="14"/>
      <c r="P92" s="14"/>
      <c r="Q92" s="16"/>
      <c r="R92" s="14"/>
      <c r="Z92" s="16"/>
      <c r="AC92" s="14"/>
      <c r="AD92" s="14"/>
      <c r="AE92" s="14"/>
      <c r="AF92" s="14"/>
      <c r="AG92" s="14"/>
      <c r="AH92" s="14"/>
      <c r="AI92" s="14"/>
      <c r="AJ92" s="14"/>
      <c r="AK92" s="14"/>
      <c r="AL92" s="14"/>
      <c r="AS92" s="14"/>
      <c r="AT92" s="14"/>
      <c r="AU92" s="14"/>
      <c r="AV92" s="14"/>
      <c r="AW92" s="14"/>
      <c r="AX92" s="14"/>
      <c r="AY92" s="14"/>
      <c r="BA92" s="14"/>
      <c r="BE92" s="16"/>
      <c r="BH92" s="14"/>
      <c r="BI92" s="14"/>
      <c r="BJ92" s="14"/>
      <c r="BK92" s="14"/>
      <c r="BL92" s="14"/>
      <c r="BM92" s="14"/>
      <c r="BN92" s="14"/>
      <c r="BO92" s="14"/>
      <c r="BP92" s="14"/>
      <c r="BQ92" s="14"/>
      <c r="BX92" s="14"/>
      <c r="BY92" s="14"/>
      <c r="BZ92" s="14"/>
      <c r="CA92" s="14"/>
      <c r="CB92" s="14"/>
      <c r="CC92" s="14"/>
      <c r="CD92" s="14"/>
      <c r="CF92" s="14"/>
      <c r="CJ92" s="16"/>
      <c r="CM92" s="14"/>
      <c r="CN92" s="14"/>
      <c r="CO92" s="14"/>
      <c r="CP92" s="14"/>
      <c r="CQ92" s="14"/>
      <c r="CR92" s="14"/>
      <c r="CS92" s="14"/>
      <c r="CT92" s="14"/>
      <c r="CU92" s="14"/>
      <c r="CV92" s="14"/>
    </row>
    <row r="93" spans="1:100" x14ac:dyDescent="0.2">
      <c r="A93" s="14"/>
      <c r="B93" s="14"/>
      <c r="C93" s="14"/>
      <c r="D93" s="14"/>
      <c r="E93" s="14"/>
      <c r="F93" s="14"/>
      <c r="G93" s="14"/>
      <c r="H93" s="14"/>
      <c r="I93" s="14"/>
      <c r="J93" s="14"/>
      <c r="K93" s="14"/>
      <c r="L93" s="15"/>
      <c r="M93" s="14"/>
      <c r="N93" s="14"/>
      <c r="O93" s="14"/>
      <c r="P93" s="14"/>
      <c r="Q93" s="16"/>
      <c r="R93" s="14"/>
      <c r="Z93" s="16"/>
      <c r="AC93" s="14"/>
      <c r="AD93" s="14"/>
      <c r="AE93" s="14"/>
      <c r="AF93" s="14"/>
      <c r="AG93" s="14"/>
      <c r="AH93" s="14"/>
      <c r="AI93" s="14"/>
      <c r="AJ93" s="14"/>
      <c r="AK93" s="14"/>
      <c r="AL93" s="14"/>
      <c r="AS93" s="14"/>
      <c r="AT93" s="14"/>
      <c r="AU93" s="14"/>
      <c r="AV93" s="14"/>
      <c r="AW93" s="14"/>
      <c r="AX93" s="14"/>
      <c r="AY93" s="14"/>
      <c r="BA93" s="14"/>
      <c r="BE93" s="16"/>
      <c r="BH93" s="14"/>
      <c r="BI93" s="14"/>
      <c r="BJ93" s="14"/>
      <c r="BK93" s="14"/>
      <c r="BL93" s="14"/>
      <c r="BM93" s="14"/>
      <c r="BN93" s="14"/>
      <c r="BO93" s="14"/>
      <c r="BP93" s="14"/>
      <c r="BQ93" s="14"/>
      <c r="BX93" s="14"/>
      <c r="BY93" s="14"/>
      <c r="BZ93" s="14"/>
      <c r="CA93" s="14"/>
      <c r="CB93" s="14"/>
      <c r="CC93" s="14"/>
      <c r="CD93" s="14"/>
      <c r="CF93" s="14"/>
      <c r="CJ93" s="16"/>
      <c r="CM93" s="14"/>
      <c r="CN93" s="14"/>
      <c r="CO93" s="14"/>
      <c r="CP93" s="14"/>
      <c r="CQ93" s="14"/>
      <c r="CR93" s="14"/>
      <c r="CS93" s="14"/>
      <c r="CT93" s="14"/>
      <c r="CU93" s="14"/>
      <c r="CV93" s="14"/>
    </row>
    <row r="94" spans="1:100" x14ac:dyDescent="0.2">
      <c r="A94" s="14"/>
      <c r="B94" s="14"/>
      <c r="C94" s="14"/>
      <c r="D94" s="14"/>
      <c r="E94" s="14"/>
      <c r="F94" s="14"/>
      <c r="G94" s="14"/>
      <c r="H94" s="14"/>
      <c r="I94" s="14"/>
      <c r="J94" s="14"/>
      <c r="K94" s="14"/>
      <c r="L94" s="15"/>
      <c r="M94" s="14"/>
      <c r="N94" s="14"/>
      <c r="O94" s="14"/>
      <c r="P94" s="14"/>
      <c r="Q94" s="16"/>
      <c r="R94" s="14"/>
      <c r="Z94" s="16"/>
      <c r="AC94" s="14"/>
      <c r="AD94" s="14"/>
      <c r="AE94" s="14"/>
      <c r="AF94" s="14"/>
      <c r="AG94" s="14"/>
      <c r="AH94" s="14"/>
      <c r="AI94" s="14"/>
      <c r="AJ94" s="14"/>
      <c r="AK94" s="14"/>
      <c r="AL94" s="14"/>
      <c r="AS94" s="14"/>
      <c r="AT94" s="14"/>
      <c r="AU94" s="14"/>
      <c r="AV94" s="14"/>
      <c r="AW94" s="14"/>
      <c r="AX94" s="14"/>
      <c r="AY94" s="14"/>
      <c r="BA94" s="14"/>
      <c r="BE94" s="16"/>
      <c r="BH94" s="14"/>
      <c r="BI94" s="14"/>
      <c r="BJ94" s="14"/>
      <c r="BK94" s="14"/>
      <c r="BL94" s="14"/>
      <c r="BM94" s="14"/>
      <c r="BN94" s="14"/>
      <c r="BO94" s="14"/>
      <c r="BP94" s="14"/>
      <c r="BQ94" s="14"/>
      <c r="BX94" s="14"/>
      <c r="BY94" s="14"/>
      <c r="BZ94" s="14"/>
      <c r="CA94" s="14"/>
      <c r="CB94" s="14"/>
      <c r="CC94" s="14"/>
      <c r="CD94" s="14"/>
      <c r="CF94" s="14"/>
      <c r="CJ94" s="16"/>
      <c r="CM94" s="14"/>
      <c r="CN94" s="14"/>
      <c r="CO94" s="14"/>
      <c r="CP94" s="14"/>
      <c r="CQ94" s="14"/>
      <c r="CR94" s="14"/>
      <c r="CS94" s="14"/>
      <c r="CT94" s="14"/>
      <c r="CU94" s="14"/>
      <c r="CV94" s="14"/>
    </row>
    <row r="95" spans="1:100" x14ac:dyDescent="0.2">
      <c r="A95" s="14"/>
      <c r="B95" s="14"/>
      <c r="C95" s="14"/>
      <c r="D95" s="14"/>
      <c r="E95" s="14"/>
      <c r="F95" s="14"/>
      <c r="G95" s="14"/>
      <c r="H95" s="14"/>
      <c r="I95" s="14"/>
      <c r="J95" s="14"/>
      <c r="K95" s="14"/>
      <c r="L95" s="15"/>
      <c r="M95" s="14"/>
      <c r="N95" s="14"/>
      <c r="O95" s="14"/>
      <c r="P95" s="14"/>
      <c r="Q95" s="16"/>
      <c r="R95" s="14"/>
      <c r="Z95" s="16"/>
      <c r="AC95" s="14"/>
      <c r="AD95" s="14"/>
      <c r="AE95" s="14"/>
      <c r="AF95" s="14"/>
      <c r="AG95" s="14"/>
      <c r="AH95" s="14"/>
      <c r="AI95" s="14"/>
      <c r="AJ95" s="14"/>
      <c r="AK95" s="14"/>
      <c r="AL95" s="14"/>
      <c r="AS95" s="14"/>
      <c r="AT95" s="14"/>
      <c r="AU95" s="14"/>
      <c r="AV95" s="14"/>
      <c r="AW95" s="14"/>
      <c r="AX95" s="14"/>
      <c r="AY95" s="14"/>
      <c r="BA95" s="14"/>
      <c r="BE95" s="16"/>
      <c r="BH95" s="14"/>
      <c r="BI95" s="14"/>
      <c r="BJ95" s="14"/>
      <c r="BK95" s="14"/>
      <c r="BL95" s="14"/>
      <c r="BM95" s="14"/>
      <c r="BN95" s="14"/>
      <c r="BO95" s="14"/>
      <c r="BP95" s="14"/>
      <c r="BQ95" s="14"/>
      <c r="BX95" s="14"/>
      <c r="BY95" s="14"/>
      <c r="BZ95" s="14"/>
      <c r="CA95" s="14"/>
      <c r="CB95" s="14"/>
      <c r="CC95" s="14"/>
      <c r="CD95" s="14"/>
      <c r="CF95" s="14"/>
      <c r="CJ95" s="16"/>
      <c r="CM95" s="14"/>
      <c r="CN95" s="14"/>
      <c r="CO95" s="14"/>
      <c r="CP95" s="14"/>
      <c r="CQ95" s="14"/>
      <c r="CR95" s="14"/>
      <c r="CS95" s="14"/>
      <c r="CT95" s="14"/>
      <c r="CU95" s="14"/>
      <c r="CV95" s="14"/>
    </row>
    <row r="96" spans="1:100" x14ac:dyDescent="0.2">
      <c r="A96" s="14"/>
      <c r="B96" s="14"/>
      <c r="C96" s="14"/>
      <c r="D96" s="14"/>
      <c r="E96" s="14"/>
      <c r="F96" s="14"/>
      <c r="G96" s="14"/>
      <c r="H96" s="14"/>
      <c r="I96" s="14"/>
      <c r="J96" s="14"/>
      <c r="K96" s="14"/>
      <c r="L96" s="15"/>
      <c r="M96" s="14"/>
      <c r="N96" s="14"/>
      <c r="O96" s="14"/>
      <c r="P96" s="14"/>
      <c r="Q96" s="16"/>
      <c r="R96" s="14"/>
      <c r="Z96" s="16"/>
      <c r="AC96" s="14"/>
      <c r="AD96" s="14"/>
      <c r="AE96" s="14"/>
      <c r="AF96" s="14"/>
      <c r="AG96" s="14"/>
      <c r="AH96" s="14"/>
      <c r="AI96" s="14"/>
      <c r="AJ96" s="14"/>
      <c r="AK96" s="14"/>
      <c r="AL96" s="14"/>
      <c r="AS96" s="14"/>
      <c r="AT96" s="14"/>
      <c r="AU96" s="14"/>
      <c r="AV96" s="14"/>
      <c r="AW96" s="14"/>
      <c r="AX96" s="14"/>
      <c r="AY96" s="14"/>
      <c r="BA96" s="14"/>
      <c r="BE96" s="16"/>
      <c r="BH96" s="14"/>
      <c r="BI96" s="14"/>
      <c r="BJ96" s="14"/>
      <c r="BK96" s="14"/>
      <c r="BL96" s="14"/>
      <c r="BM96" s="14"/>
      <c r="BN96" s="14"/>
      <c r="BO96" s="14"/>
      <c r="BP96" s="14"/>
      <c r="BQ96" s="14"/>
      <c r="BX96" s="14"/>
      <c r="BY96" s="14"/>
      <c r="BZ96" s="14"/>
      <c r="CA96" s="14"/>
      <c r="CB96" s="14"/>
      <c r="CC96" s="14"/>
      <c r="CD96" s="14"/>
      <c r="CF96" s="14"/>
      <c r="CJ96" s="16"/>
      <c r="CM96" s="14"/>
      <c r="CN96" s="14"/>
      <c r="CO96" s="14"/>
      <c r="CP96" s="14"/>
      <c r="CQ96" s="14"/>
      <c r="CR96" s="14"/>
      <c r="CS96" s="14"/>
      <c r="CT96" s="14"/>
      <c r="CU96" s="14"/>
      <c r="CV96" s="14"/>
    </row>
    <row r="97" spans="1:100" x14ac:dyDescent="0.2">
      <c r="A97" s="14"/>
      <c r="B97" s="14"/>
      <c r="C97" s="14"/>
      <c r="D97" s="14"/>
      <c r="E97" s="14"/>
      <c r="F97" s="14"/>
      <c r="G97" s="14"/>
      <c r="H97" s="14"/>
      <c r="I97" s="14"/>
      <c r="J97" s="14"/>
      <c r="K97" s="14"/>
      <c r="L97" s="15"/>
      <c r="M97" s="14"/>
      <c r="N97" s="14"/>
      <c r="O97" s="14"/>
      <c r="P97" s="14"/>
      <c r="Q97" s="16"/>
      <c r="R97" s="14"/>
      <c r="Z97" s="16"/>
      <c r="AC97" s="14"/>
      <c r="AD97" s="14"/>
      <c r="AE97" s="14"/>
      <c r="AF97" s="14"/>
      <c r="AG97" s="14"/>
      <c r="AH97" s="14"/>
      <c r="AI97" s="14"/>
      <c r="AJ97" s="14"/>
      <c r="AK97" s="14"/>
      <c r="AL97" s="14"/>
      <c r="AS97" s="14"/>
      <c r="AT97" s="14"/>
      <c r="AU97" s="14"/>
      <c r="AV97" s="14"/>
      <c r="AW97" s="14"/>
      <c r="AX97" s="14"/>
      <c r="AY97" s="14"/>
      <c r="BA97" s="14"/>
      <c r="BE97" s="16"/>
      <c r="BH97" s="14"/>
      <c r="BI97" s="14"/>
      <c r="BJ97" s="14"/>
      <c r="BK97" s="14"/>
      <c r="BL97" s="14"/>
      <c r="BM97" s="14"/>
      <c r="BN97" s="14"/>
      <c r="BO97" s="14"/>
      <c r="BP97" s="14"/>
      <c r="BQ97" s="14"/>
      <c r="BX97" s="14"/>
      <c r="BY97" s="14"/>
      <c r="BZ97" s="14"/>
      <c r="CA97" s="14"/>
      <c r="CB97" s="14"/>
      <c r="CC97" s="14"/>
      <c r="CD97" s="14"/>
      <c r="CF97" s="14"/>
      <c r="CJ97" s="16"/>
      <c r="CM97" s="14"/>
      <c r="CN97" s="14"/>
      <c r="CO97" s="14"/>
      <c r="CP97" s="14"/>
      <c r="CQ97" s="14"/>
      <c r="CR97" s="14"/>
      <c r="CS97" s="14"/>
      <c r="CT97" s="14"/>
      <c r="CU97" s="14"/>
      <c r="CV97" s="14"/>
    </row>
    <row r="98" spans="1:100" x14ac:dyDescent="0.2">
      <c r="A98" s="14"/>
      <c r="B98" s="14"/>
      <c r="C98" s="14"/>
      <c r="D98" s="14"/>
      <c r="E98" s="14"/>
      <c r="F98" s="14"/>
      <c r="G98" s="14"/>
      <c r="H98" s="14"/>
      <c r="I98" s="14"/>
      <c r="J98" s="14"/>
      <c r="K98" s="14"/>
      <c r="L98" s="15"/>
      <c r="M98" s="14"/>
      <c r="N98" s="14"/>
      <c r="O98" s="14"/>
      <c r="P98" s="14"/>
      <c r="Q98" s="16"/>
      <c r="R98" s="14"/>
      <c r="Z98" s="16"/>
      <c r="AC98" s="14"/>
      <c r="AD98" s="14"/>
      <c r="AE98" s="14"/>
      <c r="AF98" s="14"/>
      <c r="AG98" s="14"/>
      <c r="AH98" s="14"/>
      <c r="AI98" s="14"/>
      <c r="AJ98" s="14"/>
      <c r="AK98" s="14"/>
      <c r="AL98" s="14"/>
      <c r="AS98" s="14"/>
      <c r="AT98" s="14"/>
      <c r="AU98" s="14"/>
      <c r="AV98" s="14"/>
      <c r="AW98" s="14"/>
      <c r="AX98" s="14"/>
      <c r="AY98" s="14"/>
      <c r="BA98" s="14"/>
      <c r="BE98" s="16"/>
      <c r="BH98" s="14"/>
      <c r="BI98" s="14"/>
      <c r="BJ98" s="14"/>
      <c r="BK98" s="14"/>
      <c r="BL98" s="14"/>
      <c r="BM98" s="14"/>
      <c r="BN98" s="14"/>
      <c r="BO98" s="14"/>
      <c r="BP98" s="14"/>
      <c r="BQ98" s="14"/>
      <c r="BX98" s="14"/>
      <c r="BY98" s="14"/>
      <c r="BZ98" s="14"/>
      <c r="CA98" s="14"/>
      <c r="CB98" s="14"/>
      <c r="CC98" s="14"/>
      <c r="CD98" s="14"/>
      <c r="CF98" s="14"/>
      <c r="CJ98" s="16"/>
      <c r="CM98" s="14"/>
      <c r="CN98" s="14"/>
      <c r="CO98" s="14"/>
      <c r="CP98" s="14"/>
      <c r="CQ98" s="14"/>
      <c r="CR98" s="14"/>
      <c r="CS98" s="14"/>
      <c r="CT98" s="14"/>
      <c r="CU98" s="14"/>
      <c r="CV98" s="14"/>
    </row>
    <row r="99" spans="1:100" x14ac:dyDescent="0.2">
      <c r="A99" s="14"/>
      <c r="B99" s="14"/>
      <c r="C99" s="14"/>
      <c r="D99" s="14"/>
      <c r="E99" s="14"/>
      <c r="F99" s="14"/>
      <c r="G99" s="14"/>
      <c r="H99" s="14"/>
      <c r="I99" s="14"/>
      <c r="J99" s="14"/>
      <c r="K99" s="14"/>
      <c r="L99" s="15"/>
      <c r="M99" s="14"/>
      <c r="N99" s="14"/>
      <c r="O99" s="14"/>
      <c r="P99" s="14"/>
      <c r="Q99" s="16"/>
      <c r="R99" s="14"/>
      <c r="Z99" s="16"/>
      <c r="AC99" s="14"/>
      <c r="AD99" s="14"/>
      <c r="AE99" s="14"/>
      <c r="AF99" s="14"/>
      <c r="AG99" s="14"/>
      <c r="AH99" s="14"/>
      <c r="AI99" s="14"/>
      <c r="AJ99" s="14"/>
      <c r="AK99" s="14"/>
      <c r="AL99" s="14"/>
      <c r="AS99" s="14"/>
      <c r="AT99" s="14"/>
      <c r="AU99" s="14"/>
      <c r="AV99" s="14"/>
      <c r="AW99" s="14"/>
      <c r="AX99" s="14"/>
      <c r="AY99" s="14"/>
      <c r="BA99" s="14"/>
      <c r="BE99" s="16"/>
      <c r="BH99" s="14"/>
      <c r="BI99" s="14"/>
      <c r="BJ99" s="14"/>
      <c r="BK99" s="14"/>
      <c r="BL99" s="14"/>
      <c r="BM99" s="14"/>
      <c r="BN99" s="14"/>
      <c r="BO99" s="14"/>
      <c r="BP99" s="14"/>
      <c r="BQ99" s="14"/>
      <c r="BX99" s="14"/>
      <c r="BY99" s="14"/>
      <c r="BZ99" s="14"/>
      <c r="CA99" s="14"/>
      <c r="CB99" s="14"/>
      <c r="CC99" s="14"/>
      <c r="CD99" s="14"/>
      <c r="CF99" s="14"/>
      <c r="CJ99" s="16"/>
      <c r="CM99" s="14"/>
      <c r="CN99" s="14"/>
      <c r="CO99" s="14"/>
      <c r="CP99" s="14"/>
      <c r="CQ99" s="14"/>
      <c r="CR99" s="14"/>
      <c r="CS99" s="14"/>
      <c r="CT99" s="14"/>
      <c r="CU99" s="14"/>
      <c r="CV99" s="14"/>
    </row>
    <row r="100" spans="1:100" x14ac:dyDescent="0.2">
      <c r="A100" s="14"/>
      <c r="B100" s="14"/>
      <c r="C100" s="14"/>
      <c r="D100" s="14"/>
      <c r="E100" s="14"/>
      <c r="F100" s="14"/>
      <c r="G100" s="14"/>
      <c r="H100" s="14"/>
      <c r="I100" s="14"/>
      <c r="J100" s="14"/>
      <c r="K100" s="14"/>
      <c r="L100" s="15"/>
      <c r="M100" s="14"/>
      <c r="N100" s="14"/>
      <c r="O100" s="14"/>
      <c r="P100" s="14"/>
      <c r="Q100" s="16"/>
      <c r="R100" s="14"/>
      <c r="Z100" s="16"/>
      <c r="AC100" s="14"/>
      <c r="AD100" s="14"/>
      <c r="AE100" s="14"/>
      <c r="AF100" s="14"/>
      <c r="AG100" s="14"/>
      <c r="AH100" s="14"/>
      <c r="AI100" s="14"/>
      <c r="AJ100" s="14"/>
      <c r="AK100" s="14"/>
      <c r="AL100" s="14"/>
      <c r="AS100" s="14"/>
      <c r="AT100" s="14"/>
      <c r="AU100" s="14"/>
      <c r="AV100" s="14"/>
      <c r="AW100" s="14"/>
      <c r="AX100" s="14"/>
      <c r="AY100" s="14"/>
      <c r="BA100" s="14"/>
      <c r="BE100" s="16"/>
      <c r="BH100" s="14"/>
      <c r="BI100" s="14"/>
      <c r="BJ100" s="14"/>
      <c r="BK100" s="14"/>
      <c r="BL100" s="14"/>
      <c r="BM100" s="14"/>
      <c r="BN100" s="14"/>
      <c r="BO100" s="14"/>
      <c r="BP100" s="14"/>
      <c r="BQ100" s="14"/>
      <c r="BX100" s="14"/>
      <c r="BY100" s="14"/>
      <c r="BZ100" s="14"/>
      <c r="CA100" s="14"/>
      <c r="CB100" s="14"/>
      <c r="CC100" s="14"/>
      <c r="CD100" s="14"/>
      <c r="CF100" s="14"/>
      <c r="CJ100" s="16"/>
      <c r="CM100" s="14"/>
      <c r="CN100" s="14"/>
      <c r="CO100" s="14"/>
      <c r="CP100" s="14"/>
      <c r="CQ100" s="14"/>
      <c r="CR100" s="14"/>
      <c r="CS100" s="14"/>
      <c r="CT100" s="14"/>
      <c r="CU100" s="14"/>
      <c r="CV100" s="14"/>
    </row>
    <row r="101" spans="1:100" x14ac:dyDescent="0.2">
      <c r="A101" s="14"/>
      <c r="B101" s="14"/>
      <c r="C101" s="14"/>
      <c r="D101" s="14"/>
      <c r="E101" s="14"/>
      <c r="F101" s="14"/>
      <c r="G101" s="14"/>
      <c r="H101" s="14"/>
      <c r="I101" s="14"/>
      <c r="J101" s="14"/>
      <c r="K101" s="14"/>
      <c r="L101" s="15"/>
      <c r="M101" s="14"/>
      <c r="N101" s="14"/>
      <c r="O101" s="14"/>
      <c r="P101" s="14"/>
      <c r="Q101" s="16"/>
      <c r="R101" s="14"/>
      <c r="Z101" s="16"/>
      <c r="AC101" s="14"/>
      <c r="AD101" s="14"/>
      <c r="AE101" s="14"/>
      <c r="AF101" s="14"/>
      <c r="AG101" s="14"/>
      <c r="AH101" s="14"/>
      <c r="AI101" s="14"/>
      <c r="AJ101" s="14"/>
      <c r="AK101" s="14"/>
      <c r="AL101" s="14"/>
      <c r="AS101" s="14"/>
      <c r="AT101" s="14"/>
      <c r="AU101" s="14"/>
      <c r="AV101" s="14"/>
      <c r="AW101" s="14"/>
      <c r="AX101" s="14"/>
      <c r="AY101" s="14"/>
      <c r="BA101" s="14"/>
      <c r="BE101" s="16"/>
      <c r="BH101" s="14"/>
      <c r="BI101" s="14"/>
      <c r="BJ101" s="14"/>
      <c r="BK101" s="14"/>
      <c r="BL101" s="14"/>
      <c r="BM101" s="14"/>
      <c r="BN101" s="14"/>
      <c r="BO101" s="14"/>
      <c r="BP101" s="14"/>
      <c r="BQ101" s="14"/>
      <c r="BX101" s="14"/>
      <c r="BY101" s="14"/>
      <c r="BZ101" s="14"/>
      <c r="CA101" s="14"/>
      <c r="CB101" s="14"/>
      <c r="CC101" s="14"/>
      <c r="CD101" s="14"/>
      <c r="CF101" s="14"/>
      <c r="CJ101" s="16"/>
      <c r="CM101" s="14"/>
      <c r="CN101" s="14"/>
      <c r="CO101" s="14"/>
      <c r="CP101" s="14"/>
      <c r="CQ101" s="14"/>
      <c r="CR101" s="14"/>
      <c r="CS101" s="14"/>
      <c r="CT101" s="14"/>
      <c r="CU101" s="14"/>
      <c r="CV101" s="14"/>
    </row>
    <row r="102" spans="1:100" x14ac:dyDescent="0.2">
      <c r="A102" s="14"/>
      <c r="B102" s="14"/>
      <c r="C102" s="14"/>
      <c r="D102" s="14"/>
      <c r="E102" s="14"/>
      <c r="F102" s="14"/>
      <c r="G102" s="14"/>
      <c r="H102" s="14"/>
      <c r="I102" s="14"/>
      <c r="J102" s="14"/>
      <c r="K102" s="14"/>
      <c r="L102" s="15"/>
      <c r="M102" s="14"/>
      <c r="N102" s="14"/>
      <c r="O102" s="14"/>
      <c r="P102" s="14"/>
      <c r="Q102" s="16"/>
      <c r="R102" s="14"/>
      <c r="Z102" s="16"/>
      <c r="AC102" s="14"/>
      <c r="AD102" s="14"/>
      <c r="AE102" s="14"/>
      <c r="AF102" s="14"/>
      <c r="AG102" s="14"/>
      <c r="AH102" s="14"/>
      <c r="AI102" s="14"/>
      <c r="AJ102" s="14"/>
      <c r="AK102" s="14"/>
      <c r="AL102" s="14"/>
      <c r="AS102" s="14"/>
      <c r="AT102" s="14"/>
      <c r="AU102" s="14"/>
      <c r="AV102" s="14"/>
      <c r="AW102" s="14"/>
      <c r="AX102" s="14"/>
      <c r="AY102" s="14"/>
      <c r="BA102" s="14"/>
      <c r="BE102" s="16"/>
      <c r="BH102" s="14"/>
      <c r="BI102" s="14"/>
      <c r="BJ102" s="14"/>
      <c r="BK102" s="14"/>
      <c r="BL102" s="14"/>
      <c r="BM102" s="14"/>
      <c r="BN102" s="14"/>
      <c r="BO102" s="14"/>
      <c r="BP102" s="14"/>
      <c r="BQ102" s="14"/>
      <c r="BX102" s="14"/>
      <c r="BY102" s="14"/>
      <c r="BZ102" s="14"/>
      <c r="CA102" s="14"/>
      <c r="CB102" s="14"/>
      <c r="CC102" s="14"/>
      <c r="CD102" s="14"/>
      <c r="CF102" s="14"/>
      <c r="CJ102" s="16"/>
      <c r="CM102" s="14"/>
      <c r="CN102" s="14"/>
      <c r="CO102" s="14"/>
      <c r="CP102" s="14"/>
      <c r="CQ102" s="14"/>
      <c r="CR102" s="14"/>
      <c r="CS102" s="14"/>
      <c r="CT102" s="14"/>
      <c r="CU102" s="14"/>
      <c r="CV102" s="14"/>
    </row>
    <row r="103" spans="1:100" x14ac:dyDescent="0.2">
      <c r="A103" s="14"/>
      <c r="B103" s="14"/>
      <c r="C103" s="14"/>
      <c r="D103" s="14"/>
      <c r="E103" s="14"/>
      <c r="F103" s="14"/>
      <c r="G103" s="14"/>
      <c r="H103" s="14"/>
      <c r="I103" s="14"/>
      <c r="J103" s="14"/>
      <c r="K103" s="14"/>
      <c r="L103" s="15"/>
      <c r="M103" s="14"/>
      <c r="N103" s="14"/>
      <c r="O103" s="14"/>
      <c r="P103" s="14"/>
      <c r="Q103" s="16"/>
      <c r="R103" s="14"/>
      <c r="Z103" s="16"/>
      <c r="AC103" s="14"/>
      <c r="AD103" s="14"/>
      <c r="AE103" s="14"/>
      <c r="AF103" s="14"/>
      <c r="AG103" s="14"/>
      <c r="AH103" s="14"/>
      <c r="AI103" s="14"/>
      <c r="AJ103" s="14"/>
      <c r="AK103" s="14"/>
      <c r="AL103" s="14"/>
      <c r="AS103" s="14"/>
      <c r="AT103" s="14"/>
      <c r="AU103" s="14"/>
      <c r="AV103" s="14"/>
      <c r="AW103" s="14"/>
      <c r="AX103" s="14"/>
      <c r="AY103" s="14"/>
      <c r="BA103" s="14"/>
      <c r="BE103" s="16"/>
      <c r="BH103" s="14"/>
      <c r="BI103" s="14"/>
      <c r="BJ103" s="14"/>
      <c r="BK103" s="14"/>
      <c r="BL103" s="14"/>
      <c r="BM103" s="14"/>
      <c r="BN103" s="14"/>
      <c r="BO103" s="14"/>
      <c r="BP103" s="14"/>
      <c r="BQ103" s="14"/>
      <c r="BX103" s="14"/>
      <c r="BY103" s="14"/>
      <c r="BZ103" s="14"/>
      <c r="CA103" s="14"/>
      <c r="CB103" s="14"/>
      <c r="CC103" s="14"/>
      <c r="CD103" s="14"/>
      <c r="CF103" s="14"/>
      <c r="CJ103" s="16"/>
      <c r="CM103" s="14"/>
      <c r="CN103" s="14"/>
      <c r="CO103" s="14"/>
      <c r="CP103" s="14"/>
      <c r="CQ103" s="14"/>
      <c r="CR103" s="14"/>
      <c r="CS103" s="14"/>
      <c r="CT103" s="14"/>
      <c r="CU103" s="14"/>
      <c r="CV103" s="14"/>
    </row>
    <row r="104" spans="1:100" x14ac:dyDescent="0.2">
      <c r="A104" s="14"/>
      <c r="B104" s="14"/>
      <c r="C104" s="14"/>
      <c r="D104" s="14"/>
      <c r="E104" s="14"/>
      <c r="F104" s="14"/>
      <c r="G104" s="14"/>
      <c r="H104" s="14"/>
      <c r="I104" s="14"/>
      <c r="J104" s="14"/>
      <c r="K104" s="14"/>
      <c r="L104" s="15"/>
      <c r="M104" s="14"/>
      <c r="N104" s="14"/>
      <c r="O104" s="14"/>
      <c r="P104" s="14"/>
      <c r="Q104" s="16"/>
      <c r="R104" s="14"/>
      <c r="Z104" s="16"/>
      <c r="AC104" s="14"/>
      <c r="AD104" s="14"/>
      <c r="AE104" s="14"/>
      <c r="AF104" s="14"/>
      <c r="AG104" s="14"/>
      <c r="AH104" s="14"/>
      <c r="AI104" s="14"/>
      <c r="AJ104" s="14"/>
      <c r="AK104" s="14"/>
      <c r="AL104" s="14"/>
      <c r="AS104" s="14"/>
      <c r="AT104" s="14"/>
      <c r="AU104" s="14"/>
      <c r="AV104" s="14"/>
      <c r="AW104" s="14"/>
      <c r="AX104" s="14"/>
      <c r="AY104" s="14"/>
      <c r="BA104" s="14"/>
      <c r="BE104" s="16"/>
      <c r="BH104" s="14"/>
      <c r="BI104" s="14"/>
      <c r="BJ104" s="14"/>
      <c r="BK104" s="14"/>
      <c r="BL104" s="14"/>
      <c r="BM104" s="14"/>
      <c r="BN104" s="14"/>
      <c r="BO104" s="14"/>
      <c r="BP104" s="14"/>
      <c r="BQ104" s="14"/>
      <c r="BX104" s="14"/>
      <c r="BY104" s="14"/>
      <c r="BZ104" s="14"/>
      <c r="CA104" s="14"/>
      <c r="CB104" s="14"/>
      <c r="CC104" s="14"/>
      <c r="CD104" s="14"/>
      <c r="CF104" s="14"/>
      <c r="CJ104" s="16"/>
      <c r="CM104" s="14"/>
      <c r="CN104" s="14"/>
      <c r="CO104" s="14"/>
      <c r="CP104" s="14"/>
      <c r="CQ104" s="14"/>
      <c r="CR104" s="14"/>
      <c r="CS104" s="14"/>
      <c r="CT104" s="14"/>
      <c r="CU104" s="14"/>
      <c r="CV104" s="14"/>
    </row>
    <row r="105" spans="1:100" x14ac:dyDescent="0.2">
      <c r="A105" s="14"/>
      <c r="B105" s="14"/>
      <c r="C105" s="14"/>
      <c r="D105" s="14"/>
      <c r="E105" s="14"/>
      <c r="F105" s="14"/>
      <c r="G105" s="14"/>
      <c r="H105" s="14"/>
      <c r="I105" s="14"/>
      <c r="J105" s="14"/>
      <c r="K105" s="14"/>
      <c r="L105" s="15"/>
      <c r="M105" s="14"/>
      <c r="N105" s="14"/>
      <c r="O105" s="14"/>
      <c r="P105" s="14"/>
      <c r="Q105" s="16"/>
      <c r="R105" s="14"/>
      <c r="Z105" s="16"/>
      <c r="AC105" s="14"/>
      <c r="AD105" s="14"/>
      <c r="AE105" s="14"/>
      <c r="AF105" s="14"/>
      <c r="AG105" s="14"/>
      <c r="AH105" s="14"/>
      <c r="AI105" s="14"/>
      <c r="AJ105" s="14"/>
      <c r="AK105" s="14"/>
      <c r="AL105" s="14"/>
      <c r="AS105" s="14"/>
      <c r="AT105" s="14"/>
      <c r="AU105" s="14"/>
      <c r="AV105" s="14"/>
      <c r="AW105" s="14"/>
      <c r="AX105" s="14"/>
      <c r="AY105" s="14"/>
      <c r="BA105" s="14"/>
      <c r="BE105" s="16"/>
      <c r="BH105" s="14"/>
      <c r="BI105" s="14"/>
      <c r="BJ105" s="14"/>
      <c r="BK105" s="14"/>
      <c r="BL105" s="14"/>
      <c r="BM105" s="14"/>
      <c r="BN105" s="14"/>
      <c r="BO105" s="14"/>
      <c r="BP105" s="14"/>
      <c r="BQ105" s="14"/>
      <c r="BX105" s="14"/>
      <c r="BY105" s="14"/>
      <c r="BZ105" s="14"/>
      <c r="CA105" s="14"/>
      <c r="CB105" s="14"/>
      <c r="CC105" s="14"/>
      <c r="CD105" s="14"/>
      <c r="CF105" s="14"/>
      <c r="CJ105" s="16"/>
      <c r="CM105" s="14"/>
      <c r="CN105" s="14"/>
      <c r="CO105" s="14"/>
      <c r="CP105" s="14"/>
      <c r="CQ105" s="14"/>
      <c r="CR105" s="14"/>
      <c r="CS105" s="14"/>
      <c r="CT105" s="14"/>
      <c r="CU105" s="14"/>
      <c r="CV105" s="14"/>
    </row>
    <row r="106" spans="1:100" x14ac:dyDescent="0.2">
      <c r="A106" s="14"/>
      <c r="B106" s="14"/>
      <c r="C106" s="14"/>
      <c r="D106" s="14"/>
      <c r="E106" s="14"/>
      <c r="F106" s="14"/>
      <c r="G106" s="14"/>
      <c r="H106" s="14"/>
      <c r="I106" s="14"/>
      <c r="J106" s="14"/>
      <c r="K106" s="14"/>
      <c r="L106" s="15"/>
      <c r="M106" s="14"/>
      <c r="N106" s="14"/>
      <c r="O106" s="14"/>
      <c r="P106" s="14"/>
      <c r="Q106" s="16"/>
      <c r="R106" s="14"/>
      <c r="Z106" s="16"/>
      <c r="AC106" s="14"/>
      <c r="AD106" s="14"/>
      <c r="AE106" s="14"/>
      <c r="AF106" s="14"/>
      <c r="AG106" s="14"/>
      <c r="AH106" s="14"/>
      <c r="AI106" s="14"/>
      <c r="AJ106" s="14"/>
      <c r="AK106" s="14"/>
      <c r="AL106" s="14"/>
      <c r="AS106" s="14"/>
      <c r="AT106" s="14"/>
      <c r="AU106" s="14"/>
      <c r="AV106" s="14"/>
      <c r="AW106" s="14"/>
      <c r="AX106" s="14"/>
      <c r="AY106" s="14"/>
      <c r="BA106" s="14"/>
      <c r="BE106" s="16"/>
      <c r="BH106" s="14"/>
      <c r="BI106" s="14"/>
      <c r="BJ106" s="14"/>
      <c r="BK106" s="14"/>
      <c r="BL106" s="14"/>
      <c r="BM106" s="14"/>
      <c r="BN106" s="14"/>
      <c r="BO106" s="14"/>
      <c r="BP106" s="14"/>
      <c r="BQ106" s="14"/>
      <c r="BX106" s="14"/>
      <c r="BY106" s="14"/>
      <c r="BZ106" s="14"/>
      <c r="CA106" s="14"/>
      <c r="CB106" s="14"/>
      <c r="CC106" s="14"/>
      <c r="CD106" s="14"/>
      <c r="CF106" s="14"/>
      <c r="CJ106" s="16"/>
      <c r="CM106" s="14"/>
      <c r="CN106" s="14"/>
      <c r="CO106" s="14"/>
      <c r="CP106" s="14"/>
      <c r="CQ106" s="14"/>
      <c r="CR106" s="14"/>
      <c r="CS106" s="14"/>
      <c r="CT106" s="14"/>
      <c r="CU106" s="14"/>
      <c r="CV106" s="14"/>
    </row>
    <row r="107" spans="1:100" x14ac:dyDescent="0.2">
      <c r="A107" s="14"/>
      <c r="B107" s="14"/>
      <c r="C107" s="14"/>
      <c r="D107" s="14"/>
      <c r="E107" s="14"/>
      <c r="F107" s="14"/>
      <c r="G107" s="14"/>
      <c r="H107" s="14"/>
      <c r="I107" s="14"/>
      <c r="J107" s="14"/>
      <c r="K107" s="14"/>
      <c r="L107" s="15"/>
      <c r="M107" s="14"/>
      <c r="N107" s="14"/>
      <c r="O107" s="14"/>
      <c r="P107" s="14"/>
      <c r="Q107" s="16"/>
      <c r="R107" s="14"/>
      <c r="Z107" s="16"/>
      <c r="AC107" s="14"/>
      <c r="AD107" s="14"/>
      <c r="AE107" s="14"/>
      <c r="AF107" s="14"/>
      <c r="AG107" s="14"/>
      <c r="AH107" s="14"/>
      <c r="AI107" s="14"/>
      <c r="AJ107" s="14"/>
      <c r="AK107" s="14"/>
      <c r="AL107" s="14"/>
      <c r="AS107" s="14"/>
      <c r="AT107" s="14"/>
      <c r="AU107" s="14"/>
      <c r="AV107" s="14"/>
      <c r="AW107" s="14"/>
      <c r="AX107" s="14"/>
      <c r="AY107" s="14"/>
      <c r="BA107" s="14"/>
      <c r="BE107" s="16"/>
      <c r="BH107" s="14"/>
      <c r="BI107" s="14"/>
      <c r="BJ107" s="14"/>
      <c r="BK107" s="14"/>
      <c r="BL107" s="14"/>
      <c r="BM107" s="14"/>
      <c r="BN107" s="14"/>
      <c r="BO107" s="14"/>
      <c r="BP107" s="14"/>
      <c r="BQ107" s="14"/>
      <c r="BX107" s="14"/>
      <c r="BY107" s="14"/>
      <c r="BZ107" s="14"/>
      <c r="CA107" s="14"/>
      <c r="CB107" s="14"/>
      <c r="CC107" s="14"/>
      <c r="CD107" s="14"/>
      <c r="CF107" s="14"/>
      <c r="CJ107" s="16"/>
      <c r="CM107" s="14"/>
      <c r="CN107" s="14"/>
      <c r="CO107" s="14"/>
      <c r="CP107" s="14"/>
      <c r="CQ107" s="14"/>
      <c r="CR107" s="14"/>
      <c r="CS107" s="14"/>
      <c r="CT107" s="14"/>
      <c r="CU107" s="14"/>
      <c r="CV107" s="14"/>
    </row>
    <row r="108" spans="1:100" x14ac:dyDescent="0.2">
      <c r="A108" s="14"/>
      <c r="B108" s="14"/>
      <c r="C108" s="14"/>
      <c r="D108" s="14"/>
      <c r="E108" s="14"/>
      <c r="F108" s="14"/>
      <c r="G108" s="14"/>
      <c r="H108" s="14"/>
      <c r="I108" s="14"/>
      <c r="J108" s="14"/>
      <c r="K108" s="14"/>
      <c r="L108" s="15"/>
      <c r="M108" s="14"/>
      <c r="N108" s="14"/>
      <c r="O108" s="14"/>
      <c r="P108" s="14"/>
      <c r="Q108" s="16"/>
      <c r="R108" s="14"/>
      <c r="Z108" s="16"/>
      <c r="AC108" s="14"/>
      <c r="AD108" s="14"/>
      <c r="AE108" s="14"/>
      <c r="AF108" s="14"/>
      <c r="AG108" s="14"/>
      <c r="AH108" s="14"/>
      <c r="AI108" s="14"/>
      <c r="AJ108" s="14"/>
      <c r="AK108" s="14"/>
      <c r="AL108" s="14"/>
      <c r="AS108" s="14"/>
      <c r="AT108" s="14"/>
      <c r="AU108" s="14"/>
      <c r="AV108" s="14"/>
      <c r="AW108" s="14"/>
      <c r="AX108" s="14"/>
      <c r="AY108" s="14"/>
      <c r="BA108" s="14"/>
      <c r="BE108" s="16"/>
      <c r="BH108" s="14"/>
      <c r="BI108" s="14"/>
      <c r="BJ108" s="14"/>
      <c r="BK108" s="14"/>
      <c r="BL108" s="14"/>
      <c r="BM108" s="14"/>
      <c r="BN108" s="14"/>
      <c r="BO108" s="14"/>
      <c r="BP108" s="14"/>
      <c r="BQ108" s="14"/>
      <c r="BX108" s="14"/>
      <c r="BY108" s="14"/>
      <c r="BZ108" s="14"/>
      <c r="CA108" s="14"/>
      <c r="CB108" s="14"/>
      <c r="CC108" s="14"/>
      <c r="CD108" s="14"/>
      <c r="CF108" s="14"/>
      <c r="CJ108" s="16"/>
      <c r="CM108" s="14"/>
      <c r="CN108" s="14"/>
      <c r="CO108" s="14"/>
      <c r="CP108" s="14"/>
      <c r="CQ108" s="14"/>
      <c r="CR108" s="14"/>
      <c r="CS108" s="14"/>
      <c r="CT108" s="14"/>
      <c r="CU108" s="14"/>
      <c r="CV108" s="14"/>
    </row>
    <row r="109" spans="1:100" x14ac:dyDescent="0.2">
      <c r="A109" s="14"/>
      <c r="B109" s="14"/>
      <c r="C109" s="14"/>
      <c r="D109" s="14"/>
      <c r="E109" s="14"/>
      <c r="F109" s="14"/>
      <c r="G109" s="14"/>
      <c r="H109" s="14"/>
      <c r="I109" s="14"/>
      <c r="J109" s="14"/>
      <c r="K109" s="14"/>
      <c r="L109" s="15"/>
      <c r="M109" s="14"/>
      <c r="N109" s="14"/>
      <c r="O109" s="14"/>
      <c r="P109" s="14"/>
      <c r="Q109" s="16"/>
      <c r="R109" s="14"/>
      <c r="Z109" s="16"/>
      <c r="AC109" s="14"/>
      <c r="AD109" s="14"/>
      <c r="AE109" s="14"/>
      <c r="AF109" s="14"/>
      <c r="AG109" s="14"/>
      <c r="AH109" s="14"/>
      <c r="AI109" s="14"/>
      <c r="AJ109" s="14"/>
      <c r="AK109" s="14"/>
      <c r="AL109" s="14"/>
      <c r="AS109" s="14"/>
      <c r="AT109" s="14"/>
      <c r="AU109" s="14"/>
      <c r="AV109" s="14"/>
      <c r="AW109" s="14"/>
      <c r="AX109" s="14"/>
      <c r="AY109" s="14"/>
      <c r="BA109" s="14"/>
      <c r="BE109" s="16"/>
      <c r="BH109" s="14"/>
      <c r="BI109" s="14"/>
      <c r="BJ109" s="14"/>
      <c r="BK109" s="14"/>
      <c r="BL109" s="14"/>
      <c r="BM109" s="14"/>
      <c r="BN109" s="14"/>
      <c r="BO109" s="14"/>
      <c r="BP109" s="14"/>
      <c r="BQ109" s="14"/>
      <c r="BX109" s="14"/>
      <c r="BY109" s="14"/>
      <c r="BZ109" s="14"/>
      <c r="CA109" s="14"/>
      <c r="CB109" s="14"/>
      <c r="CC109" s="14"/>
      <c r="CD109" s="14"/>
      <c r="CF109" s="14"/>
      <c r="CJ109" s="16"/>
      <c r="CM109" s="14"/>
      <c r="CN109" s="14"/>
      <c r="CO109" s="14"/>
      <c r="CP109" s="14"/>
      <c r="CQ109" s="14"/>
      <c r="CR109" s="14"/>
      <c r="CS109" s="14"/>
      <c r="CT109" s="14"/>
      <c r="CU109" s="14"/>
      <c r="CV109" s="14"/>
    </row>
    <row r="110" spans="1:100" x14ac:dyDescent="0.2">
      <c r="A110" s="14"/>
      <c r="B110" s="14"/>
      <c r="C110" s="14"/>
      <c r="D110" s="14"/>
      <c r="E110" s="14"/>
      <c r="F110" s="14"/>
      <c r="G110" s="14"/>
      <c r="H110" s="14"/>
      <c r="I110" s="14"/>
      <c r="J110" s="14"/>
      <c r="K110" s="14"/>
      <c r="L110" s="15"/>
      <c r="M110" s="14"/>
      <c r="N110" s="14"/>
      <c r="O110" s="14"/>
      <c r="P110" s="14"/>
      <c r="Q110" s="16"/>
      <c r="R110" s="14"/>
      <c r="Z110" s="16"/>
      <c r="AC110" s="14"/>
      <c r="AD110" s="14"/>
      <c r="AE110" s="14"/>
      <c r="AF110" s="14"/>
      <c r="AG110" s="14"/>
      <c r="AH110" s="14"/>
      <c r="AI110" s="14"/>
      <c r="AJ110" s="14"/>
      <c r="AK110" s="14"/>
      <c r="AL110" s="14"/>
      <c r="AS110" s="14"/>
      <c r="AT110" s="14"/>
      <c r="AU110" s="14"/>
      <c r="AV110" s="14"/>
      <c r="AW110" s="14"/>
      <c r="AX110" s="14"/>
      <c r="AY110" s="14"/>
      <c r="BA110" s="14"/>
      <c r="BE110" s="16"/>
      <c r="BH110" s="14"/>
      <c r="BI110" s="14"/>
      <c r="BJ110" s="14"/>
      <c r="BK110" s="14"/>
      <c r="BL110" s="14"/>
      <c r="BM110" s="14"/>
      <c r="BN110" s="14"/>
      <c r="BO110" s="14"/>
      <c r="BP110" s="14"/>
      <c r="BQ110" s="14"/>
      <c r="BX110" s="14"/>
      <c r="BY110" s="14"/>
      <c r="BZ110" s="14"/>
      <c r="CA110" s="14"/>
      <c r="CB110" s="14"/>
      <c r="CC110" s="14"/>
      <c r="CD110" s="14"/>
      <c r="CF110" s="14"/>
      <c r="CJ110" s="16"/>
      <c r="CM110" s="14"/>
      <c r="CN110" s="14"/>
      <c r="CO110" s="14"/>
      <c r="CP110" s="14"/>
      <c r="CQ110" s="14"/>
      <c r="CR110" s="14"/>
      <c r="CS110" s="14"/>
      <c r="CT110" s="14"/>
      <c r="CU110" s="14"/>
      <c r="CV110" s="14"/>
    </row>
    <row r="111" spans="1:100" x14ac:dyDescent="0.2">
      <c r="A111" s="14"/>
      <c r="B111" s="14"/>
      <c r="C111" s="14"/>
      <c r="D111" s="14"/>
      <c r="E111" s="14"/>
      <c r="F111" s="14"/>
      <c r="G111" s="14"/>
      <c r="H111" s="14"/>
      <c r="I111" s="14"/>
      <c r="J111" s="14"/>
      <c r="K111" s="14"/>
      <c r="L111" s="15"/>
      <c r="M111" s="14"/>
      <c r="N111" s="14"/>
      <c r="O111" s="14"/>
      <c r="P111" s="14"/>
      <c r="Q111" s="16"/>
      <c r="R111" s="14"/>
      <c r="Z111" s="16"/>
      <c r="AC111" s="14"/>
      <c r="AD111" s="14"/>
      <c r="AE111" s="14"/>
      <c r="AF111" s="14"/>
      <c r="AG111" s="14"/>
      <c r="AH111" s="14"/>
      <c r="AI111" s="14"/>
      <c r="AJ111" s="14"/>
      <c r="AK111" s="14"/>
      <c r="AL111" s="14"/>
      <c r="AS111" s="14"/>
      <c r="AT111" s="14"/>
      <c r="AU111" s="14"/>
      <c r="AV111" s="14"/>
      <c r="AW111" s="14"/>
      <c r="AX111" s="14"/>
      <c r="AY111" s="14"/>
      <c r="BA111" s="14"/>
      <c r="BE111" s="16"/>
      <c r="BH111" s="14"/>
      <c r="BI111" s="14"/>
      <c r="BJ111" s="14"/>
      <c r="BK111" s="14"/>
      <c r="BL111" s="14"/>
      <c r="BM111" s="14"/>
      <c r="BN111" s="14"/>
      <c r="BO111" s="14"/>
      <c r="BP111" s="14"/>
      <c r="BQ111" s="14"/>
      <c r="BX111" s="14"/>
      <c r="BY111" s="14"/>
      <c r="BZ111" s="14"/>
      <c r="CA111" s="14"/>
      <c r="CB111" s="14"/>
      <c r="CC111" s="14"/>
      <c r="CD111" s="14"/>
      <c r="CF111" s="14"/>
      <c r="CJ111" s="16"/>
      <c r="CM111" s="14"/>
      <c r="CN111" s="14"/>
      <c r="CO111" s="14"/>
      <c r="CP111" s="14"/>
      <c r="CQ111" s="14"/>
      <c r="CR111" s="14"/>
      <c r="CS111" s="14"/>
      <c r="CT111" s="14"/>
      <c r="CU111" s="14"/>
      <c r="CV111" s="14"/>
    </row>
    <row r="112" spans="1:100" x14ac:dyDescent="0.2">
      <c r="A112" s="14"/>
      <c r="B112" s="14"/>
      <c r="C112" s="14"/>
      <c r="D112" s="14"/>
      <c r="E112" s="14"/>
      <c r="F112" s="14"/>
      <c r="G112" s="14"/>
      <c r="H112" s="14"/>
      <c r="I112" s="14"/>
      <c r="J112" s="14"/>
      <c r="K112" s="14"/>
      <c r="L112" s="15"/>
      <c r="M112" s="14"/>
      <c r="N112" s="14"/>
      <c r="O112" s="14"/>
      <c r="P112" s="14"/>
      <c r="Q112" s="16"/>
      <c r="R112" s="14"/>
      <c r="Z112" s="16"/>
      <c r="AC112" s="14"/>
      <c r="AD112" s="14"/>
      <c r="AE112" s="14"/>
      <c r="AF112" s="14"/>
      <c r="AG112" s="14"/>
      <c r="AH112" s="14"/>
      <c r="AI112" s="14"/>
      <c r="AJ112" s="14"/>
      <c r="AK112" s="14"/>
      <c r="AL112" s="14"/>
      <c r="AS112" s="14"/>
      <c r="AT112" s="14"/>
      <c r="AU112" s="14"/>
      <c r="AV112" s="14"/>
      <c r="AW112" s="14"/>
      <c r="AX112" s="14"/>
      <c r="AY112" s="14"/>
      <c r="BA112" s="14"/>
      <c r="BE112" s="16"/>
      <c r="BH112" s="14"/>
      <c r="BI112" s="14"/>
      <c r="BJ112" s="14"/>
      <c r="BK112" s="14"/>
      <c r="BL112" s="14"/>
      <c r="BM112" s="14"/>
      <c r="BN112" s="14"/>
      <c r="BO112" s="14"/>
      <c r="BP112" s="14"/>
      <c r="BQ112" s="14"/>
      <c r="BX112" s="14"/>
      <c r="BY112" s="14"/>
      <c r="BZ112" s="14"/>
      <c r="CA112" s="14"/>
      <c r="CB112" s="14"/>
      <c r="CC112" s="14"/>
      <c r="CD112" s="14"/>
      <c r="CF112" s="14"/>
      <c r="CJ112" s="16"/>
      <c r="CM112" s="14"/>
      <c r="CN112" s="14"/>
      <c r="CO112" s="14"/>
      <c r="CP112" s="14"/>
      <c r="CQ112" s="14"/>
      <c r="CR112" s="14"/>
      <c r="CS112" s="14"/>
      <c r="CT112" s="14"/>
      <c r="CU112" s="14"/>
      <c r="CV112" s="14"/>
    </row>
    <row r="113" spans="1:100" x14ac:dyDescent="0.2">
      <c r="A113" s="14"/>
      <c r="B113" s="14"/>
      <c r="C113" s="14"/>
      <c r="D113" s="14"/>
      <c r="E113" s="14"/>
      <c r="F113" s="14"/>
      <c r="G113" s="14"/>
      <c r="H113" s="14"/>
      <c r="I113" s="14"/>
      <c r="J113" s="14"/>
      <c r="K113" s="14"/>
      <c r="L113" s="15"/>
      <c r="M113" s="14"/>
      <c r="N113" s="14"/>
      <c r="O113" s="14"/>
      <c r="P113" s="14"/>
      <c r="Q113" s="16"/>
      <c r="R113" s="14"/>
      <c r="Z113" s="16"/>
      <c r="AC113" s="14"/>
      <c r="AD113" s="14"/>
      <c r="AE113" s="14"/>
      <c r="AF113" s="14"/>
      <c r="AG113" s="14"/>
      <c r="AH113" s="14"/>
      <c r="AI113" s="14"/>
      <c r="AJ113" s="14"/>
      <c r="AK113" s="14"/>
      <c r="AL113" s="14"/>
      <c r="AS113" s="14"/>
      <c r="AT113" s="14"/>
      <c r="AU113" s="14"/>
      <c r="AV113" s="14"/>
      <c r="AW113" s="14"/>
      <c r="AX113" s="14"/>
      <c r="AY113" s="14"/>
      <c r="BA113" s="14"/>
      <c r="BE113" s="16"/>
      <c r="BH113" s="14"/>
      <c r="BI113" s="14"/>
      <c r="BJ113" s="14"/>
      <c r="BK113" s="14"/>
      <c r="BL113" s="14"/>
      <c r="BM113" s="14"/>
      <c r="BN113" s="14"/>
      <c r="BO113" s="14"/>
      <c r="BP113" s="14"/>
      <c r="BQ113" s="14"/>
      <c r="BX113" s="14"/>
      <c r="BY113" s="14"/>
      <c r="BZ113" s="14"/>
      <c r="CA113" s="14"/>
      <c r="CB113" s="14"/>
      <c r="CC113" s="14"/>
      <c r="CD113" s="14"/>
      <c r="CF113" s="14"/>
      <c r="CJ113" s="16"/>
      <c r="CM113" s="14"/>
      <c r="CN113" s="14"/>
      <c r="CO113" s="14"/>
      <c r="CP113" s="14"/>
      <c r="CQ113" s="14"/>
      <c r="CR113" s="14"/>
      <c r="CS113" s="14"/>
      <c r="CT113" s="14"/>
      <c r="CU113" s="14"/>
      <c r="CV113" s="14"/>
    </row>
    <row r="114" spans="1:100" x14ac:dyDescent="0.2">
      <c r="A114" s="14"/>
      <c r="B114" s="14"/>
      <c r="C114" s="14"/>
      <c r="D114" s="14"/>
      <c r="E114" s="14"/>
      <c r="F114" s="14"/>
      <c r="G114" s="14"/>
      <c r="H114" s="14"/>
      <c r="I114" s="14"/>
      <c r="J114" s="14"/>
      <c r="K114" s="14"/>
      <c r="L114" s="15"/>
      <c r="M114" s="14"/>
      <c r="N114" s="14"/>
      <c r="O114" s="14"/>
      <c r="P114" s="14"/>
      <c r="Q114" s="16"/>
      <c r="R114" s="14"/>
      <c r="Z114" s="16"/>
      <c r="AC114" s="14"/>
      <c r="AD114" s="14"/>
      <c r="AE114" s="14"/>
      <c r="AF114" s="14"/>
      <c r="AG114" s="14"/>
      <c r="AH114" s="14"/>
      <c r="AI114" s="14"/>
      <c r="AJ114" s="14"/>
      <c r="AK114" s="14"/>
      <c r="AL114" s="14"/>
      <c r="AS114" s="14"/>
      <c r="AT114" s="14"/>
      <c r="AU114" s="14"/>
      <c r="AV114" s="14"/>
      <c r="AW114" s="14"/>
      <c r="AX114" s="14"/>
      <c r="AY114" s="14"/>
      <c r="BA114" s="14"/>
      <c r="BE114" s="16"/>
      <c r="BH114" s="14"/>
      <c r="BI114" s="14"/>
      <c r="BJ114" s="14"/>
      <c r="BK114" s="14"/>
      <c r="BL114" s="14"/>
      <c r="BM114" s="14"/>
      <c r="BN114" s="14"/>
      <c r="BO114" s="14"/>
      <c r="BP114" s="14"/>
      <c r="BQ114" s="14"/>
      <c r="BX114" s="14"/>
      <c r="BY114" s="14"/>
      <c r="BZ114" s="14"/>
      <c r="CA114" s="14"/>
      <c r="CB114" s="14"/>
      <c r="CC114" s="14"/>
      <c r="CD114" s="14"/>
      <c r="CF114" s="14"/>
      <c r="CJ114" s="16"/>
      <c r="CM114" s="14"/>
      <c r="CN114" s="14"/>
      <c r="CO114" s="14"/>
      <c r="CP114" s="14"/>
      <c r="CQ114" s="14"/>
      <c r="CR114" s="14"/>
      <c r="CS114" s="14"/>
      <c r="CT114" s="14"/>
      <c r="CU114" s="14"/>
      <c r="CV114" s="14"/>
    </row>
    <row r="115" spans="1:100" x14ac:dyDescent="0.2">
      <c r="A115" s="14"/>
      <c r="B115" s="14"/>
      <c r="C115" s="14"/>
      <c r="D115" s="14"/>
      <c r="E115" s="14"/>
      <c r="F115" s="14"/>
      <c r="G115" s="14"/>
      <c r="H115" s="14"/>
      <c r="I115" s="14"/>
      <c r="J115" s="14"/>
      <c r="K115" s="14"/>
      <c r="L115" s="15"/>
      <c r="M115" s="14"/>
      <c r="N115" s="14"/>
      <c r="O115" s="14"/>
      <c r="P115" s="14"/>
      <c r="Q115" s="16"/>
      <c r="R115" s="14"/>
      <c r="Z115" s="16"/>
      <c r="AC115" s="14"/>
      <c r="AD115" s="14"/>
      <c r="AE115" s="14"/>
      <c r="AF115" s="14"/>
      <c r="AG115" s="14"/>
      <c r="AH115" s="14"/>
      <c r="AI115" s="14"/>
      <c r="AJ115" s="14"/>
      <c r="AK115" s="14"/>
      <c r="AL115" s="14"/>
      <c r="AS115" s="14"/>
      <c r="AT115" s="14"/>
      <c r="AU115" s="14"/>
      <c r="AV115" s="14"/>
      <c r="AW115" s="14"/>
      <c r="AX115" s="14"/>
      <c r="AY115" s="14"/>
      <c r="BA115" s="14"/>
      <c r="BE115" s="16"/>
      <c r="BH115" s="14"/>
      <c r="BI115" s="14"/>
      <c r="BJ115" s="14"/>
      <c r="BK115" s="14"/>
      <c r="BL115" s="14"/>
      <c r="BM115" s="14"/>
      <c r="BN115" s="14"/>
      <c r="BO115" s="14"/>
      <c r="BP115" s="14"/>
      <c r="BQ115" s="14"/>
      <c r="BX115" s="14"/>
      <c r="BY115" s="14"/>
      <c r="BZ115" s="14"/>
      <c r="CA115" s="14"/>
      <c r="CB115" s="14"/>
      <c r="CC115" s="14"/>
      <c r="CD115" s="14"/>
      <c r="CF115" s="14"/>
      <c r="CJ115" s="16"/>
      <c r="CM115" s="14"/>
      <c r="CN115" s="14"/>
      <c r="CO115" s="14"/>
      <c r="CP115" s="14"/>
      <c r="CQ115" s="14"/>
      <c r="CR115" s="14"/>
      <c r="CS115" s="14"/>
      <c r="CT115" s="14"/>
      <c r="CU115" s="14"/>
      <c r="CV115" s="14"/>
    </row>
    <row r="116" spans="1:100" x14ac:dyDescent="0.2">
      <c r="A116" s="14"/>
      <c r="B116" s="14"/>
      <c r="C116" s="14"/>
      <c r="D116" s="14"/>
      <c r="E116" s="14"/>
      <c r="F116" s="14"/>
      <c r="G116" s="14"/>
      <c r="H116" s="14"/>
      <c r="I116" s="14"/>
      <c r="J116" s="14"/>
      <c r="K116" s="14"/>
      <c r="L116" s="15"/>
      <c r="M116" s="14"/>
      <c r="N116" s="14"/>
      <c r="O116" s="14"/>
      <c r="P116" s="14"/>
      <c r="Q116" s="16"/>
      <c r="R116" s="14"/>
      <c r="Z116" s="16"/>
      <c r="AC116" s="14"/>
      <c r="AD116" s="14"/>
      <c r="AE116" s="14"/>
      <c r="AF116" s="14"/>
      <c r="AG116" s="14"/>
      <c r="AH116" s="14"/>
      <c r="AI116" s="14"/>
      <c r="AJ116" s="14"/>
      <c r="AK116" s="14"/>
      <c r="AL116" s="14"/>
      <c r="AS116" s="14"/>
      <c r="AT116" s="14"/>
      <c r="AU116" s="14"/>
      <c r="AV116" s="14"/>
      <c r="AW116" s="14"/>
      <c r="AX116" s="14"/>
      <c r="AY116" s="14"/>
      <c r="BA116" s="14"/>
      <c r="BE116" s="16"/>
      <c r="BH116" s="14"/>
      <c r="BI116" s="14"/>
      <c r="BJ116" s="14"/>
      <c r="BK116" s="14"/>
      <c r="BL116" s="14"/>
      <c r="BM116" s="14"/>
      <c r="BN116" s="14"/>
      <c r="BO116" s="14"/>
      <c r="BP116" s="14"/>
      <c r="BQ116" s="14"/>
      <c r="BX116" s="14"/>
      <c r="BY116" s="14"/>
      <c r="BZ116" s="14"/>
      <c r="CA116" s="14"/>
      <c r="CB116" s="14"/>
      <c r="CC116" s="14"/>
      <c r="CD116" s="14"/>
      <c r="CF116" s="14"/>
      <c r="CJ116" s="16"/>
      <c r="CM116" s="14"/>
      <c r="CN116" s="14"/>
      <c r="CO116" s="14"/>
      <c r="CP116" s="14"/>
      <c r="CQ116" s="14"/>
      <c r="CR116" s="14"/>
      <c r="CS116" s="14"/>
      <c r="CT116" s="14"/>
      <c r="CU116" s="14"/>
      <c r="CV116" s="14"/>
    </row>
    <row r="117" spans="1:100" x14ac:dyDescent="0.2">
      <c r="A117" s="14"/>
      <c r="B117" s="14"/>
      <c r="C117" s="14"/>
      <c r="D117" s="14"/>
      <c r="E117" s="14"/>
      <c r="F117" s="14"/>
      <c r="G117" s="14"/>
      <c r="H117" s="14"/>
      <c r="I117" s="14"/>
      <c r="J117" s="14"/>
      <c r="K117" s="14"/>
      <c r="L117" s="15"/>
      <c r="M117" s="14"/>
      <c r="N117" s="14"/>
      <c r="O117" s="14"/>
      <c r="P117" s="14"/>
      <c r="Q117" s="16"/>
      <c r="R117" s="14"/>
      <c r="Z117" s="16"/>
      <c r="AC117" s="14"/>
      <c r="AD117" s="14"/>
      <c r="AE117" s="14"/>
      <c r="AF117" s="14"/>
      <c r="AG117" s="14"/>
      <c r="AH117" s="14"/>
      <c r="AI117" s="14"/>
      <c r="AJ117" s="14"/>
      <c r="AK117" s="14"/>
      <c r="AL117" s="14"/>
      <c r="AS117" s="14"/>
      <c r="AT117" s="14"/>
      <c r="AU117" s="14"/>
      <c r="AV117" s="14"/>
      <c r="AW117" s="14"/>
      <c r="AX117" s="14"/>
      <c r="AY117" s="14"/>
      <c r="BA117" s="14"/>
      <c r="BE117" s="16"/>
      <c r="BH117" s="14"/>
      <c r="BI117" s="14"/>
      <c r="BJ117" s="14"/>
      <c r="BK117" s="14"/>
      <c r="BL117" s="14"/>
      <c r="BM117" s="14"/>
      <c r="BN117" s="14"/>
      <c r="BO117" s="14"/>
      <c r="BP117" s="14"/>
      <c r="BQ117" s="14"/>
      <c r="BX117" s="14"/>
      <c r="BY117" s="14"/>
      <c r="BZ117" s="14"/>
      <c r="CA117" s="14"/>
      <c r="CB117" s="14"/>
      <c r="CC117" s="14"/>
      <c r="CD117" s="14"/>
      <c r="CF117" s="14"/>
      <c r="CJ117" s="16"/>
      <c r="CM117" s="14"/>
      <c r="CN117" s="14"/>
      <c r="CO117" s="14"/>
      <c r="CP117" s="14"/>
      <c r="CQ117" s="14"/>
      <c r="CR117" s="14"/>
      <c r="CS117" s="14"/>
      <c r="CT117" s="14"/>
      <c r="CU117" s="14"/>
      <c r="CV117" s="14"/>
    </row>
    <row r="118" spans="1:100" x14ac:dyDescent="0.2">
      <c r="A118" s="14"/>
      <c r="B118" s="14"/>
      <c r="C118" s="14"/>
      <c r="D118" s="14"/>
      <c r="E118" s="14"/>
      <c r="F118" s="14"/>
      <c r="G118" s="14"/>
      <c r="H118" s="14"/>
      <c r="I118" s="14"/>
      <c r="J118" s="14"/>
      <c r="K118" s="14"/>
      <c r="L118" s="15"/>
      <c r="M118" s="14"/>
      <c r="N118" s="14"/>
      <c r="O118" s="14"/>
      <c r="P118" s="14"/>
      <c r="Q118" s="16"/>
      <c r="R118" s="14"/>
      <c r="Z118" s="16"/>
      <c r="AC118" s="14"/>
      <c r="AD118" s="14"/>
      <c r="AE118" s="14"/>
      <c r="AF118" s="14"/>
      <c r="AG118" s="14"/>
      <c r="AH118" s="14"/>
      <c r="AI118" s="14"/>
      <c r="AJ118" s="14"/>
      <c r="AK118" s="14"/>
      <c r="AL118" s="14"/>
      <c r="AS118" s="14"/>
      <c r="AT118" s="14"/>
      <c r="AU118" s="14"/>
      <c r="AV118" s="14"/>
      <c r="AW118" s="14"/>
      <c r="AX118" s="14"/>
      <c r="AY118" s="14"/>
      <c r="BA118" s="14"/>
      <c r="BE118" s="16"/>
      <c r="BH118" s="14"/>
      <c r="BI118" s="14"/>
      <c r="BJ118" s="14"/>
      <c r="BK118" s="14"/>
      <c r="BL118" s="14"/>
      <c r="BM118" s="14"/>
      <c r="BN118" s="14"/>
      <c r="BO118" s="14"/>
      <c r="BP118" s="14"/>
      <c r="BQ118" s="14"/>
      <c r="BX118" s="14"/>
      <c r="BY118" s="14"/>
      <c r="BZ118" s="14"/>
      <c r="CA118" s="14"/>
      <c r="CB118" s="14"/>
      <c r="CC118" s="14"/>
      <c r="CD118" s="14"/>
      <c r="CF118" s="14"/>
      <c r="CJ118" s="16"/>
      <c r="CM118" s="14"/>
      <c r="CN118" s="14"/>
      <c r="CO118" s="14"/>
      <c r="CP118" s="14"/>
      <c r="CQ118" s="14"/>
      <c r="CR118" s="14"/>
      <c r="CS118" s="14"/>
      <c r="CT118" s="14"/>
      <c r="CU118" s="14"/>
      <c r="CV118" s="14"/>
    </row>
    <row r="119" spans="1:100" x14ac:dyDescent="0.2">
      <c r="A119" s="14"/>
      <c r="B119" s="14"/>
      <c r="C119" s="14"/>
      <c r="D119" s="14"/>
      <c r="E119" s="14"/>
      <c r="F119" s="14"/>
      <c r="G119" s="14"/>
      <c r="H119" s="14"/>
      <c r="I119" s="14"/>
      <c r="J119" s="14"/>
      <c r="K119" s="14"/>
      <c r="L119" s="15"/>
      <c r="M119" s="14"/>
      <c r="N119" s="14"/>
      <c r="O119" s="14"/>
      <c r="P119" s="14"/>
      <c r="Q119" s="16"/>
      <c r="R119" s="14"/>
      <c r="Z119" s="16"/>
      <c r="AC119" s="14"/>
      <c r="AD119" s="14"/>
      <c r="AE119" s="14"/>
      <c r="AF119" s="14"/>
      <c r="AG119" s="14"/>
      <c r="AH119" s="14"/>
      <c r="AI119" s="14"/>
      <c r="AJ119" s="14"/>
      <c r="AK119" s="14"/>
      <c r="AL119" s="14"/>
      <c r="AS119" s="14"/>
      <c r="AT119" s="14"/>
      <c r="AU119" s="14"/>
      <c r="AV119" s="14"/>
      <c r="AW119" s="14"/>
      <c r="AX119" s="14"/>
      <c r="AY119" s="14"/>
      <c r="BA119" s="14"/>
      <c r="BE119" s="16"/>
      <c r="BH119" s="14"/>
      <c r="BI119" s="14"/>
      <c r="BJ119" s="14"/>
      <c r="BK119" s="14"/>
      <c r="BL119" s="14"/>
      <c r="BM119" s="14"/>
      <c r="BN119" s="14"/>
      <c r="BO119" s="14"/>
      <c r="BP119" s="14"/>
      <c r="BQ119" s="14"/>
      <c r="BX119" s="14"/>
      <c r="BY119" s="14"/>
      <c r="BZ119" s="14"/>
      <c r="CA119" s="14"/>
      <c r="CB119" s="14"/>
      <c r="CC119" s="14"/>
      <c r="CD119" s="14"/>
      <c r="CF119" s="14"/>
      <c r="CJ119" s="16"/>
      <c r="CM119" s="14"/>
      <c r="CN119" s="14"/>
      <c r="CO119" s="14"/>
      <c r="CP119" s="14"/>
      <c r="CQ119" s="14"/>
      <c r="CR119" s="14"/>
      <c r="CS119" s="14"/>
      <c r="CT119" s="14"/>
      <c r="CU119" s="14"/>
      <c r="CV119" s="14"/>
    </row>
    <row r="120" spans="1:100" x14ac:dyDescent="0.2">
      <c r="A120" s="14"/>
      <c r="B120" s="14"/>
      <c r="C120" s="14"/>
      <c r="D120" s="14"/>
      <c r="E120" s="14"/>
      <c r="F120" s="14"/>
      <c r="G120" s="14"/>
      <c r="H120" s="14"/>
      <c r="I120" s="14"/>
      <c r="J120" s="14"/>
      <c r="K120" s="14"/>
      <c r="L120" s="15"/>
      <c r="M120" s="14"/>
      <c r="N120" s="14"/>
      <c r="O120" s="14"/>
      <c r="P120" s="14"/>
      <c r="Q120" s="16"/>
      <c r="R120" s="14"/>
      <c r="Z120" s="16"/>
      <c r="AC120" s="14"/>
      <c r="AD120" s="14"/>
      <c r="AE120" s="14"/>
      <c r="AF120" s="14"/>
      <c r="AG120" s="14"/>
      <c r="AH120" s="14"/>
      <c r="AI120" s="14"/>
      <c r="AJ120" s="14"/>
      <c r="AK120" s="14"/>
      <c r="AL120" s="14"/>
      <c r="AS120" s="14"/>
      <c r="AT120" s="14"/>
      <c r="AU120" s="14"/>
      <c r="AV120" s="14"/>
      <c r="AW120" s="14"/>
      <c r="AX120" s="14"/>
      <c r="AY120" s="14"/>
      <c r="BA120" s="14"/>
      <c r="BE120" s="16"/>
      <c r="BH120" s="14"/>
      <c r="BI120" s="14"/>
      <c r="BJ120" s="14"/>
      <c r="BK120" s="14"/>
      <c r="BL120" s="14"/>
      <c r="BM120" s="14"/>
      <c r="BN120" s="14"/>
      <c r="BO120" s="14"/>
      <c r="BP120" s="14"/>
      <c r="BQ120" s="14"/>
      <c r="BX120" s="14"/>
      <c r="BY120" s="14"/>
      <c r="BZ120" s="14"/>
      <c r="CA120" s="14"/>
      <c r="CB120" s="14"/>
      <c r="CC120" s="14"/>
      <c r="CD120" s="14"/>
      <c r="CF120" s="14"/>
      <c r="CJ120" s="16"/>
      <c r="CM120" s="14"/>
      <c r="CN120" s="14"/>
      <c r="CO120" s="14"/>
      <c r="CP120" s="14"/>
      <c r="CQ120" s="14"/>
      <c r="CR120" s="14"/>
      <c r="CS120" s="14"/>
      <c r="CT120" s="14"/>
      <c r="CU120" s="14"/>
      <c r="CV120" s="14"/>
    </row>
    <row r="121" spans="1:100" x14ac:dyDescent="0.2">
      <c r="A121" s="14"/>
      <c r="B121" s="14"/>
      <c r="C121" s="14"/>
      <c r="D121" s="14"/>
      <c r="E121" s="14"/>
      <c r="F121" s="14"/>
      <c r="G121" s="14"/>
      <c r="H121" s="14"/>
      <c r="I121" s="14"/>
      <c r="J121" s="14"/>
      <c r="K121" s="14"/>
      <c r="L121" s="15"/>
      <c r="M121" s="14"/>
      <c r="N121" s="14"/>
      <c r="O121" s="14"/>
      <c r="P121" s="14"/>
      <c r="Q121" s="16"/>
      <c r="R121" s="14"/>
      <c r="Z121" s="16"/>
      <c r="AC121" s="14"/>
      <c r="AD121" s="14"/>
      <c r="AE121" s="14"/>
      <c r="AF121" s="14"/>
      <c r="AG121" s="14"/>
      <c r="AH121" s="14"/>
      <c r="AI121" s="14"/>
      <c r="AJ121" s="14"/>
      <c r="AK121" s="14"/>
      <c r="AL121" s="14"/>
      <c r="AS121" s="14"/>
      <c r="AT121" s="14"/>
      <c r="AU121" s="14"/>
      <c r="AV121" s="14"/>
      <c r="AW121" s="14"/>
      <c r="AX121" s="14"/>
      <c r="AY121" s="14"/>
      <c r="BA121" s="14"/>
      <c r="BE121" s="16"/>
      <c r="BH121" s="14"/>
      <c r="BI121" s="14"/>
      <c r="BJ121" s="14"/>
      <c r="BK121" s="14"/>
      <c r="BL121" s="14"/>
      <c r="BM121" s="14"/>
      <c r="BN121" s="14"/>
      <c r="BO121" s="14"/>
      <c r="BP121" s="14"/>
      <c r="BQ121" s="14"/>
      <c r="BX121" s="14"/>
      <c r="BY121" s="14"/>
      <c r="BZ121" s="14"/>
      <c r="CA121" s="14"/>
      <c r="CB121" s="14"/>
      <c r="CC121" s="14"/>
      <c r="CD121" s="14"/>
      <c r="CF121" s="14"/>
      <c r="CJ121" s="16"/>
      <c r="CM121" s="14"/>
      <c r="CN121" s="14"/>
      <c r="CO121" s="14"/>
      <c r="CP121" s="14"/>
      <c r="CQ121" s="14"/>
      <c r="CR121" s="14"/>
      <c r="CS121" s="14"/>
      <c r="CT121" s="14"/>
      <c r="CU121" s="14"/>
      <c r="CV121" s="14"/>
    </row>
    <row r="122" spans="1:100" x14ac:dyDescent="0.2">
      <c r="A122" s="14"/>
      <c r="B122" s="14"/>
      <c r="C122" s="14"/>
      <c r="D122" s="14"/>
      <c r="E122" s="14"/>
      <c r="F122" s="14"/>
      <c r="G122" s="14"/>
      <c r="H122" s="14"/>
      <c r="I122" s="14"/>
      <c r="J122" s="14"/>
      <c r="K122" s="14"/>
      <c r="L122" s="15"/>
      <c r="M122" s="14"/>
      <c r="N122" s="14"/>
      <c r="O122" s="14"/>
      <c r="P122" s="14"/>
      <c r="Q122" s="16"/>
      <c r="R122" s="14"/>
      <c r="Z122" s="16"/>
      <c r="AC122" s="14"/>
      <c r="AD122" s="14"/>
      <c r="AE122" s="14"/>
      <c r="AF122" s="14"/>
      <c r="AG122" s="14"/>
      <c r="AH122" s="14"/>
      <c r="AI122" s="14"/>
      <c r="AJ122" s="14"/>
      <c r="AK122" s="14"/>
      <c r="AL122" s="14"/>
      <c r="AS122" s="14"/>
      <c r="AT122" s="14"/>
      <c r="AU122" s="14"/>
      <c r="AV122" s="14"/>
      <c r="AW122" s="14"/>
      <c r="AX122" s="14"/>
      <c r="AY122" s="14"/>
      <c r="BA122" s="14"/>
      <c r="BE122" s="16"/>
      <c r="BH122" s="14"/>
      <c r="BI122" s="14"/>
      <c r="BJ122" s="14"/>
      <c r="BK122" s="14"/>
      <c r="BL122" s="14"/>
      <c r="BM122" s="14"/>
      <c r="BN122" s="14"/>
      <c r="BO122" s="14"/>
      <c r="BP122" s="14"/>
      <c r="BQ122" s="14"/>
      <c r="BX122" s="14"/>
      <c r="BY122" s="14"/>
      <c r="BZ122" s="14"/>
      <c r="CA122" s="14"/>
      <c r="CB122" s="14"/>
      <c r="CC122" s="14"/>
      <c r="CD122" s="14"/>
      <c r="CF122" s="14"/>
      <c r="CJ122" s="16"/>
      <c r="CM122" s="14"/>
      <c r="CN122" s="14"/>
      <c r="CO122" s="14"/>
      <c r="CP122" s="14"/>
      <c r="CQ122" s="14"/>
      <c r="CR122" s="14"/>
      <c r="CS122" s="14"/>
      <c r="CT122" s="14"/>
      <c r="CU122" s="14"/>
      <c r="CV122" s="14"/>
    </row>
    <row r="123" spans="1:100" x14ac:dyDescent="0.2">
      <c r="A123" s="14"/>
      <c r="B123" s="14"/>
      <c r="C123" s="14"/>
      <c r="D123" s="14"/>
      <c r="E123" s="14"/>
      <c r="F123" s="14"/>
      <c r="G123" s="14"/>
      <c r="H123" s="14"/>
      <c r="I123" s="14"/>
      <c r="J123" s="14"/>
      <c r="K123" s="14"/>
      <c r="L123" s="15"/>
      <c r="M123" s="14"/>
      <c r="N123" s="14"/>
      <c r="O123" s="14"/>
      <c r="P123" s="14"/>
      <c r="Q123" s="16"/>
      <c r="R123" s="14"/>
      <c r="Z123" s="16"/>
      <c r="AC123" s="14"/>
      <c r="AD123" s="14"/>
      <c r="AE123" s="14"/>
      <c r="AF123" s="14"/>
      <c r="AG123" s="14"/>
      <c r="AH123" s="14"/>
      <c r="AI123" s="14"/>
      <c r="AJ123" s="14"/>
      <c r="AK123" s="14"/>
      <c r="AL123" s="14"/>
      <c r="AS123" s="14"/>
      <c r="AT123" s="14"/>
      <c r="AU123" s="14"/>
      <c r="AV123" s="14"/>
      <c r="AW123" s="14"/>
      <c r="AX123" s="14"/>
      <c r="AY123" s="14"/>
      <c r="BA123" s="14"/>
      <c r="BE123" s="16"/>
      <c r="BH123" s="14"/>
      <c r="BI123" s="14"/>
      <c r="BJ123" s="14"/>
      <c r="BK123" s="14"/>
      <c r="BL123" s="14"/>
      <c r="BM123" s="14"/>
      <c r="BN123" s="14"/>
      <c r="BO123" s="14"/>
      <c r="BP123" s="14"/>
      <c r="BQ123" s="14"/>
      <c r="BX123" s="14"/>
      <c r="BY123" s="14"/>
      <c r="BZ123" s="14"/>
      <c r="CA123" s="14"/>
      <c r="CB123" s="14"/>
      <c r="CC123" s="14"/>
      <c r="CD123" s="14"/>
      <c r="CF123" s="14"/>
      <c r="CJ123" s="16"/>
      <c r="CM123" s="14"/>
      <c r="CN123" s="14"/>
      <c r="CO123" s="14"/>
      <c r="CP123" s="14"/>
      <c r="CQ123" s="14"/>
      <c r="CR123" s="14"/>
      <c r="CS123" s="14"/>
      <c r="CT123" s="14"/>
      <c r="CU123" s="14"/>
      <c r="CV123" s="14"/>
    </row>
    <row r="124" spans="1:100" x14ac:dyDescent="0.2">
      <c r="A124" s="14"/>
      <c r="B124" s="14"/>
      <c r="C124" s="14"/>
      <c r="D124" s="14"/>
      <c r="E124" s="14"/>
      <c r="F124" s="14"/>
      <c r="G124" s="14"/>
      <c r="H124" s="14"/>
      <c r="I124" s="14"/>
      <c r="J124" s="14"/>
      <c r="K124" s="14"/>
      <c r="L124" s="15"/>
      <c r="M124" s="14"/>
      <c r="N124" s="14"/>
      <c r="O124" s="14"/>
      <c r="P124" s="14"/>
      <c r="Q124" s="16"/>
      <c r="R124" s="14"/>
      <c r="Z124" s="16"/>
      <c r="AC124" s="14"/>
      <c r="AD124" s="14"/>
      <c r="AE124" s="14"/>
      <c r="AF124" s="14"/>
      <c r="AG124" s="14"/>
      <c r="AH124" s="14"/>
      <c r="AI124" s="14"/>
      <c r="AJ124" s="14"/>
      <c r="AK124" s="14"/>
      <c r="AL124" s="14"/>
      <c r="AS124" s="14"/>
      <c r="AT124" s="14"/>
      <c r="AU124" s="14"/>
      <c r="AV124" s="14"/>
      <c r="AW124" s="14"/>
      <c r="AX124" s="14"/>
      <c r="AY124" s="14"/>
      <c r="BA124" s="14"/>
      <c r="BE124" s="16"/>
      <c r="BH124" s="14"/>
      <c r="BI124" s="14"/>
      <c r="BJ124" s="14"/>
      <c r="BK124" s="14"/>
      <c r="BL124" s="14"/>
      <c r="BM124" s="14"/>
      <c r="BN124" s="14"/>
      <c r="BO124" s="14"/>
      <c r="BP124" s="14"/>
      <c r="BQ124" s="14"/>
      <c r="BX124" s="14"/>
      <c r="BY124" s="14"/>
      <c r="BZ124" s="14"/>
      <c r="CA124" s="14"/>
      <c r="CB124" s="14"/>
      <c r="CC124" s="14"/>
      <c r="CD124" s="14"/>
      <c r="CF124" s="14"/>
      <c r="CJ124" s="16"/>
      <c r="CM124" s="14"/>
      <c r="CN124" s="14"/>
      <c r="CO124" s="14"/>
      <c r="CP124" s="14"/>
      <c r="CQ124" s="14"/>
      <c r="CR124" s="14"/>
      <c r="CS124" s="14"/>
      <c r="CT124" s="14"/>
      <c r="CU124" s="14"/>
      <c r="CV124" s="14"/>
    </row>
    <row r="125" spans="1:100" x14ac:dyDescent="0.2">
      <c r="A125" s="14"/>
      <c r="B125" s="14"/>
      <c r="C125" s="14"/>
      <c r="D125" s="14"/>
      <c r="E125" s="14"/>
      <c r="F125" s="14"/>
      <c r="G125" s="14"/>
      <c r="H125" s="14"/>
      <c r="I125" s="14"/>
      <c r="J125" s="14"/>
      <c r="K125" s="14"/>
      <c r="L125" s="15"/>
      <c r="M125" s="14"/>
      <c r="N125" s="14"/>
      <c r="O125" s="14"/>
      <c r="P125" s="14"/>
      <c r="Q125" s="16"/>
      <c r="R125" s="14"/>
      <c r="Z125" s="16"/>
      <c r="AC125" s="14"/>
      <c r="AD125" s="14"/>
      <c r="AE125" s="14"/>
      <c r="AF125" s="14"/>
      <c r="AG125" s="14"/>
      <c r="AH125" s="14"/>
      <c r="AI125" s="14"/>
      <c r="AJ125" s="14"/>
      <c r="AK125" s="14"/>
      <c r="AL125" s="14"/>
      <c r="AS125" s="14"/>
      <c r="AT125" s="14"/>
      <c r="AU125" s="14"/>
      <c r="AV125" s="14"/>
      <c r="AW125" s="14"/>
      <c r="AX125" s="14"/>
      <c r="AY125" s="14"/>
      <c r="BA125" s="14"/>
      <c r="BE125" s="16"/>
      <c r="BH125" s="14"/>
      <c r="BI125" s="14"/>
      <c r="BJ125" s="14"/>
      <c r="BK125" s="14"/>
      <c r="BL125" s="14"/>
      <c r="BM125" s="14"/>
      <c r="BN125" s="14"/>
      <c r="BO125" s="14"/>
      <c r="BP125" s="14"/>
      <c r="BQ125" s="14"/>
      <c r="BX125" s="14"/>
      <c r="BY125" s="14"/>
      <c r="BZ125" s="14"/>
      <c r="CA125" s="14"/>
      <c r="CB125" s="14"/>
      <c r="CC125" s="14"/>
      <c r="CD125" s="14"/>
      <c r="CF125" s="14"/>
      <c r="CJ125" s="16"/>
      <c r="CM125" s="14"/>
      <c r="CN125" s="14"/>
      <c r="CO125" s="14"/>
      <c r="CP125" s="14"/>
      <c r="CQ125" s="14"/>
      <c r="CR125" s="14"/>
      <c r="CS125" s="14"/>
      <c r="CT125" s="14"/>
      <c r="CU125" s="14"/>
      <c r="CV125" s="14"/>
    </row>
    <row r="126" spans="1:100" x14ac:dyDescent="0.2">
      <c r="A126" s="14"/>
      <c r="B126" s="14"/>
      <c r="C126" s="14"/>
      <c r="D126" s="14"/>
      <c r="E126" s="14"/>
      <c r="F126" s="14"/>
      <c r="G126" s="14"/>
      <c r="H126" s="14"/>
      <c r="I126" s="14"/>
      <c r="J126" s="14"/>
      <c r="K126" s="14"/>
      <c r="L126" s="15"/>
      <c r="M126" s="14"/>
      <c r="N126" s="14"/>
      <c r="O126" s="14"/>
      <c r="P126" s="14"/>
      <c r="Q126" s="16"/>
      <c r="R126" s="14"/>
      <c r="Z126" s="16"/>
      <c r="AC126" s="14"/>
      <c r="AD126" s="14"/>
      <c r="AE126" s="14"/>
      <c r="AF126" s="14"/>
      <c r="AG126" s="14"/>
      <c r="AH126" s="14"/>
      <c r="AI126" s="14"/>
      <c r="AJ126" s="14"/>
      <c r="AK126" s="14"/>
      <c r="AL126" s="14"/>
      <c r="AS126" s="14"/>
      <c r="AT126" s="14"/>
      <c r="AU126" s="14"/>
      <c r="AV126" s="14"/>
      <c r="AW126" s="14"/>
      <c r="AX126" s="14"/>
      <c r="AY126" s="14"/>
      <c r="BA126" s="14"/>
      <c r="BE126" s="16"/>
      <c r="BH126" s="14"/>
      <c r="BI126" s="14"/>
      <c r="BJ126" s="14"/>
      <c r="BK126" s="14"/>
      <c r="BL126" s="14"/>
      <c r="BM126" s="14"/>
      <c r="BN126" s="14"/>
      <c r="BO126" s="14"/>
      <c r="BP126" s="14"/>
      <c r="BQ126" s="14"/>
      <c r="BX126" s="14"/>
      <c r="BY126" s="14"/>
      <c r="BZ126" s="14"/>
      <c r="CA126" s="14"/>
      <c r="CB126" s="14"/>
      <c r="CC126" s="14"/>
      <c r="CD126" s="14"/>
      <c r="CF126" s="14"/>
      <c r="CJ126" s="16"/>
      <c r="CM126" s="14"/>
      <c r="CN126" s="14"/>
      <c r="CO126" s="14"/>
      <c r="CP126" s="14"/>
      <c r="CQ126" s="14"/>
      <c r="CR126" s="14"/>
      <c r="CS126" s="14"/>
      <c r="CT126" s="14"/>
      <c r="CU126" s="14"/>
      <c r="CV126" s="14"/>
    </row>
    <row r="127" spans="1:100" x14ac:dyDescent="0.2">
      <c r="A127" s="14"/>
      <c r="B127" s="14"/>
      <c r="C127" s="14"/>
      <c r="D127" s="14"/>
      <c r="E127" s="14"/>
      <c r="F127" s="14"/>
      <c r="G127" s="14"/>
      <c r="H127" s="14"/>
      <c r="I127" s="14"/>
      <c r="J127" s="14"/>
      <c r="K127" s="14"/>
      <c r="L127" s="15"/>
      <c r="M127" s="14"/>
      <c r="N127" s="14"/>
      <c r="O127" s="14"/>
      <c r="P127" s="14"/>
      <c r="Q127" s="16"/>
      <c r="R127" s="14"/>
      <c r="Z127" s="16"/>
      <c r="AC127" s="14"/>
      <c r="AD127" s="14"/>
      <c r="AE127" s="14"/>
      <c r="AF127" s="14"/>
      <c r="AG127" s="14"/>
      <c r="AH127" s="14"/>
      <c r="AI127" s="14"/>
      <c r="AJ127" s="14"/>
      <c r="AK127" s="14"/>
      <c r="AL127" s="14"/>
      <c r="AS127" s="14"/>
      <c r="AT127" s="14"/>
      <c r="AU127" s="14"/>
      <c r="AV127" s="14"/>
      <c r="AW127" s="14"/>
      <c r="AX127" s="14"/>
      <c r="AY127" s="14"/>
      <c r="BA127" s="14"/>
      <c r="BE127" s="16"/>
      <c r="BH127" s="14"/>
      <c r="BI127" s="14"/>
      <c r="BJ127" s="14"/>
      <c r="BK127" s="14"/>
      <c r="BL127" s="14"/>
      <c r="BM127" s="14"/>
      <c r="BN127" s="14"/>
      <c r="BO127" s="14"/>
      <c r="BP127" s="14"/>
      <c r="BQ127" s="14"/>
      <c r="BX127" s="14"/>
      <c r="BY127" s="14"/>
      <c r="BZ127" s="14"/>
      <c r="CA127" s="14"/>
      <c r="CB127" s="14"/>
      <c r="CC127" s="14"/>
      <c r="CD127" s="14"/>
      <c r="CF127" s="14"/>
      <c r="CJ127" s="16"/>
      <c r="CM127" s="14"/>
      <c r="CN127" s="14"/>
      <c r="CO127" s="14"/>
      <c r="CP127" s="14"/>
      <c r="CQ127" s="14"/>
      <c r="CR127" s="14"/>
      <c r="CS127" s="14"/>
      <c r="CT127" s="14"/>
      <c r="CU127" s="14"/>
      <c r="CV127" s="14"/>
    </row>
    <row r="128" spans="1:100" x14ac:dyDescent="0.2">
      <c r="A128" s="14"/>
      <c r="B128" s="14"/>
      <c r="C128" s="14"/>
      <c r="D128" s="14"/>
      <c r="E128" s="14"/>
      <c r="F128" s="14"/>
      <c r="G128" s="14"/>
      <c r="H128" s="14"/>
      <c r="I128" s="14"/>
      <c r="J128" s="14"/>
      <c r="K128" s="14"/>
      <c r="L128" s="15"/>
      <c r="M128" s="14"/>
      <c r="N128" s="14"/>
      <c r="O128" s="14"/>
      <c r="P128" s="14"/>
      <c r="Q128" s="16"/>
      <c r="R128" s="14"/>
      <c r="Z128" s="16"/>
      <c r="AC128" s="14"/>
      <c r="AD128" s="14"/>
      <c r="AE128" s="14"/>
      <c r="AF128" s="14"/>
      <c r="AG128" s="14"/>
      <c r="AH128" s="14"/>
      <c r="AI128" s="14"/>
      <c r="AJ128" s="14"/>
      <c r="AK128" s="14"/>
      <c r="AL128" s="14"/>
      <c r="AS128" s="14"/>
      <c r="AT128" s="14"/>
      <c r="AU128" s="14"/>
      <c r="AV128" s="14"/>
      <c r="AW128" s="14"/>
      <c r="AX128" s="14"/>
      <c r="AY128" s="14"/>
      <c r="BA128" s="14"/>
      <c r="BE128" s="16"/>
      <c r="BH128" s="14"/>
      <c r="BI128" s="14"/>
      <c r="BJ128" s="14"/>
      <c r="BK128" s="14"/>
      <c r="BL128" s="14"/>
      <c r="BM128" s="14"/>
      <c r="BN128" s="14"/>
      <c r="BO128" s="14"/>
      <c r="BP128" s="14"/>
      <c r="BQ128" s="14"/>
      <c r="BX128" s="14"/>
      <c r="BY128" s="14"/>
      <c r="BZ128" s="14"/>
      <c r="CA128" s="14"/>
      <c r="CB128" s="14"/>
      <c r="CC128" s="14"/>
      <c r="CD128" s="14"/>
      <c r="CF128" s="14"/>
      <c r="CJ128" s="16"/>
      <c r="CM128" s="14"/>
      <c r="CN128" s="14"/>
      <c r="CO128" s="14"/>
      <c r="CP128" s="14"/>
      <c r="CQ128" s="14"/>
      <c r="CR128" s="14"/>
      <c r="CS128" s="14"/>
      <c r="CT128" s="14"/>
      <c r="CU128" s="14"/>
      <c r="CV128" s="14"/>
    </row>
    <row r="129" spans="1:100" x14ac:dyDescent="0.2">
      <c r="A129" s="14"/>
      <c r="B129" s="14"/>
      <c r="C129" s="14"/>
      <c r="D129" s="14"/>
      <c r="E129" s="14"/>
      <c r="F129" s="14"/>
      <c r="G129" s="14"/>
      <c r="H129" s="14"/>
      <c r="I129" s="14"/>
      <c r="J129" s="14"/>
      <c r="K129" s="14"/>
      <c r="L129" s="15"/>
      <c r="M129" s="14"/>
      <c r="N129" s="14"/>
      <c r="O129" s="14"/>
      <c r="P129" s="14"/>
      <c r="Q129" s="16"/>
      <c r="R129" s="14"/>
      <c r="Z129" s="16"/>
      <c r="AC129" s="14"/>
      <c r="AD129" s="14"/>
      <c r="AE129" s="14"/>
      <c r="AF129" s="14"/>
      <c r="AG129" s="14"/>
      <c r="AH129" s="14"/>
      <c r="AI129" s="14"/>
      <c r="AJ129" s="14"/>
      <c r="AK129" s="14"/>
      <c r="AL129" s="14"/>
      <c r="AS129" s="14"/>
      <c r="AT129" s="14"/>
      <c r="AU129" s="14"/>
      <c r="AV129" s="14"/>
      <c r="AW129" s="14"/>
      <c r="AX129" s="14"/>
      <c r="AY129" s="14"/>
      <c r="BA129" s="14"/>
      <c r="BE129" s="16"/>
      <c r="BH129" s="14"/>
      <c r="BI129" s="14"/>
      <c r="BJ129" s="14"/>
      <c r="BK129" s="14"/>
      <c r="BL129" s="14"/>
      <c r="BM129" s="14"/>
      <c r="BN129" s="14"/>
      <c r="BO129" s="14"/>
      <c r="BP129" s="14"/>
      <c r="BQ129" s="14"/>
      <c r="BX129" s="14"/>
      <c r="BY129" s="14"/>
      <c r="BZ129" s="14"/>
      <c r="CA129" s="14"/>
      <c r="CB129" s="14"/>
      <c r="CC129" s="14"/>
      <c r="CD129" s="14"/>
      <c r="CF129" s="14"/>
      <c r="CJ129" s="16"/>
      <c r="CM129" s="14"/>
      <c r="CN129" s="14"/>
      <c r="CO129" s="14"/>
      <c r="CP129" s="14"/>
      <c r="CQ129" s="14"/>
      <c r="CR129" s="14"/>
      <c r="CS129" s="14"/>
      <c r="CT129" s="14"/>
      <c r="CU129" s="14"/>
      <c r="CV129" s="14"/>
    </row>
    <row r="130" spans="1:100" x14ac:dyDescent="0.2">
      <c r="A130" s="14"/>
      <c r="B130" s="14"/>
      <c r="C130" s="14"/>
      <c r="D130" s="14"/>
      <c r="E130" s="14"/>
      <c r="F130" s="14"/>
      <c r="G130" s="14"/>
      <c r="H130" s="14"/>
      <c r="I130" s="14"/>
      <c r="J130" s="14"/>
      <c r="K130" s="14"/>
      <c r="L130" s="15"/>
      <c r="M130" s="14"/>
      <c r="N130" s="14"/>
      <c r="O130" s="14"/>
      <c r="P130" s="14"/>
      <c r="Q130" s="16"/>
      <c r="R130" s="14"/>
      <c r="Z130" s="16"/>
      <c r="AC130" s="14"/>
      <c r="AD130" s="14"/>
      <c r="AE130" s="14"/>
      <c r="AF130" s="14"/>
      <c r="AG130" s="14"/>
      <c r="AH130" s="14"/>
      <c r="AI130" s="14"/>
      <c r="AJ130" s="14"/>
      <c r="AK130" s="14"/>
      <c r="AL130" s="14"/>
      <c r="AS130" s="14"/>
      <c r="AT130" s="14"/>
      <c r="AU130" s="14"/>
      <c r="AV130" s="14"/>
      <c r="AW130" s="14"/>
      <c r="AX130" s="14"/>
      <c r="AY130" s="14"/>
      <c r="BA130" s="14"/>
      <c r="BE130" s="16"/>
      <c r="BH130" s="14"/>
      <c r="BI130" s="14"/>
      <c r="BJ130" s="14"/>
      <c r="BK130" s="14"/>
      <c r="BL130" s="14"/>
      <c r="BM130" s="14"/>
      <c r="BN130" s="14"/>
      <c r="BO130" s="14"/>
      <c r="BP130" s="14"/>
      <c r="BQ130" s="14"/>
      <c r="BX130" s="14"/>
      <c r="BY130" s="14"/>
      <c r="BZ130" s="14"/>
      <c r="CA130" s="14"/>
      <c r="CB130" s="14"/>
      <c r="CC130" s="14"/>
      <c r="CD130" s="14"/>
      <c r="CF130" s="14"/>
      <c r="CJ130" s="16"/>
      <c r="CM130" s="14"/>
      <c r="CN130" s="14"/>
      <c r="CO130" s="14"/>
      <c r="CP130" s="14"/>
      <c r="CQ130" s="14"/>
      <c r="CR130" s="14"/>
      <c r="CS130" s="14"/>
      <c r="CT130" s="14"/>
      <c r="CU130" s="14"/>
      <c r="CV130" s="14"/>
    </row>
    <row r="131" spans="1:100" x14ac:dyDescent="0.2">
      <c r="A131" s="14"/>
      <c r="B131" s="14"/>
      <c r="C131" s="14"/>
      <c r="D131" s="14"/>
      <c r="E131" s="14"/>
      <c r="F131" s="14"/>
      <c r="G131" s="14"/>
      <c r="H131" s="14"/>
      <c r="I131" s="14"/>
      <c r="J131" s="14"/>
      <c r="K131" s="14"/>
      <c r="L131" s="15"/>
      <c r="M131" s="14"/>
      <c r="N131" s="14"/>
      <c r="O131" s="14"/>
      <c r="P131" s="14"/>
      <c r="Q131" s="16"/>
      <c r="R131" s="14"/>
      <c r="Z131" s="16"/>
      <c r="AC131" s="14"/>
      <c r="AD131" s="14"/>
      <c r="AE131" s="14"/>
      <c r="AF131" s="14"/>
      <c r="AG131" s="14"/>
      <c r="AH131" s="14"/>
      <c r="AI131" s="14"/>
      <c r="AJ131" s="14"/>
      <c r="AK131" s="14"/>
      <c r="AL131" s="14"/>
      <c r="AS131" s="14"/>
      <c r="AT131" s="14"/>
      <c r="AU131" s="14"/>
      <c r="AV131" s="14"/>
      <c r="AW131" s="14"/>
      <c r="AX131" s="14"/>
      <c r="AY131" s="14"/>
      <c r="BA131" s="14"/>
      <c r="BE131" s="16"/>
      <c r="BH131" s="14"/>
      <c r="BI131" s="14"/>
      <c r="BJ131" s="14"/>
      <c r="BK131" s="14"/>
      <c r="BL131" s="14"/>
      <c r="BM131" s="14"/>
      <c r="BN131" s="14"/>
      <c r="BO131" s="14"/>
      <c r="BP131" s="14"/>
      <c r="BQ131" s="14"/>
      <c r="BX131" s="14"/>
      <c r="BY131" s="14"/>
      <c r="BZ131" s="14"/>
      <c r="CA131" s="14"/>
      <c r="CB131" s="14"/>
      <c r="CC131" s="14"/>
      <c r="CD131" s="14"/>
      <c r="CF131" s="14"/>
      <c r="CJ131" s="16"/>
      <c r="CM131" s="14"/>
      <c r="CN131" s="14"/>
      <c r="CO131" s="14"/>
      <c r="CP131" s="14"/>
      <c r="CQ131" s="14"/>
      <c r="CR131" s="14"/>
      <c r="CS131" s="14"/>
      <c r="CT131" s="14"/>
      <c r="CU131" s="14"/>
      <c r="CV131" s="14"/>
    </row>
    <row r="132" spans="1:100" x14ac:dyDescent="0.2">
      <c r="A132" s="14"/>
      <c r="B132" s="14"/>
      <c r="C132" s="14"/>
      <c r="D132" s="14"/>
      <c r="E132" s="14"/>
      <c r="F132" s="14"/>
      <c r="G132" s="14"/>
      <c r="H132" s="14"/>
      <c r="I132" s="14"/>
      <c r="J132" s="14"/>
      <c r="K132" s="14"/>
      <c r="L132" s="15"/>
      <c r="M132" s="14"/>
      <c r="N132" s="14"/>
      <c r="O132" s="14"/>
      <c r="P132" s="14"/>
      <c r="Q132" s="16"/>
      <c r="R132" s="14"/>
      <c r="Z132" s="16"/>
      <c r="AC132" s="14"/>
      <c r="AD132" s="14"/>
      <c r="AE132" s="14"/>
      <c r="AF132" s="14"/>
      <c r="AG132" s="14"/>
      <c r="AH132" s="14"/>
      <c r="AI132" s="14"/>
      <c r="AJ132" s="14"/>
      <c r="AK132" s="14"/>
      <c r="AL132" s="14"/>
      <c r="AS132" s="14"/>
      <c r="AT132" s="14"/>
      <c r="AU132" s="14"/>
      <c r="AV132" s="14"/>
      <c r="AW132" s="14"/>
      <c r="AX132" s="14"/>
      <c r="AY132" s="14"/>
      <c r="BA132" s="14"/>
      <c r="BE132" s="16"/>
      <c r="BH132" s="14"/>
      <c r="BI132" s="14"/>
      <c r="BJ132" s="14"/>
      <c r="BK132" s="14"/>
      <c r="BL132" s="14"/>
      <c r="BM132" s="14"/>
      <c r="BN132" s="14"/>
      <c r="BO132" s="14"/>
      <c r="BP132" s="14"/>
      <c r="BQ132" s="14"/>
      <c r="BX132" s="14"/>
      <c r="BY132" s="14"/>
      <c r="BZ132" s="14"/>
      <c r="CA132" s="14"/>
      <c r="CB132" s="14"/>
      <c r="CC132" s="14"/>
      <c r="CD132" s="14"/>
      <c r="CF132" s="14"/>
      <c r="CJ132" s="16"/>
      <c r="CM132" s="14"/>
      <c r="CN132" s="14"/>
      <c r="CO132" s="14"/>
      <c r="CP132" s="14"/>
      <c r="CQ132" s="14"/>
      <c r="CR132" s="14"/>
      <c r="CS132" s="14"/>
      <c r="CT132" s="14"/>
      <c r="CU132" s="14"/>
      <c r="CV132" s="14"/>
    </row>
    <row r="133" spans="1:100" x14ac:dyDescent="0.2">
      <c r="A133" s="14"/>
      <c r="B133" s="14"/>
      <c r="C133" s="14"/>
      <c r="D133" s="14"/>
      <c r="E133" s="14"/>
      <c r="F133" s="14"/>
      <c r="G133" s="14"/>
      <c r="H133" s="14"/>
      <c r="I133" s="14"/>
      <c r="J133" s="14"/>
      <c r="K133" s="14"/>
      <c r="L133" s="15"/>
      <c r="M133" s="14"/>
      <c r="N133" s="14"/>
      <c r="O133" s="14"/>
      <c r="P133" s="14"/>
      <c r="Q133" s="16"/>
      <c r="R133" s="14"/>
      <c r="Z133" s="16"/>
      <c r="AC133" s="14"/>
      <c r="AD133" s="14"/>
      <c r="AE133" s="14"/>
      <c r="AF133" s="14"/>
      <c r="AG133" s="14"/>
      <c r="AH133" s="14"/>
      <c r="AI133" s="14"/>
      <c r="AJ133" s="14"/>
      <c r="AK133" s="14"/>
      <c r="AL133" s="14"/>
      <c r="AS133" s="14"/>
      <c r="AT133" s="14"/>
      <c r="AU133" s="14"/>
      <c r="AV133" s="14"/>
      <c r="AW133" s="14"/>
      <c r="AX133" s="14"/>
      <c r="AY133" s="14"/>
      <c r="BA133" s="14"/>
      <c r="BE133" s="16"/>
      <c r="BH133" s="14"/>
      <c r="BI133" s="14"/>
      <c r="BJ133" s="14"/>
      <c r="BK133" s="14"/>
      <c r="BL133" s="14"/>
      <c r="BM133" s="14"/>
      <c r="BN133" s="14"/>
      <c r="BO133" s="14"/>
      <c r="BP133" s="14"/>
      <c r="BQ133" s="14"/>
      <c r="BX133" s="14"/>
      <c r="BY133" s="14"/>
      <c r="BZ133" s="14"/>
      <c r="CA133" s="14"/>
      <c r="CB133" s="14"/>
      <c r="CC133" s="14"/>
      <c r="CD133" s="14"/>
      <c r="CF133" s="14"/>
      <c r="CJ133" s="16"/>
      <c r="CM133" s="14"/>
      <c r="CN133" s="14"/>
      <c r="CO133" s="14"/>
      <c r="CP133" s="14"/>
      <c r="CQ133" s="14"/>
      <c r="CR133" s="14"/>
      <c r="CS133" s="14"/>
      <c r="CT133" s="14"/>
      <c r="CU133" s="14"/>
      <c r="CV133" s="14"/>
    </row>
    <row r="134" spans="1:100" x14ac:dyDescent="0.2">
      <c r="A134" s="14"/>
      <c r="B134" s="14"/>
      <c r="C134" s="14"/>
      <c r="D134" s="14"/>
      <c r="E134" s="14"/>
      <c r="F134" s="14"/>
      <c r="G134" s="14"/>
      <c r="H134" s="14"/>
      <c r="I134" s="14"/>
      <c r="J134" s="14"/>
      <c r="K134" s="14"/>
      <c r="L134" s="15"/>
      <c r="M134" s="14"/>
      <c r="N134" s="14"/>
      <c r="O134" s="14"/>
      <c r="P134" s="14"/>
      <c r="Q134" s="16"/>
      <c r="R134" s="14"/>
      <c r="Z134" s="16"/>
      <c r="AC134" s="14"/>
      <c r="AD134" s="14"/>
      <c r="AE134" s="14"/>
      <c r="AF134" s="14"/>
      <c r="AG134" s="14"/>
      <c r="AH134" s="14"/>
      <c r="AI134" s="14"/>
      <c r="AJ134" s="14"/>
      <c r="AK134" s="14"/>
      <c r="AL134" s="14"/>
      <c r="AS134" s="14"/>
      <c r="AT134" s="14"/>
      <c r="AU134" s="14"/>
      <c r="AV134" s="14"/>
      <c r="AW134" s="14"/>
      <c r="AX134" s="14"/>
      <c r="AY134" s="14"/>
      <c r="BA134" s="14"/>
      <c r="BE134" s="16"/>
      <c r="BH134" s="14"/>
      <c r="BI134" s="14"/>
      <c r="BJ134" s="14"/>
      <c r="BK134" s="14"/>
      <c r="BL134" s="14"/>
      <c r="BM134" s="14"/>
      <c r="BN134" s="14"/>
      <c r="BO134" s="14"/>
      <c r="BP134" s="14"/>
      <c r="BQ134" s="14"/>
      <c r="BX134" s="14"/>
      <c r="BY134" s="14"/>
      <c r="BZ134" s="14"/>
      <c r="CA134" s="14"/>
      <c r="CB134" s="14"/>
      <c r="CC134" s="14"/>
      <c r="CD134" s="14"/>
      <c r="CF134" s="14"/>
      <c r="CJ134" s="16"/>
      <c r="CM134" s="14"/>
      <c r="CN134" s="14"/>
      <c r="CO134" s="14"/>
      <c r="CP134" s="14"/>
      <c r="CQ134" s="14"/>
      <c r="CR134" s="14"/>
      <c r="CS134" s="14"/>
      <c r="CT134" s="14"/>
      <c r="CU134" s="14"/>
      <c r="CV134" s="14"/>
    </row>
    <row r="135" spans="1:100" x14ac:dyDescent="0.2">
      <c r="A135" s="14"/>
      <c r="B135" s="14"/>
      <c r="C135" s="14"/>
      <c r="D135" s="14"/>
      <c r="E135" s="14"/>
      <c r="F135" s="14"/>
      <c r="G135" s="14"/>
      <c r="H135" s="14"/>
      <c r="I135" s="14"/>
      <c r="J135" s="14"/>
      <c r="K135" s="14"/>
      <c r="L135" s="15"/>
      <c r="M135" s="14"/>
      <c r="N135" s="14"/>
      <c r="O135" s="14"/>
      <c r="P135" s="14"/>
      <c r="Q135" s="16"/>
      <c r="R135" s="14"/>
      <c r="Z135" s="16"/>
      <c r="AC135" s="14"/>
      <c r="AD135" s="14"/>
      <c r="AE135" s="14"/>
      <c r="AF135" s="14"/>
      <c r="AG135" s="14"/>
      <c r="AH135" s="14"/>
      <c r="AI135" s="14"/>
      <c r="AJ135" s="14"/>
      <c r="AK135" s="14"/>
      <c r="AL135" s="14"/>
      <c r="AS135" s="14"/>
      <c r="AT135" s="14"/>
      <c r="AU135" s="14"/>
      <c r="AV135" s="14"/>
      <c r="AW135" s="14"/>
      <c r="AX135" s="14"/>
      <c r="AY135" s="14"/>
      <c r="BA135" s="14"/>
      <c r="BE135" s="16"/>
      <c r="BH135" s="14"/>
      <c r="BI135" s="14"/>
      <c r="BJ135" s="14"/>
      <c r="BK135" s="14"/>
      <c r="BL135" s="14"/>
      <c r="BM135" s="14"/>
      <c r="BN135" s="14"/>
      <c r="BO135" s="14"/>
      <c r="BP135" s="14"/>
      <c r="BQ135" s="14"/>
      <c r="BX135" s="14"/>
      <c r="BY135" s="14"/>
      <c r="BZ135" s="14"/>
      <c r="CA135" s="14"/>
      <c r="CB135" s="14"/>
      <c r="CC135" s="14"/>
      <c r="CD135" s="14"/>
      <c r="CF135" s="14"/>
      <c r="CJ135" s="16"/>
      <c r="CM135" s="14"/>
      <c r="CN135" s="14"/>
      <c r="CO135" s="14"/>
      <c r="CP135" s="14"/>
      <c r="CQ135" s="14"/>
      <c r="CR135" s="14"/>
      <c r="CS135" s="14"/>
      <c r="CT135" s="14"/>
      <c r="CU135" s="14"/>
      <c r="CV135" s="14"/>
    </row>
    <row r="136" spans="1:100" x14ac:dyDescent="0.2">
      <c r="A136" s="14"/>
      <c r="B136" s="14"/>
      <c r="C136" s="14"/>
      <c r="D136" s="14"/>
      <c r="E136" s="14"/>
      <c r="F136" s="14"/>
      <c r="G136" s="14"/>
      <c r="H136" s="14"/>
      <c r="I136" s="14"/>
      <c r="J136" s="14"/>
      <c r="K136" s="14"/>
      <c r="L136" s="15"/>
      <c r="M136" s="14"/>
      <c r="N136" s="14"/>
      <c r="O136" s="14"/>
      <c r="P136" s="14"/>
      <c r="Q136" s="16"/>
      <c r="R136" s="14"/>
      <c r="Z136" s="16"/>
      <c r="AC136" s="14"/>
      <c r="AD136" s="14"/>
      <c r="AE136" s="14"/>
      <c r="AF136" s="14"/>
      <c r="AG136" s="14"/>
      <c r="AH136" s="14"/>
      <c r="AI136" s="14"/>
      <c r="AJ136" s="14"/>
      <c r="AK136" s="14"/>
      <c r="AL136" s="14"/>
      <c r="AS136" s="14"/>
      <c r="AT136" s="14"/>
      <c r="AU136" s="14"/>
      <c r="AV136" s="14"/>
      <c r="AW136" s="14"/>
      <c r="AX136" s="14"/>
      <c r="AY136" s="14"/>
      <c r="BA136" s="14"/>
      <c r="BE136" s="16"/>
      <c r="BH136" s="14"/>
      <c r="BI136" s="14"/>
      <c r="BJ136" s="14"/>
      <c r="BK136" s="14"/>
      <c r="BL136" s="14"/>
      <c r="BM136" s="14"/>
      <c r="BN136" s="14"/>
      <c r="BO136" s="14"/>
      <c r="BP136" s="14"/>
      <c r="BQ136" s="14"/>
      <c r="BX136" s="14"/>
      <c r="BY136" s="14"/>
      <c r="BZ136" s="14"/>
      <c r="CA136" s="14"/>
      <c r="CB136" s="14"/>
      <c r="CC136" s="14"/>
      <c r="CD136" s="14"/>
      <c r="CF136" s="14"/>
      <c r="CJ136" s="16"/>
      <c r="CM136" s="14"/>
      <c r="CN136" s="14"/>
      <c r="CO136" s="14"/>
      <c r="CP136" s="14"/>
      <c r="CQ136" s="14"/>
      <c r="CR136" s="14"/>
      <c r="CS136" s="14"/>
      <c r="CT136" s="14"/>
      <c r="CU136" s="14"/>
      <c r="CV136" s="14"/>
    </row>
    <row r="137" spans="1:100" x14ac:dyDescent="0.2">
      <c r="A137" s="14"/>
      <c r="B137" s="14"/>
      <c r="C137" s="14"/>
      <c r="D137" s="14"/>
      <c r="E137" s="14"/>
      <c r="F137" s="14"/>
      <c r="G137" s="14"/>
      <c r="H137" s="14"/>
      <c r="I137" s="14"/>
      <c r="J137" s="14"/>
      <c r="K137" s="14"/>
      <c r="L137" s="15"/>
      <c r="M137" s="14"/>
      <c r="N137" s="14"/>
      <c r="O137" s="14"/>
      <c r="P137" s="14"/>
      <c r="Q137" s="16"/>
      <c r="R137" s="14"/>
      <c r="Z137" s="16"/>
      <c r="AC137" s="14"/>
      <c r="AD137" s="14"/>
      <c r="AE137" s="14"/>
      <c r="AF137" s="14"/>
      <c r="AG137" s="14"/>
      <c r="AH137" s="14"/>
      <c r="AI137" s="14"/>
      <c r="AJ137" s="14"/>
      <c r="AK137" s="14"/>
      <c r="AL137" s="14"/>
      <c r="AS137" s="14"/>
      <c r="AT137" s="14"/>
      <c r="AU137" s="14"/>
      <c r="AV137" s="14"/>
      <c r="AW137" s="14"/>
      <c r="AX137" s="14"/>
      <c r="AY137" s="14"/>
      <c r="BA137" s="14"/>
      <c r="BE137" s="16"/>
      <c r="BH137" s="14"/>
      <c r="BI137" s="14"/>
      <c r="BJ137" s="14"/>
      <c r="BK137" s="14"/>
      <c r="BL137" s="14"/>
      <c r="BM137" s="14"/>
      <c r="BN137" s="14"/>
      <c r="BO137" s="14"/>
      <c r="BP137" s="14"/>
      <c r="BQ137" s="14"/>
      <c r="BX137" s="14"/>
      <c r="BY137" s="14"/>
      <c r="BZ137" s="14"/>
      <c r="CA137" s="14"/>
      <c r="CB137" s="14"/>
      <c r="CC137" s="14"/>
      <c r="CD137" s="14"/>
      <c r="CF137" s="14"/>
      <c r="CJ137" s="16"/>
      <c r="CM137" s="14"/>
      <c r="CN137" s="14"/>
      <c r="CO137" s="14"/>
      <c r="CP137" s="14"/>
      <c r="CQ137" s="14"/>
      <c r="CR137" s="14"/>
      <c r="CS137" s="14"/>
      <c r="CT137" s="14"/>
      <c r="CU137" s="14"/>
      <c r="CV137" s="14"/>
    </row>
    <row r="138" spans="1:100" x14ac:dyDescent="0.2">
      <c r="A138" s="14"/>
      <c r="B138" s="14"/>
      <c r="C138" s="14"/>
      <c r="D138" s="14"/>
      <c r="E138" s="14"/>
      <c r="F138" s="14"/>
      <c r="G138" s="14"/>
      <c r="H138" s="14"/>
      <c r="I138" s="14"/>
      <c r="J138" s="14"/>
      <c r="K138" s="14"/>
      <c r="L138" s="15"/>
      <c r="M138" s="14"/>
      <c r="N138" s="14"/>
      <c r="O138" s="14"/>
      <c r="P138" s="14"/>
      <c r="Q138" s="16"/>
      <c r="R138" s="14"/>
      <c r="Z138" s="16"/>
      <c r="AC138" s="14"/>
      <c r="AD138" s="14"/>
      <c r="AE138" s="14"/>
      <c r="AF138" s="14"/>
      <c r="AG138" s="14"/>
      <c r="AH138" s="14"/>
      <c r="AI138" s="14"/>
      <c r="AJ138" s="14"/>
      <c r="AK138" s="14"/>
      <c r="AL138" s="14"/>
      <c r="AS138" s="14"/>
      <c r="AT138" s="14"/>
      <c r="AU138" s="14"/>
      <c r="AV138" s="14"/>
      <c r="AW138" s="14"/>
      <c r="AX138" s="14"/>
      <c r="AY138" s="14"/>
      <c r="BA138" s="14"/>
      <c r="BE138" s="16"/>
      <c r="BH138" s="14"/>
      <c r="BI138" s="14"/>
      <c r="BJ138" s="14"/>
      <c r="BK138" s="14"/>
      <c r="BL138" s="14"/>
      <c r="BM138" s="14"/>
      <c r="BN138" s="14"/>
      <c r="BO138" s="14"/>
      <c r="BP138" s="14"/>
      <c r="BQ138" s="14"/>
      <c r="BX138" s="14"/>
      <c r="BY138" s="14"/>
      <c r="BZ138" s="14"/>
      <c r="CA138" s="14"/>
      <c r="CB138" s="14"/>
      <c r="CC138" s="14"/>
      <c r="CD138" s="14"/>
      <c r="CF138" s="14"/>
      <c r="CJ138" s="16"/>
      <c r="CM138" s="14"/>
      <c r="CN138" s="14"/>
      <c r="CO138" s="14"/>
      <c r="CP138" s="14"/>
      <c r="CQ138" s="14"/>
      <c r="CR138" s="14"/>
      <c r="CS138" s="14"/>
      <c r="CT138" s="14"/>
      <c r="CU138" s="14"/>
      <c r="CV138" s="14"/>
    </row>
    <row r="139" spans="1:100" x14ac:dyDescent="0.2">
      <c r="A139" s="14"/>
      <c r="B139" s="14"/>
      <c r="C139" s="14"/>
      <c r="D139" s="14"/>
      <c r="E139" s="14"/>
      <c r="F139" s="14"/>
      <c r="G139" s="14"/>
      <c r="H139" s="14"/>
      <c r="I139" s="14"/>
      <c r="J139" s="14"/>
      <c r="K139" s="14"/>
      <c r="L139" s="15"/>
      <c r="M139" s="14"/>
      <c r="N139" s="14"/>
      <c r="O139" s="14"/>
      <c r="P139" s="14"/>
      <c r="Q139" s="16"/>
      <c r="R139" s="14"/>
      <c r="Z139" s="16"/>
      <c r="AC139" s="14"/>
      <c r="AD139" s="14"/>
      <c r="AE139" s="14"/>
      <c r="AF139" s="14"/>
      <c r="AG139" s="14"/>
      <c r="AH139" s="14"/>
      <c r="AI139" s="14"/>
      <c r="AJ139" s="14"/>
      <c r="AK139" s="14"/>
      <c r="AL139" s="14"/>
      <c r="AS139" s="14"/>
      <c r="AT139" s="14"/>
      <c r="AU139" s="14"/>
      <c r="AV139" s="14"/>
      <c r="AW139" s="14"/>
      <c r="AX139" s="14"/>
      <c r="AY139" s="14"/>
      <c r="BA139" s="14"/>
      <c r="BE139" s="16"/>
      <c r="BH139" s="14"/>
      <c r="BI139" s="14"/>
      <c r="BJ139" s="14"/>
      <c r="BK139" s="14"/>
      <c r="BL139" s="14"/>
      <c r="BM139" s="14"/>
      <c r="BN139" s="14"/>
      <c r="BO139" s="14"/>
      <c r="BP139" s="14"/>
      <c r="BQ139" s="14"/>
      <c r="BX139" s="14"/>
      <c r="BY139" s="14"/>
      <c r="BZ139" s="14"/>
      <c r="CA139" s="14"/>
      <c r="CB139" s="14"/>
      <c r="CC139" s="14"/>
      <c r="CD139" s="14"/>
      <c r="CF139" s="14"/>
      <c r="CJ139" s="16"/>
      <c r="CM139" s="14"/>
      <c r="CN139" s="14"/>
      <c r="CO139" s="14"/>
      <c r="CP139" s="14"/>
      <c r="CQ139" s="14"/>
      <c r="CR139" s="14"/>
      <c r="CS139" s="14"/>
      <c r="CT139" s="14"/>
      <c r="CU139" s="14"/>
      <c r="CV139" s="14"/>
    </row>
    <row r="140" spans="1:100" x14ac:dyDescent="0.2">
      <c r="A140" s="14"/>
      <c r="B140" s="14"/>
      <c r="C140" s="14"/>
      <c r="D140" s="14"/>
      <c r="E140" s="14"/>
      <c r="F140" s="14"/>
      <c r="G140" s="14"/>
      <c r="H140" s="14"/>
      <c r="I140" s="14"/>
      <c r="J140" s="14"/>
      <c r="K140" s="14"/>
      <c r="L140" s="15"/>
      <c r="M140" s="14"/>
      <c r="N140" s="14"/>
      <c r="O140" s="14"/>
      <c r="P140" s="14"/>
      <c r="Q140" s="16"/>
      <c r="R140" s="14"/>
      <c r="Z140" s="16"/>
      <c r="AC140" s="14"/>
      <c r="AD140" s="14"/>
      <c r="AE140" s="14"/>
      <c r="AF140" s="14"/>
      <c r="AG140" s="14"/>
      <c r="AH140" s="14"/>
      <c r="AI140" s="14"/>
      <c r="AJ140" s="14"/>
      <c r="AK140" s="14"/>
      <c r="AL140" s="14"/>
      <c r="AS140" s="14"/>
      <c r="AT140" s="14"/>
      <c r="AU140" s="14"/>
      <c r="AV140" s="14"/>
      <c r="AW140" s="14"/>
      <c r="AX140" s="14"/>
      <c r="AY140" s="14"/>
      <c r="BA140" s="14"/>
      <c r="BE140" s="16"/>
      <c r="BH140" s="14"/>
      <c r="BI140" s="14"/>
      <c r="BJ140" s="14"/>
      <c r="BK140" s="14"/>
      <c r="BL140" s="14"/>
      <c r="BM140" s="14"/>
      <c r="BN140" s="14"/>
      <c r="BO140" s="14"/>
      <c r="BP140" s="14"/>
      <c r="BQ140" s="14"/>
      <c r="BX140" s="14"/>
      <c r="BY140" s="14"/>
      <c r="BZ140" s="14"/>
      <c r="CA140" s="14"/>
      <c r="CB140" s="14"/>
      <c r="CC140" s="14"/>
      <c r="CD140" s="14"/>
      <c r="CF140" s="14"/>
      <c r="CJ140" s="16"/>
      <c r="CM140" s="14"/>
      <c r="CN140" s="14"/>
      <c r="CO140" s="14"/>
      <c r="CP140" s="14"/>
      <c r="CQ140" s="14"/>
      <c r="CR140" s="14"/>
      <c r="CS140" s="14"/>
      <c r="CT140" s="14"/>
      <c r="CU140" s="14"/>
      <c r="CV140" s="14"/>
    </row>
    <row r="141" spans="1:100" x14ac:dyDescent="0.2">
      <c r="A141" s="14"/>
      <c r="B141" s="14"/>
      <c r="C141" s="14"/>
      <c r="D141" s="14"/>
      <c r="E141" s="14"/>
      <c r="F141" s="14"/>
      <c r="G141" s="14"/>
      <c r="H141" s="14"/>
      <c r="I141" s="14"/>
      <c r="J141" s="14"/>
      <c r="K141" s="14"/>
      <c r="L141" s="15"/>
      <c r="M141" s="14"/>
      <c r="N141" s="14"/>
      <c r="O141" s="14"/>
      <c r="P141" s="14"/>
      <c r="Q141" s="16"/>
      <c r="R141" s="14"/>
      <c r="Z141" s="16"/>
      <c r="AC141" s="14"/>
      <c r="AD141" s="14"/>
      <c r="AE141" s="14"/>
      <c r="AF141" s="14"/>
      <c r="AG141" s="14"/>
      <c r="AH141" s="14"/>
      <c r="AI141" s="14"/>
      <c r="AJ141" s="14"/>
      <c r="AK141" s="14"/>
      <c r="AL141" s="14"/>
      <c r="AS141" s="14"/>
      <c r="AT141" s="14"/>
      <c r="AU141" s="14"/>
      <c r="AV141" s="14"/>
      <c r="AW141" s="14"/>
      <c r="AX141" s="14"/>
      <c r="AY141" s="14"/>
      <c r="BA141" s="14"/>
      <c r="BE141" s="16"/>
      <c r="BH141" s="14"/>
      <c r="BI141" s="14"/>
      <c r="BJ141" s="14"/>
      <c r="BK141" s="14"/>
      <c r="BL141" s="14"/>
      <c r="BM141" s="14"/>
      <c r="BN141" s="14"/>
      <c r="BO141" s="14"/>
      <c r="BP141" s="14"/>
      <c r="BQ141" s="14"/>
      <c r="BX141" s="14"/>
      <c r="BY141" s="14"/>
      <c r="BZ141" s="14"/>
      <c r="CA141" s="14"/>
      <c r="CB141" s="14"/>
      <c r="CC141" s="14"/>
      <c r="CD141" s="14"/>
      <c r="CF141" s="14"/>
      <c r="CJ141" s="16"/>
      <c r="CM141" s="14"/>
      <c r="CN141" s="14"/>
      <c r="CO141" s="14"/>
      <c r="CP141" s="14"/>
      <c r="CQ141" s="14"/>
      <c r="CR141" s="14"/>
      <c r="CS141" s="14"/>
      <c r="CT141" s="14"/>
      <c r="CU141" s="14"/>
      <c r="CV141" s="14"/>
    </row>
    <row r="142" spans="1:100" x14ac:dyDescent="0.2">
      <c r="A142" s="14"/>
      <c r="B142" s="14"/>
      <c r="C142" s="14"/>
      <c r="D142" s="14"/>
      <c r="E142" s="14"/>
      <c r="F142" s="14"/>
      <c r="G142" s="14"/>
      <c r="H142" s="14"/>
      <c r="I142" s="14"/>
      <c r="J142" s="14"/>
      <c r="K142" s="14"/>
      <c r="L142" s="15"/>
      <c r="M142" s="14"/>
      <c r="N142" s="14"/>
      <c r="O142" s="14"/>
      <c r="P142" s="14"/>
      <c r="Q142" s="16"/>
      <c r="R142" s="14"/>
      <c r="Z142" s="16"/>
      <c r="AC142" s="14"/>
      <c r="AD142" s="14"/>
      <c r="AE142" s="14"/>
      <c r="AF142" s="14"/>
      <c r="AG142" s="14"/>
      <c r="AH142" s="14"/>
      <c r="AI142" s="14"/>
      <c r="AJ142" s="14"/>
      <c r="AK142" s="14"/>
      <c r="AL142" s="14"/>
      <c r="AS142" s="14"/>
      <c r="AT142" s="14"/>
      <c r="AU142" s="14"/>
      <c r="AV142" s="14"/>
      <c r="AW142" s="14"/>
      <c r="AX142" s="14"/>
      <c r="AY142" s="14"/>
      <c r="BA142" s="14"/>
      <c r="BE142" s="16"/>
      <c r="BH142" s="14"/>
      <c r="BI142" s="14"/>
      <c r="BJ142" s="14"/>
      <c r="BK142" s="14"/>
      <c r="BL142" s="14"/>
      <c r="BM142" s="14"/>
      <c r="BN142" s="14"/>
      <c r="BO142" s="14"/>
      <c r="BP142" s="14"/>
      <c r="BQ142" s="14"/>
      <c r="BX142" s="14"/>
      <c r="BY142" s="14"/>
      <c r="BZ142" s="14"/>
      <c r="CA142" s="14"/>
      <c r="CB142" s="14"/>
      <c r="CC142" s="14"/>
      <c r="CD142" s="14"/>
      <c r="CF142" s="14"/>
      <c r="CJ142" s="16"/>
      <c r="CM142" s="14"/>
      <c r="CN142" s="14"/>
      <c r="CO142" s="14"/>
      <c r="CP142" s="14"/>
      <c r="CQ142" s="14"/>
      <c r="CR142" s="14"/>
      <c r="CS142" s="14"/>
      <c r="CT142" s="14"/>
      <c r="CU142" s="14"/>
      <c r="CV142" s="14"/>
    </row>
    <row r="143" spans="1:100" x14ac:dyDescent="0.2">
      <c r="A143" s="14"/>
      <c r="B143" s="14"/>
      <c r="C143" s="14"/>
      <c r="D143" s="14"/>
      <c r="E143" s="14"/>
      <c r="F143" s="14"/>
      <c r="G143" s="14"/>
      <c r="H143" s="14"/>
      <c r="I143" s="14"/>
      <c r="J143" s="14"/>
      <c r="K143" s="14"/>
      <c r="L143" s="15"/>
      <c r="M143" s="14"/>
      <c r="N143" s="14"/>
      <c r="O143" s="14"/>
      <c r="P143" s="14"/>
      <c r="Q143" s="16"/>
      <c r="R143" s="14"/>
      <c r="Z143" s="16"/>
      <c r="AC143" s="14"/>
      <c r="AD143" s="14"/>
      <c r="AE143" s="14"/>
      <c r="AF143" s="14"/>
      <c r="AG143" s="14"/>
      <c r="AH143" s="14"/>
      <c r="AI143" s="14"/>
      <c r="AJ143" s="14"/>
      <c r="AK143" s="14"/>
      <c r="AL143" s="14"/>
      <c r="AS143" s="14"/>
      <c r="AT143" s="14"/>
      <c r="AU143" s="14"/>
      <c r="AV143" s="14"/>
      <c r="AW143" s="14"/>
      <c r="AX143" s="14"/>
      <c r="AY143" s="14"/>
      <c r="BA143" s="14"/>
      <c r="BE143" s="16"/>
      <c r="BH143" s="14"/>
      <c r="BI143" s="14"/>
      <c r="BJ143" s="14"/>
      <c r="BK143" s="14"/>
      <c r="BL143" s="14"/>
      <c r="BM143" s="14"/>
      <c r="BN143" s="14"/>
      <c r="BO143" s="14"/>
      <c r="BP143" s="14"/>
      <c r="BQ143" s="14"/>
      <c r="BX143" s="14"/>
      <c r="BY143" s="14"/>
      <c r="BZ143" s="14"/>
      <c r="CA143" s="14"/>
      <c r="CB143" s="14"/>
      <c r="CC143" s="14"/>
      <c r="CD143" s="14"/>
      <c r="CF143" s="14"/>
      <c r="CJ143" s="16"/>
      <c r="CM143" s="14"/>
      <c r="CN143" s="14"/>
      <c r="CO143" s="14"/>
      <c r="CP143" s="14"/>
      <c r="CQ143" s="14"/>
      <c r="CR143" s="14"/>
      <c r="CS143" s="14"/>
      <c r="CT143" s="14"/>
      <c r="CU143" s="14"/>
      <c r="CV143" s="14"/>
    </row>
    <row r="144" spans="1:100" x14ac:dyDescent="0.2">
      <c r="A144" s="14"/>
      <c r="B144" s="14"/>
      <c r="C144" s="14"/>
      <c r="D144" s="14"/>
      <c r="E144" s="14"/>
      <c r="F144" s="14"/>
      <c r="G144" s="14"/>
      <c r="H144" s="14"/>
      <c r="I144" s="14"/>
      <c r="J144" s="14"/>
      <c r="K144" s="14"/>
      <c r="L144" s="15"/>
      <c r="M144" s="14"/>
      <c r="N144" s="14"/>
      <c r="O144" s="14"/>
      <c r="P144" s="14"/>
      <c r="Q144" s="16"/>
      <c r="R144" s="14"/>
      <c r="Z144" s="16"/>
      <c r="AC144" s="14"/>
      <c r="AD144" s="14"/>
      <c r="AE144" s="14"/>
      <c r="AF144" s="14"/>
      <c r="AG144" s="14"/>
      <c r="AH144" s="14"/>
      <c r="AI144" s="14"/>
      <c r="AJ144" s="14"/>
      <c r="AK144" s="14"/>
      <c r="AL144" s="14"/>
      <c r="AS144" s="14"/>
      <c r="AT144" s="14"/>
      <c r="AU144" s="14"/>
      <c r="AV144" s="14"/>
      <c r="AW144" s="14"/>
      <c r="AX144" s="14"/>
      <c r="AY144" s="14"/>
      <c r="BA144" s="14"/>
      <c r="BE144" s="16"/>
      <c r="BH144" s="14"/>
      <c r="BI144" s="14"/>
      <c r="BJ144" s="14"/>
      <c r="BK144" s="14"/>
      <c r="BL144" s="14"/>
      <c r="BM144" s="14"/>
      <c r="BN144" s="14"/>
      <c r="BO144" s="14"/>
      <c r="BP144" s="14"/>
      <c r="BQ144" s="14"/>
      <c r="BX144" s="14"/>
      <c r="BY144" s="14"/>
      <c r="BZ144" s="14"/>
      <c r="CA144" s="14"/>
      <c r="CB144" s="14"/>
      <c r="CC144" s="14"/>
      <c r="CD144" s="14"/>
      <c r="CF144" s="14"/>
      <c r="CJ144" s="16"/>
      <c r="CM144" s="14"/>
      <c r="CN144" s="14"/>
      <c r="CO144" s="14"/>
      <c r="CP144" s="14"/>
      <c r="CQ144" s="14"/>
      <c r="CR144" s="14"/>
      <c r="CS144" s="14"/>
      <c r="CT144" s="14"/>
      <c r="CU144" s="14"/>
      <c r="CV144" s="14"/>
    </row>
    <row r="145" spans="1:100" x14ac:dyDescent="0.2">
      <c r="A145" s="14"/>
      <c r="B145" s="14"/>
      <c r="C145" s="14"/>
      <c r="D145" s="14"/>
      <c r="E145" s="14"/>
      <c r="F145" s="14"/>
      <c r="G145" s="14"/>
      <c r="H145" s="14"/>
      <c r="I145" s="14"/>
      <c r="J145" s="14"/>
      <c r="K145" s="14"/>
      <c r="L145" s="15"/>
      <c r="M145" s="14"/>
      <c r="N145" s="14"/>
      <c r="O145" s="14"/>
      <c r="P145" s="14"/>
      <c r="Q145" s="16"/>
      <c r="R145" s="14"/>
      <c r="Z145" s="16"/>
      <c r="AC145" s="14"/>
      <c r="AD145" s="14"/>
      <c r="AE145" s="14"/>
      <c r="AF145" s="14"/>
      <c r="AG145" s="14"/>
      <c r="AH145" s="14"/>
      <c r="AI145" s="14"/>
      <c r="AJ145" s="14"/>
      <c r="AK145" s="14"/>
      <c r="AL145" s="14"/>
      <c r="AS145" s="14"/>
      <c r="AT145" s="14"/>
      <c r="AU145" s="14"/>
      <c r="AV145" s="14"/>
      <c r="AW145" s="14"/>
      <c r="AX145" s="14"/>
      <c r="AY145" s="14"/>
      <c r="BA145" s="14"/>
      <c r="BE145" s="16"/>
      <c r="BH145" s="14"/>
      <c r="BI145" s="14"/>
      <c r="BJ145" s="14"/>
      <c r="BK145" s="14"/>
      <c r="BL145" s="14"/>
      <c r="BM145" s="14"/>
      <c r="BN145" s="14"/>
      <c r="BO145" s="14"/>
      <c r="BP145" s="14"/>
      <c r="BQ145" s="14"/>
      <c r="BX145" s="14"/>
      <c r="BY145" s="14"/>
      <c r="BZ145" s="14"/>
      <c r="CA145" s="14"/>
      <c r="CB145" s="14"/>
      <c r="CC145" s="14"/>
      <c r="CD145" s="14"/>
      <c r="CF145" s="14"/>
      <c r="CJ145" s="16"/>
      <c r="CM145" s="14"/>
      <c r="CN145" s="14"/>
      <c r="CO145" s="14"/>
      <c r="CP145" s="14"/>
      <c r="CQ145" s="14"/>
      <c r="CR145" s="14"/>
      <c r="CS145" s="14"/>
      <c r="CT145" s="14"/>
      <c r="CU145" s="14"/>
      <c r="CV145" s="14"/>
    </row>
    <row r="146" spans="1:100" x14ac:dyDescent="0.2">
      <c r="A146" s="14"/>
      <c r="B146" s="14"/>
      <c r="C146" s="14"/>
      <c r="D146" s="14"/>
      <c r="E146" s="14"/>
      <c r="F146" s="14"/>
      <c r="G146" s="14"/>
      <c r="H146" s="14"/>
      <c r="I146" s="14"/>
      <c r="J146" s="14"/>
      <c r="K146" s="14"/>
      <c r="L146" s="15"/>
      <c r="M146" s="14"/>
      <c r="N146" s="14"/>
      <c r="O146" s="14"/>
      <c r="P146" s="14"/>
      <c r="Q146" s="16"/>
      <c r="R146" s="14"/>
      <c r="Z146" s="16"/>
      <c r="AC146" s="14"/>
      <c r="AD146" s="14"/>
      <c r="AE146" s="14"/>
      <c r="AF146" s="14"/>
      <c r="AG146" s="14"/>
      <c r="AH146" s="14"/>
      <c r="AI146" s="14"/>
      <c r="AJ146" s="14"/>
      <c r="AK146" s="14"/>
      <c r="AL146" s="14"/>
      <c r="AS146" s="14"/>
      <c r="AT146" s="14"/>
      <c r="AU146" s="14"/>
      <c r="AV146" s="14"/>
      <c r="AW146" s="14"/>
      <c r="AX146" s="14"/>
      <c r="AY146" s="14"/>
      <c r="BA146" s="14"/>
      <c r="BE146" s="16"/>
      <c r="BH146" s="14"/>
      <c r="BI146" s="14"/>
      <c r="BJ146" s="14"/>
      <c r="BK146" s="14"/>
      <c r="BL146" s="14"/>
      <c r="BM146" s="14"/>
      <c r="BN146" s="14"/>
      <c r="BO146" s="14"/>
      <c r="BP146" s="14"/>
      <c r="BQ146" s="14"/>
      <c r="BX146" s="14"/>
      <c r="BY146" s="14"/>
      <c r="BZ146" s="14"/>
      <c r="CA146" s="14"/>
      <c r="CB146" s="14"/>
      <c r="CC146" s="14"/>
      <c r="CD146" s="14"/>
      <c r="CF146" s="14"/>
      <c r="CJ146" s="16"/>
      <c r="CM146" s="14"/>
      <c r="CN146" s="14"/>
      <c r="CO146" s="14"/>
      <c r="CP146" s="14"/>
      <c r="CQ146" s="14"/>
      <c r="CR146" s="14"/>
      <c r="CS146" s="14"/>
      <c r="CT146" s="14"/>
      <c r="CU146" s="14"/>
      <c r="CV146" s="14"/>
    </row>
    <row r="147" spans="1:100" x14ac:dyDescent="0.2">
      <c r="A147" s="14"/>
      <c r="B147" s="14"/>
      <c r="C147" s="14"/>
      <c r="D147" s="14"/>
      <c r="E147" s="14"/>
      <c r="F147" s="14"/>
      <c r="G147" s="14"/>
      <c r="H147" s="14"/>
      <c r="I147" s="14"/>
      <c r="J147" s="14"/>
      <c r="K147" s="14"/>
      <c r="L147" s="15"/>
      <c r="M147" s="14"/>
      <c r="N147" s="14"/>
      <c r="O147" s="14"/>
      <c r="P147" s="14"/>
      <c r="Q147" s="16"/>
      <c r="R147" s="14"/>
      <c r="Z147" s="16"/>
      <c r="AC147" s="14"/>
      <c r="AD147" s="14"/>
      <c r="AE147" s="14"/>
      <c r="AF147" s="14"/>
      <c r="AG147" s="14"/>
      <c r="AH147" s="14"/>
      <c r="AI147" s="14"/>
      <c r="AJ147" s="14"/>
      <c r="AK147" s="14"/>
      <c r="AL147" s="14"/>
      <c r="AS147" s="14"/>
      <c r="AT147" s="14"/>
      <c r="AU147" s="14"/>
      <c r="AV147" s="14"/>
      <c r="AW147" s="14"/>
      <c r="AX147" s="14"/>
      <c r="AY147" s="14"/>
      <c r="BA147" s="14"/>
      <c r="BE147" s="16"/>
      <c r="BH147" s="14"/>
      <c r="BI147" s="14"/>
      <c r="BJ147" s="14"/>
      <c r="BK147" s="14"/>
      <c r="BL147" s="14"/>
      <c r="BM147" s="14"/>
      <c r="BN147" s="14"/>
      <c r="BO147" s="14"/>
      <c r="BP147" s="14"/>
      <c r="BQ147" s="14"/>
      <c r="BX147" s="14"/>
      <c r="BY147" s="14"/>
      <c r="BZ147" s="14"/>
      <c r="CA147" s="14"/>
      <c r="CB147" s="14"/>
      <c r="CC147" s="14"/>
      <c r="CD147" s="14"/>
      <c r="CF147" s="14"/>
      <c r="CJ147" s="16"/>
      <c r="CM147" s="14"/>
      <c r="CN147" s="14"/>
      <c r="CO147" s="14"/>
      <c r="CP147" s="14"/>
      <c r="CQ147" s="14"/>
      <c r="CR147" s="14"/>
      <c r="CS147" s="14"/>
      <c r="CT147" s="14"/>
      <c r="CU147" s="14"/>
      <c r="CV147" s="14"/>
    </row>
    <row r="148" spans="1:100" x14ac:dyDescent="0.2">
      <c r="A148" s="14"/>
      <c r="B148" s="14"/>
      <c r="C148" s="14"/>
      <c r="D148" s="14"/>
      <c r="E148" s="14"/>
      <c r="F148" s="14"/>
      <c r="G148" s="14"/>
      <c r="H148" s="14"/>
      <c r="I148" s="14"/>
      <c r="J148" s="14"/>
      <c r="K148" s="14"/>
      <c r="L148" s="15"/>
      <c r="M148" s="14"/>
      <c r="N148" s="14"/>
      <c r="O148" s="14"/>
      <c r="P148" s="14"/>
      <c r="Q148" s="16"/>
      <c r="R148" s="14"/>
      <c r="Z148" s="16"/>
      <c r="AC148" s="14"/>
      <c r="AD148" s="14"/>
      <c r="AE148" s="14"/>
      <c r="AF148" s="14"/>
      <c r="AG148" s="14"/>
      <c r="AH148" s="14"/>
      <c r="AI148" s="14"/>
      <c r="AJ148" s="14"/>
      <c r="AK148" s="14"/>
      <c r="AL148" s="14"/>
      <c r="AS148" s="14"/>
      <c r="AT148" s="14"/>
      <c r="AU148" s="14"/>
      <c r="AV148" s="14"/>
      <c r="AW148" s="14"/>
      <c r="AX148" s="14"/>
      <c r="AY148" s="14"/>
      <c r="BA148" s="14"/>
      <c r="BE148" s="16"/>
      <c r="BH148" s="14"/>
      <c r="BI148" s="14"/>
      <c r="BJ148" s="14"/>
      <c r="BK148" s="14"/>
      <c r="BL148" s="14"/>
      <c r="BM148" s="14"/>
      <c r="BN148" s="14"/>
      <c r="BO148" s="14"/>
      <c r="BP148" s="14"/>
      <c r="BQ148" s="14"/>
      <c r="BX148" s="14"/>
      <c r="BY148" s="14"/>
      <c r="BZ148" s="14"/>
      <c r="CA148" s="14"/>
      <c r="CB148" s="14"/>
      <c r="CC148" s="14"/>
      <c r="CD148" s="14"/>
      <c r="CF148" s="14"/>
      <c r="CJ148" s="16"/>
      <c r="CM148" s="14"/>
      <c r="CN148" s="14"/>
      <c r="CO148" s="14"/>
      <c r="CP148" s="14"/>
      <c r="CQ148" s="14"/>
      <c r="CR148" s="14"/>
      <c r="CS148" s="14"/>
      <c r="CT148" s="14"/>
      <c r="CU148" s="14"/>
      <c r="CV148" s="14"/>
    </row>
    <row r="149" spans="1:100" x14ac:dyDescent="0.2">
      <c r="A149" s="14"/>
      <c r="B149" s="14"/>
      <c r="C149" s="14"/>
      <c r="D149" s="14"/>
      <c r="E149" s="14"/>
      <c r="F149" s="14"/>
      <c r="G149" s="14"/>
      <c r="H149" s="14"/>
      <c r="I149" s="14"/>
      <c r="J149" s="14"/>
      <c r="K149" s="14"/>
      <c r="L149" s="15"/>
      <c r="M149" s="14"/>
      <c r="N149" s="14"/>
      <c r="O149" s="14"/>
      <c r="P149" s="14"/>
      <c r="Q149" s="16"/>
      <c r="R149" s="14"/>
      <c r="Z149" s="16"/>
      <c r="AC149" s="14"/>
      <c r="AD149" s="14"/>
      <c r="AE149" s="14"/>
      <c r="AF149" s="14"/>
      <c r="AG149" s="14"/>
      <c r="AH149" s="14"/>
      <c r="AI149" s="14"/>
      <c r="AJ149" s="14"/>
      <c r="AK149" s="14"/>
      <c r="AL149" s="14"/>
      <c r="AS149" s="14"/>
      <c r="AT149" s="14"/>
      <c r="AU149" s="14"/>
      <c r="AV149" s="14"/>
      <c r="AW149" s="14"/>
      <c r="AX149" s="14"/>
      <c r="AY149" s="14"/>
      <c r="BA149" s="14"/>
      <c r="BE149" s="16"/>
      <c r="BH149" s="14"/>
      <c r="BI149" s="14"/>
      <c r="BJ149" s="14"/>
      <c r="BK149" s="14"/>
      <c r="BL149" s="14"/>
      <c r="BM149" s="14"/>
      <c r="BN149" s="14"/>
      <c r="BO149" s="14"/>
      <c r="BP149" s="14"/>
      <c r="BQ149" s="14"/>
      <c r="BX149" s="14"/>
      <c r="BY149" s="14"/>
      <c r="BZ149" s="14"/>
      <c r="CA149" s="14"/>
      <c r="CB149" s="14"/>
      <c r="CC149" s="14"/>
      <c r="CD149" s="14"/>
      <c r="CF149" s="14"/>
      <c r="CJ149" s="16"/>
      <c r="CM149" s="14"/>
      <c r="CN149" s="14"/>
      <c r="CO149" s="14"/>
      <c r="CP149" s="14"/>
      <c r="CQ149" s="14"/>
      <c r="CR149" s="14"/>
      <c r="CS149" s="14"/>
      <c r="CT149" s="14"/>
      <c r="CU149" s="14"/>
      <c r="CV149" s="14"/>
    </row>
    <row r="150" spans="1:100" x14ac:dyDescent="0.2">
      <c r="A150" s="14"/>
      <c r="B150" s="14"/>
      <c r="C150" s="14"/>
      <c r="D150" s="14"/>
      <c r="E150" s="14"/>
      <c r="F150" s="14"/>
      <c r="G150" s="14"/>
      <c r="H150" s="14"/>
      <c r="I150" s="14"/>
      <c r="J150" s="14"/>
      <c r="K150" s="14"/>
      <c r="L150" s="15"/>
      <c r="M150" s="14"/>
      <c r="N150" s="14"/>
      <c r="O150" s="14"/>
      <c r="P150" s="14"/>
      <c r="Q150" s="16"/>
      <c r="R150" s="14"/>
      <c r="Z150" s="16"/>
      <c r="AC150" s="14"/>
      <c r="AD150" s="14"/>
      <c r="AE150" s="14"/>
      <c r="AF150" s="14"/>
      <c r="AG150" s="14"/>
      <c r="AH150" s="14"/>
      <c r="AI150" s="14"/>
      <c r="AJ150" s="14"/>
      <c r="AK150" s="14"/>
      <c r="AL150" s="14"/>
      <c r="AS150" s="14"/>
      <c r="AT150" s="14"/>
      <c r="AU150" s="14"/>
      <c r="AV150" s="14"/>
      <c r="AW150" s="14"/>
      <c r="AX150" s="14"/>
      <c r="AY150" s="14"/>
      <c r="BA150" s="14"/>
      <c r="BE150" s="16"/>
      <c r="BH150" s="14"/>
      <c r="BI150" s="14"/>
      <c r="BJ150" s="14"/>
      <c r="BK150" s="14"/>
      <c r="BL150" s="14"/>
      <c r="BM150" s="14"/>
      <c r="BN150" s="14"/>
      <c r="BO150" s="14"/>
      <c r="BP150" s="14"/>
      <c r="BQ150" s="14"/>
      <c r="BX150" s="14"/>
      <c r="BY150" s="14"/>
      <c r="BZ150" s="14"/>
      <c r="CA150" s="14"/>
      <c r="CB150" s="14"/>
      <c r="CC150" s="14"/>
      <c r="CD150" s="14"/>
      <c r="CF150" s="14"/>
      <c r="CJ150" s="16"/>
      <c r="CM150" s="14"/>
      <c r="CN150" s="14"/>
      <c r="CO150" s="14"/>
      <c r="CP150" s="14"/>
      <c r="CQ150" s="14"/>
      <c r="CR150" s="14"/>
      <c r="CS150" s="14"/>
      <c r="CT150" s="14"/>
      <c r="CU150" s="14"/>
      <c r="CV150" s="14"/>
    </row>
    <row r="151" spans="1:100" x14ac:dyDescent="0.2">
      <c r="A151" s="14"/>
      <c r="B151" s="14"/>
      <c r="C151" s="14"/>
      <c r="D151" s="14"/>
      <c r="E151" s="14"/>
      <c r="F151" s="14"/>
      <c r="G151" s="14"/>
      <c r="H151" s="14"/>
      <c r="I151" s="14"/>
      <c r="J151" s="14"/>
      <c r="K151" s="14"/>
      <c r="L151" s="15"/>
      <c r="M151" s="14"/>
      <c r="N151" s="14"/>
      <c r="O151" s="14"/>
      <c r="P151" s="14"/>
      <c r="Q151" s="16"/>
      <c r="R151" s="14"/>
      <c r="Z151" s="16"/>
      <c r="AC151" s="14"/>
      <c r="AD151" s="14"/>
      <c r="AE151" s="14"/>
      <c r="AF151" s="14"/>
      <c r="AG151" s="14"/>
      <c r="AH151" s="14"/>
      <c r="AI151" s="14"/>
      <c r="AJ151" s="14"/>
      <c r="AK151" s="14"/>
      <c r="AL151" s="14"/>
      <c r="AS151" s="14"/>
      <c r="AT151" s="14"/>
      <c r="AU151" s="14"/>
      <c r="AV151" s="14"/>
      <c r="AW151" s="14"/>
      <c r="AX151" s="14"/>
      <c r="AY151" s="14"/>
      <c r="BA151" s="14"/>
      <c r="BE151" s="16"/>
      <c r="BH151" s="14"/>
      <c r="BI151" s="14"/>
      <c r="BJ151" s="14"/>
      <c r="BK151" s="14"/>
      <c r="BL151" s="14"/>
      <c r="BM151" s="14"/>
      <c r="BN151" s="14"/>
      <c r="BO151" s="14"/>
      <c r="BP151" s="14"/>
      <c r="BQ151" s="14"/>
      <c r="BX151" s="14"/>
      <c r="BY151" s="14"/>
      <c r="BZ151" s="14"/>
      <c r="CA151" s="14"/>
      <c r="CB151" s="14"/>
      <c r="CC151" s="14"/>
      <c r="CD151" s="14"/>
      <c r="CF151" s="14"/>
      <c r="CJ151" s="16"/>
      <c r="CM151" s="14"/>
      <c r="CN151" s="14"/>
      <c r="CO151" s="14"/>
      <c r="CP151" s="14"/>
      <c r="CQ151" s="14"/>
      <c r="CR151" s="14"/>
      <c r="CS151" s="14"/>
      <c r="CT151" s="14"/>
      <c r="CU151" s="14"/>
      <c r="CV151" s="14"/>
    </row>
    <row r="152" spans="1:100" x14ac:dyDescent="0.2">
      <c r="A152" s="14"/>
      <c r="B152" s="14"/>
      <c r="C152" s="14"/>
      <c r="D152" s="14"/>
      <c r="E152" s="14"/>
      <c r="F152" s="14"/>
      <c r="G152" s="14"/>
      <c r="H152" s="14"/>
      <c r="I152" s="14"/>
      <c r="J152" s="14"/>
      <c r="K152" s="14"/>
      <c r="L152" s="15"/>
      <c r="M152" s="14"/>
      <c r="N152" s="14"/>
      <c r="O152" s="14"/>
      <c r="P152" s="14"/>
      <c r="Q152" s="16"/>
      <c r="R152" s="14"/>
      <c r="Z152" s="16"/>
      <c r="AC152" s="14"/>
      <c r="AD152" s="14"/>
      <c r="AE152" s="14"/>
      <c r="AF152" s="14"/>
      <c r="AG152" s="14"/>
      <c r="AH152" s="14"/>
      <c r="AI152" s="14"/>
      <c r="AJ152" s="14"/>
      <c r="AK152" s="14"/>
      <c r="AL152" s="14"/>
      <c r="AS152" s="14"/>
      <c r="AT152" s="14"/>
      <c r="AU152" s="14"/>
      <c r="AV152" s="14"/>
      <c r="AW152" s="14"/>
      <c r="AX152" s="14"/>
      <c r="AY152" s="14"/>
      <c r="BA152" s="14"/>
      <c r="BE152" s="16"/>
      <c r="BH152" s="14"/>
      <c r="BI152" s="14"/>
      <c r="BJ152" s="14"/>
      <c r="BK152" s="14"/>
      <c r="BL152" s="14"/>
      <c r="BM152" s="14"/>
      <c r="BN152" s="14"/>
      <c r="BO152" s="14"/>
      <c r="BP152" s="14"/>
      <c r="BQ152" s="14"/>
      <c r="BX152" s="14"/>
      <c r="BY152" s="14"/>
      <c r="BZ152" s="14"/>
      <c r="CA152" s="14"/>
      <c r="CB152" s="14"/>
      <c r="CC152" s="14"/>
      <c r="CD152" s="14"/>
      <c r="CF152" s="14"/>
      <c r="CJ152" s="16"/>
      <c r="CM152" s="14"/>
      <c r="CN152" s="14"/>
      <c r="CO152" s="14"/>
      <c r="CP152" s="14"/>
      <c r="CQ152" s="14"/>
      <c r="CR152" s="14"/>
      <c r="CS152" s="14"/>
      <c r="CT152" s="14"/>
      <c r="CU152" s="14"/>
      <c r="CV152" s="14"/>
    </row>
    <row r="153" spans="1:100" x14ac:dyDescent="0.2">
      <c r="A153" s="14"/>
      <c r="B153" s="14"/>
      <c r="C153" s="14"/>
      <c r="D153" s="14"/>
      <c r="E153" s="14"/>
      <c r="F153" s="14"/>
      <c r="G153" s="14"/>
      <c r="H153" s="14"/>
      <c r="I153" s="14"/>
      <c r="J153" s="14"/>
      <c r="K153" s="14"/>
      <c r="L153" s="15"/>
      <c r="M153" s="14"/>
      <c r="N153" s="14"/>
      <c r="O153" s="14"/>
      <c r="P153" s="14"/>
      <c r="Q153" s="16"/>
      <c r="R153" s="14"/>
      <c r="Z153" s="16"/>
      <c r="AC153" s="14"/>
      <c r="AD153" s="14"/>
      <c r="AE153" s="14"/>
      <c r="AF153" s="14"/>
      <c r="AG153" s="14"/>
      <c r="AH153" s="14"/>
      <c r="AI153" s="14"/>
      <c r="AJ153" s="14"/>
      <c r="AK153" s="14"/>
      <c r="AL153" s="14"/>
      <c r="AS153" s="14"/>
      <c r="AT153" s="14"/>
      <c r="AU153" s="14"/>
      <c r="AV153" s="14"/>
      <c r="AW153" s="14"/>
      <c r="AX153" s="14"/>
      <c r="AY153" s="14"/>
      <c r="BA153" s="14"/>
      <c r="BE153" s="16"/>
      <c r="BH153" s="14"/>
      <c r="BI153" s="14"/>
      <c r="BJ153" s="14"/>
      <c r="BK153" s="14"/>
      <c r="BL153" s="14"/>
      <c r="BM153" s="14"/>
      <c r="BN153" s="14"/>
      <c r="BO153" s="14"/>
      <c r="BP153" s="14"/>
      <c r="BQ153" s="14"/>
      <c r="BX153" s="14"/>
      <c r="BY153" s="14"/>
      <c r="BZ153" s="14"/>
      <c r="CA153" s="14"/>
      <c r="CB153" s="14"/>
      <c r="CC153" s="14"/>
      <c r="CD153" s="14"/>
      <c r="CF153" s="14"/>
      <c r="CJ153" s="16"/>
      <c r="CM153" s="14"/>
      <c r="CN153" s="14"/>
      <c r="CO153" s="14"/>
      <c r="CP153" s="14"/>
      <c r="CQ153" s="14"/>
      <c r="CR153" s="14"/>
      <c r="CS153" s="14"/>
      <c r="CT153" s="14"/>
      <c r="CU153" s="14"/>
      <c r="CV153" s="14"/>
    </row>
    <row r="154" spans="1:100" x14ac:dyDescent="0.2">
      <c r="A154" s="14"/>
      <c r="B154" s="14"/>
      <c r="C154" s="14"/>
      <c r="D154" s="14"/>
      <c r="E154" s="14"/>
      <c r="F154" s="14"/>
      <c r="G154" s="14"/>
      <c r="H154" s="14"/>
      <c r="I154" s="14"/>
      <c r="J154" s="14"/>
      <c r="K154" s="14"/>
      <c r="L154" s="15"/>
      <c r="M154" s="14"/>
      <c r="N154" s="14"/>
      <c r="O154" s="14"/>
      <c r="P154" s="14"/>
      <c r="Q154" s="16"/>
      <c r="R154" s="14"/>
      <c r="Z154" s="16"/>
      <c r="AC154" s="14"/>
      <c r="AD154" s="14"/>
      <c r="AE154" s="14"/>
      <c r="AF154" s="14"/>
      <c r="AG154" s="14"/>
      <c r="AH154" s="14"/>
      <c r="AI154" s="14"/>
      <c r="AJ154" s="14"/>
      <c r="AK154" s="14"/>
      <c r="AL154" s="14"/>
      <c r="AS154" s="14"/>
      <c r="AT154" s="14"/>
      <c r="AU154" s="14"/>
      <c r="AV154" s="14"/>
      <c r="AW154" s="14"/>
      <c r="AX154" s="14"/>
      <c r="AY154" s="14"/>
      <c r="BA154" s="14"/>
      <c r="BE154" s="16"/>
      <c r="BH154" s="14"/>
      <c r="BI154" s="14"/>
      <c r="BJ154" s="14"/>
      <c r="BK154" s="14"/>
      <c r="BL154" s="14"/>
      <c r="BM154" s="14"/>
      <c r="BN154" s="14"/>
      <c r="BO154" s="14"/>
      <c r="BP154" s="14"/>
      <c r="BQ154" s="14"/>
      <c r="BX154" s="14"/>
      <c r="BY154" s="14"/>
      <c r="BZ154" s="14"/>
      <c r="CA154" s="14"/>
      <c r="CB154" s="14"/>
      <c r="CC154" s="14"/>
      <c r="CD154" s="14"/>
      <c r="CF154" s="14"/>
      <c r="CJ154" s="16"/>
      <c r="CM154" s="14"/>
      <c r="CN154" s="14"/>
      <c r="CO154" s="14"/>
      <c r="CP154" s="14"/>
      <c r="CQ154" s="14"/>
      <c r="CR154" s="14"/>
      <c r="CS154" s="14"/>
      <c r="CT154" s="14"/>
      <c r="CU154" s="14"/>
      <c r="CV154" s="14"/>
    </row>
    <row r="155" spans="1:100" x14ac:dyDescent="0.2">
      <c r="A155" s="14"/>
      <c r="B155" s="14"/>
      <c r="C155" s="14"/>
      <c r="D155" s="14"/>
      <c r="E155" s="14"/>
      <c r="F155" s="14"/>
      <c r="G155" s="14"/>
      <c r="H155" s="14"/>
      <c r="I155" s="14"/>
      <c r="J155" s="14"/>
      <c r="K155" s="14"/>
      <c r="L155" s="15"/>
      <c r="M155" s="14"/>
      <c r="N155" s="14"/>
      <c r="O155" s="14"/>
      <c r="P155" s="14"/>
      <c r="Q155" s="16"/>
      <c r="R155" s="14"/>
      <c r="Z155" s="16"/>
      <c r="AC155" s="14"/>
      <c r="AD155" s="14"/>
      <c r="AE155" s="14"/>
      <c r="AF155" s="14"/>
      <c r="AG155" s="14"/>
      <c r="AH155" s="14"/>
      <c r="AI155" s="14"/>
      <c r="AJ155" s="14"/>
      <c r="AK155" s="14"/>
      <c r="AL155" s="14"/>
      <c r="AS155" s="14"/>
      <c r="AT155" s="14"/>
      <c r="AU155" s="14"/>
      <c r="AV155" s="14"/>
      <c r="AW155" s="14"/>
      <c r="AX155" s="14"/>
      <c r="AY155" s="14"/>
      <c r="BA155" s="14"/>
      <c r="BE155" s="16"/>
      <c r="BH155" s="14"/>
      <c r="BI155" s="14"/>
      <c r="BJ155" s="14"/>
      <c r="BK155" s="14"/>
      <c r="BL155" s="14"/>
      <c r="BM155" s="14"/>
      <c r="BN155" s="14"/>
      <c r="BO155" s="14"/>
      <c r="BP155" s="14"/>
      <c r="BQ155" s="14"/>
      <c r="BX155" s="14"/>
      <c r="BY155" s="14"/>
      <c r="BZ155" s="14"/>
      <c r="CA155" s="14"/>
      <c r="CB155" s="14"/>
      <c r="CC155" s="14"/>
      <c r="CD155" s="14"/>
      <c r="CF155" s="14"/>
      <c r="CJ155" s="16"/>
      <c r="CM155" s="14"/>
      <c r="CN155" s="14"/>
      <c r="CO155" s="14"/>
      <c r="CP155" s="14"/>
      <c r="CQ155" s="14"/>
      <c r="CR155" s="14"/>
      <c r="CS155" s="14"/>
      <c r="CT155" s="14"/>
      <c r="CU155" s="14"/>
      <c r="CV155" s="14"/>
    </row>
    <row r="156" spans="1:100" x14ac:dyDescent="0.2">
      <c r="A156" s="14"/>
      <c r="B156" s="14"/>
      <c r="C156" s="14"/>
      <c r="D156" s="14"/>
      <c r="E156" s="14"/>
      <c r="F156" s="14"/>
      <c r="G156" s="14"/>
      <c r="H156" s="14"/>
      <c r="I156" s="14"/>
      <c r="J156" s="14"/>
      <c r="K156" s="14"/>
      <c r="L156" s="15"/>
      <c r="M156" s="14"/>
      <c r="N156" s="14"/>
      <c r="O156" s="14"/>
      <c r="P156" s="14"/>
      <c r="Q156" s="16"/>
      <c r="R156" s="14"/>
      <c r="Z156" s="16"/>
      <c r="AC156" s="14"/>
      <c r="AD156" s="14"/>
      <c r="AE156" s="14"/>
      <c r="AF156" s="14"/>
      <c r="AG156" s="14"/>
      <c r="AH156" s="14"/>
      <c r="AI156" s="14"/>
      <c r="AJ156" s="14"/>
      <c r="AK156" s="14"/>
      <c r="AL156" s="14"/>
      <c r="AS156" s="14"/>
      <c r="AT156" s="14"/>
      <c r="AU156" s="14"/>
      <c r="AV156" s="14"/>
      <c r="AW156" s="14"/>
      <c r="AX156" s="14"/>
      <c r="AY156" s="14"/>
      <c r="BA156" s="14"/>
      <c r="BE156" s="16"/>
      <c r="BH156" s="14"/>
      <c r="BI156" s="14"/>
      <c r="BJ156" s="14"/>
      <c r="BK156" s="14"/>
      <c r="BL156" s="14"/>
      <c r="BM156" s="14"/>
      <c r="BN156" s="14"/>
      <c r="BO156" s="14"/>
      <c r="BP156" s="14"/>
      <c r="BQ156" s="14"/>
      <c r="BX156" s="14"/>
      <c r="BY156" s="14"/>
      <c r="BZ156" s="14"/>
      <c r="CA156" s="14"/>
      <c r="CB156" s="14"/>
      <c r="CC156" s="14"/>
      <c r="CD156" s="14"/>
      <c r="CF156" s="14"/>
      <c r="CJ156" s="16"/>
      <c r="CM156" s="14"/>
      <c r="CN156" s="14"/>
      <c r="CO156" s="14"/>
      <c r="CP156" s="14"/>
      <c r="CQ156" s="14"/>
      <c r="CR156" s="14"/>
      <c r="CS156" s="14"/>
      <c r="CT156" s="14"/>
      <c r="CU156" s="14"/>
      <c r="CV156" s="14"/>
    </row>
    <row r="157" spans="1:100" x14ac:dyDescent="0.2">
      <c r="A157" s="14"/>
      <c r="B157" s="14"/>
      <c r="C157" s="14"/>
      <c r="D157" s="14"/>
      <c r="E157" s="14"/>
      <c r="F157" s="14"/>
      <c r="G157" s="14"/>
      <c r="H157" s="14"/>
      <c r="I157" s="14"/>
      <c r="J157" s="14"/>
      <c r="K157" s="14"/>
      <c r="L157" s="15"/>
      <c r="M157" s="14"/>
      <c r="N157" s="14"/>
      <c r="O157" s="14"/>
      <c r="P157" s="14"/>
      <c r="Q157" s="16"/>
      <c r="R157" s="14"/>
      <c r="Z157" s="16"/>
      <c r="AC157" s="14"/>
      <c r="AD157" s="14"/>
      <c r="AE157" s="14"/>
      <c r="AF157" s="14"/>
      <c r="AG157" s="14"/>
      <c r="AH157" s="14"/>
      <c r="AI157" s="14"/>
      <c r="AJ157" s="14"/>
      <c r="AK157" s="14"/>
      <c r="AL157" s="14"/>
      <c r="AS157" s="14"/>
      <c r="AT157" s="14"/>
      <c r="AU157" s="14"/>
      <c r="AV157" s="14"/>
      <c r="AW157" s="14"/>
      <c r="AX157" s="14"/>
      <c r="AY157" s="14"/>
      <c r="BA157" s="14"/>
      <c r="BE157" s="16"/>
      <c r="BH157" s="14"/>
      <c r="BI157" s="14"/>
      <c r="BJ157" s="14"/>
      <c r="BK157" s="14"/>
      <c r="BL157" s="14"/>
      <c r="BM157" s="14"/>
      <c r="BN157" s="14"/>
      <c r="BO157" s="14"/>
      <c r="BP157" s="14"/>
      <c r="BQ157" s="14"/>
      <c r="BX157" s="14"/>
      <c r="BY157" s="14"/>
      <c r="BZ157" s="14"/>
      <c r="CA157" s="14"/>
      <c r="CB157" s="14"/>
      <c r="CC157" s="14"/>
      <c r="CD157" s="14"/>
      <c r="CF157" s="14"/>
      <c r="CJ157" s="16"/>
      <c r="CM157" s="14"/>
      <c r="CN157" s="14"/>
      <c r="CO157" s="14"/>
      <c r="CP157" s="14"/>
      <c r="CQ157" s="14"/>
      <c r="CR157" s="14"/>
      <c r="CS157" s="14"/>
      <c r="CT157" s="14"/>
      <c r="CU157" s="14"/>
      <c r="CV157" s="14"/>
    </row>
    <row r="158" spans="1:100" x14ac:dyDescent="0.2">
      <c r="A158" s="14"/>
      <c r="B158" s="14"/>
      <c r="C158" s="14"/>
      <c r="D158" s="14"/>
      <c r="E158" s="14"/>
      <c r="F158" s="14"/>
      <c r="G158" s="14"/>
      <c r="H158" s="14"/>
      <c r="I158" s="14"/>
      <c r="J158" s="14"/>
      <c r="K158" s="14"/>
      <c r="L158" s="15"/>
      <c r="M158" s="14"/>
      <c r="N158" s="14"/>
      <c r="O158" s="14"/>
      <c r="P158" s="14"/>
      <c r="Q158" s="16"/>
      <c r="R158" s="14"/>
      <c r="Z158" s="16"/>
      <c r="AC158" s="14"/>
      <c r="AD158" s="14"/>
      <c r="AE158" s="14"/>
      <c r="AF158" s="14"/>
      <c r="AG158" s="14"/>
      <c r="AH158" s="14"/>
      <c r="AI158" s="14"/>
      <c r="AJ158" s="14"/>
      <c r="AK158" s="14"/>
      <c r="AL158" s="14"/>
      <c r="AS158" s="14"/>
      <c r="AT158" s="14"/>
      <c r="AU158" s="14"/>
      <c r="AV158" s="14"/>
      <c r="AW158" s="14"/>
      <c r="AX158" s="14"/>
      <c r="AY158" s="14"/>
      <c r="BA158" s="14"/>
      <c r="BE158" s="16"/>
      <c r="BH158" s="14"/>
      <c r="BI158" s="14"/>
      <c r="BJ158" s="14"/>
      <c r="BK158" s="14"/>
      <c r="BL158" s="14"/>
      <c r="BM158" s="14"/>
      <c r="BN158" s="14"/>
      <c r="BO158" s="14"/>
      <c r="BP158" s="14"/>
      <c r="BQ158" s="14"/>
      <c r="BX158" s="14"/>
      <c r="BY158" s="14"/>
      <c r="BZ158" s="14"/>
      <c r="CA158" s="14"/>
      <c r="CB158" s="14"/>
      <c r="CC158" s="14"/>
      <c r="CD158" s="14"/>
      <c r="CF158" s="14"/>
      <c r="CJ158" s="16"/>
      <c r="CM158" s="14"/>
      <c r="CN158" s="14"/>
      <c r="CO158" s="14"/>
      <c r="CP158" s="14"/>
      <c r="CQ158" s="14"/>
      <c r="CR158" s="14"/>
      <c r="CS158" s="14"/>
      <c r="CT158" s="14"/>
      <c r="CU158" s="14"/>
      <c r="CV158" s="14"/>
    </row>
    <row r="159" spans="1:100" x14ac:dyDescent="0.2">
      <c r="A159" s="14"/>
      <c r="B159" s="14"/>
      <c r="C159" s="14"/>
      <c r="D159" s="14"/>
      <c r="E159" s="14"/>
      <c r="F159" s="14"/>
      <c r="G159" s="14"/>
      <c r="H159" s="14"/>
      <c r="I159" s="14"/>
      <c r="J159" s="14"/>
      <c r="K159" s="14"/>
      <c r="L159" s="15"/>
      <c r="M159" s="14"/>
      <c r="N159" s="14"/>
      <c r="O159" s="14"/>
      <c r="P159" s="14"/>
      <c r="Q159" s="16"/>
      <c r="R159" s="14"/>
      <c r="Z159" s="16"/>
      <c r="AC159" s="14"/>
      <c r="AD159" s="14"/>
      <c r="AE159" s="14"/>
      <c r="AF159" s="14"/>
      <c r="AG159" s="14"/>
      <c r="AH159" s="14"/>
      <c r="AI159" s="14"/>
      <c r="AJ159" s="14"/>
      <c r="AK159" s="14"/>
      <c r="AL159" s="14"/>
      <c r="AS159" s="14"/>
      <c r="AT159" s="14"/>
      <c r="AU159" s="14"/>
      <c r="AV159" s="14"/>
      <c r="AW159" s="14"/>
      <c r="AX159" s="14"/>
      <c r="AY159" s="14"/>
      <c r="BA159" s="14"/>
      <c r="BE159" s="16"/>
      <c r="BH159" s="14"/>
      <c r="BI159" s="14"/>
      <c r="BJ159" s="14"/>
      <c r="BK159" s="14"/>
      <c r="BL159" s="14"/>
      <c r="BM159" s="14"/>
      <c r="BN159" s="14"/>
      <c r="BO159" s="14"/>
      <c r="BP159" s="14"/>
      <c r="BQ159" s="14"/>
      <c r="BX159" s="14"/>
      <c r="BY159" s="14"/>
      <c r="BZ159" s="14"/>
      <c r="CA159" s="14"/>
      <c r="CB159" s="14"/>
      <c r="CC159" s="14"/>
      <c r="CD159" s="14"/>
      <c r="CF159" s="14"/>
      <c r="CJ159" s="16"/>
      <c r="CM159" s="14"/>
      <c r="CN159" s="14"/>
      <c r="CO159" s="14"/>
      <c r="CP159" s="14"/>
      <c r="CQ159" s="14"/>
      <c r="CR159" s="14"/>
      <c r="CS159" s="14"/>
      <c r="CT159" s="14"/>
      <c r="CU159" s="14"/>
      <c r="CV159" s="14"/>
    </row>
    <row r="160" spans="1:100" x14ac:dyDescent="0.2">
      <c r="A160" s="14"/>
      <c r="B160" s="14"/>
      <c r="C160" s="14"/>
      <c r="D160" s="14"/>
      <c r="E160" s="14"/>
      <c r="F160" s="14"/>
      <c r="G160" s="14"/>
      <c r="H160" s="14"/>
      <c r="I160" s="14"/>
      <c r="J160" s="14"/>
      <c r="K160" s="14"/>
      <c r="L160" s="15"/>
      <c r="M160" s="14"/>
      <c r="N160" s="14"/>
      <c r="O160" s="14"/>
      <c r="P160" s="14"/>
      <c r="Q160" s="16"/>
      <c r="R160" s="14"/>
      <c r="Z160" s="16"/>
      <c r="AC160" s="14"/>
      <c r="AD160" s="14"/>
      <c r="AE160" s="14"/>
      <c r="AF160" s="14"/>
      <c r="AG160" s="14"/>
      <c r="AH160" s="14"/>
      <c r="AI160" s="14"/>
      <c r="AJ160" s="14"/>
      <c r="AK160" s="14"/>
      <c r="AL160" s="14"/>
      <c r="AS160" s="14"/>
      <c r="AT160" s="14"/>
      <c r="AU160" s="14"/>
      <c r="AV160" s="14"/>
      <c r="AW160" s="14"/>
      <c r="AX160" s="14"/>
      <c r="AY160" s="14"/>
      <c r="BA160" s="14"/>
      <c r="BE160" s="16"/>
      <c r="BH160" s="14"/>
      <c r="BI160" s="14"/>
      <c r="BJ160" s="14"/>
      <c r="BK160" s="14"/>
      <c r="BL160" s="14"/>
      <c r="BM160" s="14"/>
      <c r="BN160" s="14"/>
      <c r="BO160" s="14"/>
      <c r="BP160" s="14"/>
      <c r="BQ160" s="14"/>
      <c r="BX160" s="14"/>
      <c r="BY160" s="14"/>
      <c r="BZ160" s="14"/>
      <c r="CA160" s="14"/>
      <c r="CB160" s="14"/>
      <c r="CC160" s="14"/>
      <c r="CD160" s="14"/>
      <c r="CF160" s="14"/>
      <c r="CJ160" s="16"/>
      <c r="CM160" s="14"/>
      <c r="CN160" s="14"/>
      <c r="CO160" s="14"/>
      <c r="CP160" s="14"/>
      <c r="CQ160" s="14"/>
      <c r="CR160" s="14"/>
      <c r="CS160" s="14"/>
      <c r="CT160" s="14"/>
      <c r="CU160" s="14"/>
      <c r="CV160" s="14"/>
    </row>
    <row r="161" spans="1:100" x14ac:dyDescent="0.2">
      <c r="A161" s="14"/>
      <c r="B161" s="14"/>
      <c r="C161" s="14"/>
      <c r="D161" s="14"/>
      <c r="E161" s="14"/>
      <c r="F161" s="14"/>
      <c r="G161" s="14"/>
      <c r="H161" s="14"/>
      <c r="I161" s="14"/>
      <c r="J161" s="14"/>
      <c r="K161" s="14"/>
      <c r="L161" s="15"/>
      <c r="M161" s="14"/>
      <c r="N161" s="14"/>
      <c r="O161" s="14"/>
      <c r="P161" s="14"/>
      <c r="Q161" s="16"/>
      <c r="R161" s="14"/>
      <c r="Z161" s="16"/>
      <c r="AC161" s="14"/>
      <c r="AD161" s="14"/>
      <c r="AE161" s="14"/>
      <c r="AF161" s="14"/>
      <c r="AG161" s="14"/>
      <c r="AH161" s="14"/>
      <c r="AI161" s="14"/>
      <c r="AJ161" s="14"/>
      <c r="AK161" s="14"/>
      <c r="AL161" s="14"/>
      <c r="AS161" s="14"/>
      <c r="AT161" s="14"/>
      <c r="AU161" s="14"/>
      <c r="AV161" s="14"/>
      <c r="AW161" s="14"/>
      <c r="AX161" s="14"/>
      <c r="AY161" s="14"/>
      <c r="BA161" s="14"/>
      <c r="BE161" s="16"/>
      <c r="BH161" s="14"/>
      <c r="BI161" s="14"/>
      <c r="BJ161" s="14"/>
      <c r="BK161" s="14"/>
      <c r="BL161" s="14"/>
      <c r="BM161" s="14"/>
      <c r="BN161" s="14"/>
      <c r="BO161" s="14"/>
      <c r="BP161" s="14"/>
      <c r="BQ161" s="14"/>
      <c r="BX161" s="14"/>
      <c r="BY161" s="14"/>
      <c r="BZ161" s="14"/>
      <c r="CA161" s="14"/>
      <c r="CB161" s="14"/>
      <c r="CC161" s="14"/>
      <c r="CD161" s="14"/>
      <c r="CF161" s="14"/>
      <c r="CJ161" s="16"/>
      <c r="CM161" s="14"/>
      <c r="CN161" s="14"/>
      <c r="CO161" s="14"/>
      <c r="CP161" s="14"/>
      <c r="CQ161" s="14"/>
      <c r="CR161" s="14"/>
      <c r="CS161" s="14"/>
      <c r="CT161" s="14"/>
      <c r="CU161" s="14"/>
      <c r="CV161" s="14"/>
    </row>
    <row r="162" spans="1:100" x14ac:dyDescent="0.2">
      <c r="A162" s="14"/>
      <c r="B162" s="14"/>
      <c r="C162" s="14"/>
      <c r="D162" s="14"/>
      <c r="E162" s="14"/>
      <c r="F162" s="14"/>
      <c r="G162" s="14"/>
      <c r="H162" s="14"/>
      <c r="I162" s="14"/>
      <c r="J162" s="14"/>
      <c r="K162" s="14"/>
      <c r="L162" s="15"/>
      <c r="M162" s="14"/>
      <c r="N162" s="14"/>
      <c r="O162" s="14"/>
      <c r="P162" s="14"/>
      <c r="Q162" s="16"/>
      <c r="R162" s="14"/>
      <c r="Z162" s="16"/>
      <c r="AC162" s="14"/>
      <c r="AD162" s="14"/>
      <c r="AE162" s="14"/>
      <c r="AF162" s="14"/>
      <c r="AG162" s="14"/>
      <c r="AH162" s="14"/>
      <c r="AI162" s="14"/>
      <c r="AJ162" s="14"/>
      <c r="AK162" s="14"/>
      <c r="AL162" s="14"/>
      <c r="AS162" s="14"/>
      <c r="AT162" s="14"/>
      <c r="AU162" s="14"/>
      <c r="AV162" s="14"/>
      <c r="AW162" s="14"/>
      <c r="AX162" s="14"/>
      <c r="AY162" s="14"/>
      <c r="BA162" s="14"/>
      <c r="BE162" s="16"/>
      <c r="BH162" s="14"/>
      <c r="BI162" s="14"/>
      <c r="BJ162" s="14"/>
      <c r="BK162" s="14"/>
      <c r="BL162" s="14"/>
      <c r="BM162" s="14"/>
      <c r="BN162" s="14"/>
      <c r="BO162" s="14"/>
      <c r="BP162" s="14"/>
      <c r="BQ162" s="14"/>
      <c r="BX162" s="14"/>
      <c r="BY162" s="14"/>
      <c r="BZ162" s="14"/>
      <c r="CA162" s="14"/>
      <c r="CB162" s="14"/>
      <c r="CC162" s="14"/>
      <c r="CD162" s="14"/>
      <c r="CF162" s="14"/>
      <c r="CJ162" s="16"/>
      <c r="CM162" s="14"/>
      <c r="CN162" s="14"/>
      <c r="CO162" s="14"/>
      <c r="CP162" s="14"/>
      <c r="CQ162" s="14"/>
      <c r="CR162" s="14"/>
      <c r="CS162" s="14"/>
      <c r="CT162" s="14"/>
      <c r="CU162" s="14"/>
      <c r="CV162" s="14"/>
    </row>
    <row r="163" spans="1:100" x14ac:dyDescent="0.2">
      <c r="A163" s="14"/>
      <c r="B163" s="14"/>
      <c r="C163" s="14"/>
      <c r="D163" s="14"/>
      <c r="E163" s="14"/>
      <c r="F163" s="14"/>
      <c r="G163" s="14"/>
      <c r="H163" s="14"/>
      <c r="I163" s="14"/>
      <c r="J163" s="14"/>
      <c r="K163" s="14"/>
      <c r="L163" s="15"/>
      <c r="M163" s="14"/>
      <c r="N163" s="14"/>
      <c r="O163" s="14"/>
      <c r="P163" s="14"/>
      <c r="Q163" s="16"/>
      <c r="R163" s="14"/>
      <c r="Z163" s="16"/>
      <c r="AC163" s="14"/>
      <c r="AD163" s="14"/>
      <c r="AE163" s="14"/>
      <c r="AF163" s="14"/>
      <c r="AG163" s="14"/>
      <c r="AH163" s="14"/>
      <c r="AI163" s="14"/>
      <c r="AJ163" s="14"/>
      <c r="AK163" s="14"/>
      <c r="AL163" s="14"/>
      <c r="AS163" s="14"/>
      <c r="AT163" s="14"/>
      <c r="AU163" s="14"/>
      <c r="AV163" s="14"/>
      <c r="AW163" s="14"/>
      <c r="AX163" s="14"/>
      <c r="AY163" s="14"/>
      <c r="BA163" s="14"/>
      <c r="BE163" s="16"/>
      <c r="BH163" s="14"/>
      <c r="BI163" s="14"/>
      <c r="BJ163" s="14"/>
      <c r="BK163" s="14"/>
      <c r="BL163" s="14"/>
      <c r="BM163" s="14"/>
      <c r="BN163" s="14"/>
      <c r="BO163" s="14"/>
      <c r="BP163" s="14"/>
      <c r="BQ163" s="14"/>
      <c r="BX163" s="14"/>
      <c r="BY163" s="14"/>
      <c r="BZ163" s="14"/>
      <c r="CA163" s="14"/>
      <c r="CB163" s="14"/>
      <c r="CC163" s="14"/>
      <c r="CD163" s="14"/>
      <c r="CF163" s="14"/>
      <c r="CJ163" s="16"/>
      <c r="CM163" s="14"/>
      <c r="CN163" s="14"/>
      <c r="CO163" s="14"/>
      <c r="CP163" s="14"/>
      <c r="CQ163" s="14"/>
      <c r="CR163" s="14"/>
      <c r="CS163" s="14"/>
      <c r="CT163" s="14"/>
      <c r="CU163" s="14"/>
      <c r="CV163" s="14"/>
    </row>
    <row r="164" spans="1:100" x14ac:dyDescent="0.2">
      <c r="A164" s="14"/>
      <c r="B164" s="14"/>
      <c r="C164" s="14"/>
      <c r="D164" s="14"/>
      <c r="E164" s="14"/>
      <c r="F164" s="14"/>
      <c r="G164" s="14"/>
      <c r="H164" s="14"/>
      <c r="I164" s="14"/>
      <c r="J164" s="14"/>
      <c r="K164" s="14"/>
      <c r="L164" s="15"/>
      <c r="M164" s="14"/>
      <c r="N164" s="14"/>
      <c r="O164" s="14"/>
      <c r="P164" s="14"/>
      <c r="Q164" s="16"/>
      <c r="R164" s="14"/>
      <c r="Z164" s="16"/>
      <c r="AC164" s="14"/>
      <c r="AD164" s="14"/>
      <c r="AE164" s="14"/>
      <c r="AF164" s="14"/>
      <c r="AG164" s="14"/>
      <c r="AH164" s="14"/>
      <c r="AI164" s="14"/>
      <c r="AJ164" s="14"/>
      <c r="AK164" s="14"/>
      <c r="AL164" s="14"/>
      <c r="AS164" s="14"/>
      <c r="AT164" s="14"/>
      <c r="AU164" s="14"/>
      <c r="AV164" s="14"/>
      <c r="AW164" s="14"/>
      <c r="AX164" s="14"/>
      <c r="AY164" s="14"/>
      <c r="BA164" s="14"/>
      <c r="BE164" s="16"/>
      <c r="BH164" s="14"/>
      <c r="BI164" s="14"/>
      <c r="BJ164" s="14"/>
      <c r="BK164" s="14"/>
      <c r="BL164" s="14"/>
      <c r="BM164" s="14"/>
      <c r="BN164" s="14"/>
      <c r="BO164" s="14"/>
      <c r="BP164" s="14"/>
      <c r="BQ164" s="14"/>
      <c r="BX164" s="14"/>
      <c r="BY164" s="14"/>
      <c r="BZ164" s="14"/>
      <c r="CA164" s="14"/>
      <c r="CB164" s="14"/>
      <c r="CC164" s="14"/>
      <c r="CD164" s="14"/>
      <c r="CF164" s="14"/>
      <c r="CJ164" s="16"/>
      <c r="CM164" s="14"/>
      <c r="CN164" s="14"/>
      <c r="CO164" s="14"/>
      <c r="CP164" s="14"/>
      <c r="CQ164" s="14"/>
      <c r="CR164" s="14"/>
      <c r="CS164" s="14"/>
      <c r="CT164" s="14"/>
      <c r="CU164" s="14"/>
      <c r="CV164" s="14"/>
    </row>
    <row r="165" spans="1:100" x14ac:dyDescent="0.2">
      <c r="A165" s="14"/>
      <c r="B165" s="14"/>
      <c r="C165" s="14"/>
      <c r="D165" s="14"/>
      <c r="E165" s="14"/>
      <c r="F165" s="14"/>
      <c r="G165" s="14"/>
      <c r="H165" s="14"/>
      <c r="I165" s="14"/>
      <c r="J165" s="14"/>
      <c r="K165" s="14"/>
      <c r="L165" s="15"/>
      <c r="M165" s="14"/>
      <c r="N165" s="14"/>
      <c r="O165" s="14"/>
      <c r="P165" s="14"/>
      <c r="Q165" s="16"/>
      <c r="R165" s="14"/>
      <c r="Z165" s="16"/>
      <c r="AC165" s="14"/>
      <c r="AD165" s="14"/>
      <c r="AE165" s="14"/>
      <c r="AF165" s="14"/>
      <c r="AG165" s="14"/>
      <c r="AH165" s="14"/>
      <c r="AI165" s="14"/>
      <c r="AJ165" s="14"/>
      <c r="AK165" s="14"/>
      <c r="AL165" s="14"/>
      <c r="AS165" s="14"/>
      <c r="AT165" s="14"/>
      <c r="AU165" s="14"/>
      <c r="AV165" s="14"/>
      <c r="AW165" s="14"/>
      <c r="AX165" s="14"/>
      <c r="AY165" s="14"/>
      <c r="BA165" s="14"/>
      <c r="BE165" s="16"/>
      <c r="BH165" s="14"/>
      <c r="BI165" s="14"/>
      <c r="BJ165" s="14"/>
      <c r="BK165" s="14"/>
      <c r="BL165" s="14"/>
      <c r="BM165" s="14"/>
      <c r="BN165" s="14"/>
      <c r="BO165" s="14"/>
      <c r="BP165" s="14"/>
      <c r="BQ165" s="14"/>
      <c r="BX165" s="14"/>
      <c r="BY165" s="14"/>
      <c r="BZ165" s="14"/>
      <c r="CA165" s="14"/>
      <c r="CB165" s="14"/>
      <c r="CC165" s="14"/>
      <c r="CD165" s="14"/>
      <c r="CF165" s="14"/>
      <c r="CJ165" s="16"/>
      <c r="CM165" s="14"/>
      <c r="CN165" s="14"/>
      <c r="CO165" s="14"/>
      <c r="CP165" s="14"/>
      <c r="CQ165" s="14"/>
      <c r="CR165" s="14"/>
      <c r="CS165" s="14"/>
      <c r="CT165" s="14"/>
      <c r="CU165" s="14"/>
      <c r="CV165" s="14"/>
    </row>
    <row r="166" spans="1:100" x14ac:dyDescent="0.2">
      <c r="A166" s="14"/>
      <c r="B166" s="14"/>
      <c r="C166" s="14"/>
      <c r="D166" s="14"/>
      <c r="E166" s="14"/>
      <c r="F166" s="14"/>
      <c r="G166" s="14"/>
      <c r="H166" s="14"/>
      <c r="I166" s="14"/>
      <c r="J166" s="14"/>
      <c r="K166" s="14"/>
      <c r="L166" s="15"/>
      <c r="M166" s="14"/>
      <c r="N166" s="14"/>
      <c r="O166" s="14"/>
      <c r="P166" s="14"/>
      <c r="Q166" s="16"/>
      <c r="R166" s="14"/>
      <c r="Z166" s="16"/>
      <c r="AC166" s="14"/>
      <c r="AD166" s="14"/>
      <c r="AE166" s="14"/>
      <c r="AF166" s="14"/>
      <c r="AG166" s="14"/>
      <c r="AH166" s="14"/>
      <c r="AI166" s="14"/>
      <c r="AJ166" s="14"/>
      <c r="AK166" s="14"/>
      <c r="AL166" s="14"/>
      <c r="AS166" s="14"/>
      <c r="AT166" s="14"/>
      <c r="AU166" s="14"/>
      <c r="AV166" s="14"/>
      <c r="AW166" s="14"/>
      <c r="AX166" s="14"/>
      <c r="AY166" s="14"/>
      <c r="BA166" s="14"/>
      <c r="BE166" s="16"/>
      <c r="BH166" s="14"/>
      <c r="BI166" s="14"/>
      <c r="BJ166" s="14"/>
      <c r="BK166" s="14"/>
      <c r="BL166" s="14"/>
      <c r="BM166" s="14"/>
      <c r="BN166" s="14"/>
      <c r="BO166" s="14"/>
      <c r="BP166" s="14"/>
      <c r="BQ166" s="14"/>
      <c r="BX166" s="14"/>
      <c r="BY166" s="14"/>
      <c r="BZ166" s="14"/>
      <c r="CA166" s="14"/>
      <c r="CB166" s="14"/>
      <c r="CC166" s="14"/>
      <c r="CD166" s="14"/>
      <c r="CF166" s="14"/>
      <c r="CJ166" s="16"/>
      <c r="CM166" s="14"/>
      <c r="CN166" s="14"/>
      <c r="CO166" s="14"/>
      <c r="CP166" s="14"/>
      <c r="CQ166" s="14"/>
      <c r="CR166" s="14"/>
      <c r="CS166" s="14"/>
      <c r="CT166" s="14"/>
      <c r="CU166" s="14"/>
      <c r="CV166" s="14"/>
    </row>
    <row r="167" spans="1:100" x14ac:dyDescent="0.2">
      <c r="A167" s="14"/>
      <c r="B167" s="14"/>
      <c r="C167" s="14"/>
      <c r="D167" s="14"/>
      <c r="E167" s="14"/>
      <c r="F167" s="14"/>
      <c r="G167" s="14"/>
      <c r="H167" s="14"/>
      <c r="I167" s="14"/>
      <c r="J167" s="14"/>
      <c r="K167" s="14"/>
      <c r="L167" s="15"/>
      <c r="M167" s="14"/>
      <c r="N167" s="14"/>
      <c r="O167" s="14"/>
      <c r="P167" s="14"/>
      <c r="Q167" s="16"/>
      <c r="R167" s="14"/>
      <c r="Z167" s="16"/>
      <c r="AC167" s="14"/>
      <c r="AD167" s="14"/>
      <c r="AE167" s="14"/>
      <c r="AF167" s="14"/>
      <c r="AG167" s="14"/>
      <c r="AH167" s="14"/>
      <c r="AI167" s="14"/>
      <c r="AJ167" s="14"/>
      <c r="AK167" s="14"/>
      <c r="AL167" s="14"/>
      <c r="AS167" s="14"/>
      <c r="AT167" s="14"/>
      <c r="AU167" s="14"/>
      <c r="AV167" s="14"/>
      <c r="AW167" s="14"/>
      <c r="AX167" s="14"/>
      <c r="AY167" s="14"/>
      <c r="BA167" s="14"/>
      <c r="BE167" s="16"/>
      <c r="BH167" s="14"/>
      <c r="BI167" s="14"/>
      <c r="BJ167" s="14"/>
      <c r="BK167" s="14"/>
      <c r="BL167" s="14"/>
      <c r="BM167" s="14"/>
      <c r="BN167" s="14"/>
      <c r="BO167" s="14"/>
      <c r="BP167" s="14"/>
      <c r="BQ167" s="14"/>
      <c r="BX167" s="14"/>
      <c r="BY167" s="14"/>
      <c r="BZ167" s="14"/>
      <c r="CA167" s="14"/>
      <c r="CB167" s="14"/>
      <c r="CC167" s="14"/>
      <c r="CD167" s="14"/>
      <c r="CF167" s="14"/>
      <c r="CJ167" s="16"/>
      <c r="CM167" s="14"/>
      <c r="CN167" s="14"/>
      <c r="CO167" s="14"/>
      <c r="CP167" s="14"/>
      <c r="CQ167" s="14"/>
      <c r="CR167" s="14"/>
      <c r="CS167" s="14"/>
      <c r="CT167" s="14"/>
      <c r="CU167" s="14"/>
      <c r="CV167" s="14"/>
    </row>
    <row r="168" spans="1:100" x14ac:dyDescent="0.2">
      <c r="A168" s="14"/>
      <c r="B168" s="14"/>
      <c r="C168" s="14"/>
      <c r="D168" s="14"/>
      <c r="E168" s="14"/>
      <c r="F168" s="14"/>
      <c r="G168" s="14"/>
      <c r="H168" s="14"/>
      <c r="I168" s="14"/>
      <c r="J168" s="14"/>
      <c r="K168" s="14"/>
      <c r="L168" s="15"/>
      <c r="M168" s="14"/>
      <c r="N168" s="14"/>
      <c r="O168" s="14"/>
      <c r="P168" s="14"/>
      <c r="Q168" s="16"/>
      <c r="R168" s="14"/>
      <c r="Z168" s="16"/>
      <c r="AC168" s="14"/>
      <c r="AD168" s="14"/>
      <c r="AE168" s="14"/>
      <c r="AF168" s="14"/>
      <c r="AG168" s="14"/>
      <c r="AH168" s="14"/>
      <c r="AI168" s="14"/>
      <c r="AJ168" s="14"/>
      <c r="AK168" s="14"/>
      <c r="AL168" s="14"/>
      <c r="AS168" s="14"/>
      <c r="AT168" s="14"/>
      <c r="AU168" s="14"/>
      <c r="AV168" s="14"/>
      <c r="AW168" s="14"/>
      <c r="AX168" s="14"/>
      <c r="AY168" s="14"/>
      <c r="BA168" s="14"/>
      <c r="BE168" s="16"/>
      <c r="BH168" s="14"/>
      <c r="BI168" s="14"/>
      <c r="BJ168" s="14"/>
      <c r="BK168" s="14"/>
      <c r="BL168" s="14"/>
      <c r="BM168" s="14"/>
      <c r="BN168" s="14"/>
      <c r="BO168" s="14"/>
      <c r="BP168" s="14"/>
      <c r="BQ168" s="14"/>
      <c r="BX168" s="14"/>
      <c r="BY168" s="14"/>
      <c r="BZ168" s="14"/>
      <c r="CA168" s="14"/>
      <c r="CB168" s="14"/>
      <c r="CC168" s="14"/>
      <c r="CD168" s="14"/>
      <c r="CF168" s="14"/>
      <c r="CJ168" s="16"/>
      <c r="CM168" s="14"/>
      <c r="CN168" s="14"/>
      <c r="CO168" s="14"/>
      <c r="CP168" s="14"/>
      <c r="CQ168" s="14"/>
      <c r="CR168" s="14"/>
      <c r="CS168" s="14"/>
      <c r="CT168" s="14"/>
      <c r="CU168" s="14"/>
      <c r="CV168" s="14"/>
    </row>
    <row r="169" spans="1:100" x14ac:dyDescent="0.2">
      <c r="A169" s="14"/>
      <c r="B169" s="14"/>
      <c r="C169" s="14"/>
      <c r="D169" s="14"/>
      <c r="E169" s="14"/>
      <c r="F169" s="14"/>
      <c r="G169" s="14"/>
      <c r="H169" s="14"/>
      <c r="I169" s="14"/>
      <c r="J169" s="14"/>
      <c r="K169" s="14"/>
      <c r="L169" s="15"/>
      <c r="M169" s="14"/>
      <c r="N169" s="14"/>
      <c r="O169" s="14"/>
      <c r="P169" s="14"/>
      <c r="Q169" s="16"/>
      <c r="R169" s="14"/>
      <c r="Z169" s="16"/>
      <c r="AC169" s="14"/>
      <c r="AD169" s="14"/>
      <c r="AE169" s="14"/>
      <c r="AF169" s="14"/>
      <c r="AG169" s="14"/>
      <c r="AH169" s="14"/>
      <c r="AI169" s="14"/>
      <c r="AJ169" s="14"/>
      <c r="AK169" s="14"/>
      <c r="AL169" s="14"/>
      <c r="AS169" s="14"/>
      <c r="AT169" s="14"/>
      <c r="AU169" s="14"/>
      <c r="AV169" s="14"/>
      <c r="AW169" s="14"/>
      <c r="AX169" s="14"/>
      <c r="AY169" s="14"/>
      <c r="BA169" s="14"/>
      <c r="BE169" s="16"/>
      <c r="BH169" s="14"/>
      <c r="BI169" s="14"/>
      <c r="BJ169" s="14"/>
      <c r="BK169" s="14"/>
      <c r="BL169" s="14"/>
      <c r="BM169" s="14"/>
      <c r="BN169" s="14"/>
      <c r="BO169" s="14"/>
      <c r="BP169" s="14"/>
      <c r="BQ169" s="14"/>
      <c r="BX169" s="14"/>
      <c r="BY169" s="14"/>
      <c r="BZ169" s="14"/>
      <c r="CA169" s="14"/>
      <c r="CB169" s="14"/>
      <c r="CC169" s="14"/>
      <c r="CD169" s="14"/>
      <c r="CF169" s="14"/>
      <c r="CJ169" s="16"/>
      <c r="CM169" s="14"/>
      <c r="CN169" s="14"/>
      <c r="CO169" s="14"/>
      <c r="CP169" s="14"/>
      <c r="CQ169" s="14"/>
      <c r="CR169" s="14"/>
      <c r="CS169" s="14"/>
      <c r="CT169" s="14"/>
      <c r="CU169" s="14"/>
      <c r="CV169" s="14"/>
    </row>
    <row r="170" spans="1:100" x14ac:dyDescent="0.2">
      <c r="A170" s="14"/>
      <c r="B170" s="14"/>
      <c r="C170" s="14"/>
      <c r="D170" s="14"/>
      <c r="E170" s="14"/>
      <c r="F170" s="14"/>
      <c r="G170" s="14"/>
      <c r="H170" s="14"/>
      <c r="I170" s="14"/>
      <c r="J170" s="14"/>
      <c r="K170" s="14"/>
      <c r="L170" s="15"/>
      <c r="M170" s="14"/>
      <c r="N170" s="14"/>
      <c r="O170" s="14"/>
      <c r="P170" s="14"/>
      <c r="Q170" s="16"/>
      <c r="R170" s="14"/>
      <c r="Z170" s="16"/>
      <c r="AC170" s="14"/>
      <c r="AD170" s="14"/>
      <c r="AE170" s="14"/>
      <c r="AF170" s="14"/>
      <c r="AG170" s="14"/>
      <c r="AH170" s="14"/>
      <c r="AI170" s="14"/>
      <c r="AJ170" s="14"/>
      <c r="AK170" s="14"/>
      <c r="AL170" s="14"/>
      <c r="AS170" s="14"/>
      <c r="AT170" s="14"/>
      <c r="AU170" s="14"/>
      <c r="AV170" s="14"/>
      <c r="AW170" s="14"/>
      <c r="AX170" s="14"/>
      <c r="AY170" s="14"/>
      <c r="BA170" s="14"/>
      <c r="BE170" s="16"/>
      <c r="BH170" s="14"/>
      <c r="BI170" s="14"/>
      <c r="BJ170" s="14"/>
      <c r="BK170" s="14"/>
      <c r="BL170" s="14"/>
      <c r="BM170" s="14"/>
      <c r="BN170" s="14"/>
      <c r="BO170" s="14"/>
      <c r="BP170" s="14"/>
      <c r="BQ170" s="14"/>
      <c r="BX170" s="14"/>
      <c r="BY170" s="14"/>
      <c r="BZ170" s="14"/>
      <c r="CA170" s="14"/>
      <c r="CB170" s="14"/>
      <c r="CC170" s="14"/>
      <c r="CD170" s="14"/>
      <c r="CF170" s="14"/>
      <c r="CJ170" s="16"/>
      <c r="CM170" s="14"/>
      <c r="CN170" s="14"/>
      <c r="CO170" s="14"/>
      <c r="CP170" s="14"/>
      <c r="CQ170" s="14"/>
      <c r="CR170" s="14"/>
      <c r="CS170" s="14"/>
      <c r="CT170" s="14"/>
      <c r="CU170" s="14"/>
      <c r="CV170" s="14"/>
    </row>
    <row r="171" spans="1:100" x14ac:dyDescent="0.2">
      <c r="A171" s="14"/>
      <c r="B171" s="14"/>
      <c r="C171" s="14"/>
      <c r="D171" s="14"/>
      <c r="E171" s="14"/>
      <c r="F171" s="14"/>
      <c r="G171" s="14"/>
      <c r="H171" s="14"/>
      <c r="I171" s="14"/>
      <c r="J171" s="14"/>
      <c r="K171" s="14"/>
      <c r="L171" s="15"/>
      <c r="M171" s="14"/>
      <c r="N171" s="14"/>
      <c r="O171" s="14"/>
      <c r="P171" s="14"/>
      <c r="Q171" s="16"/>
      <c r="R171" s="14"/>
      <c r="Z171" s="16"/>
      <c r="AC171" s="14"/>
      <c r="AD171" s="14"/>
      <c r="AE171" s="14"/>
      <c r="AF171" s="14"/>
      <c r="AG171" s="14"/>
      <c r="AH171" s="14"/>
      <c r="AI171" s="14"/>
      <c r="AJ171" s="14"/>
      <c r="AK171" s="14"/>
      <c r="AL171" s="14"/>
      <c r="AS171" s="14"/>
      <c r="AT171" s="14"/>
      <c r="AU171" s="14"/>
      <c r="AV171" s="14"/>
      <c r="AW171" s="14"/>
      <c r="AX171" s="14"/>
      <c r="AY171" s="14"/>
      <c r="BA171" s="14"/>
      <c r="BE171" s="16"/>
      <c r="BH171" s="14"/>
      <c r="BI171" s="14"/>
      <c r="BJ171" s="14"/>
      <c r="BK171" s="14"/>
      <c r="BL171" s="14"/>
      <c r="BM171" s="14"/>
      <c r="BN171" s="14"/>
      <c r="BO171" s="14"/>
      <c r="BP171" s="14"/>
      <c r="BQ171" s="14"/>
      <c r="BX171" s="14"/>
      <c r="BY171" s="14"/>
      <c r="BZ171" s="14"/>
      <c r="CA171" s="14"/>
      <c r="CB171" s="14"/>
      <c r="CC171" s="14"/>
      <c r="CD171" s="14"/>
      <c r="CF171" s="14"/>
      <c r="CJ171" s="16"/>
      <c r="CM171" s="14"/>
      <c r="CN171" s="14"/>
      <c r="CO171" s="14"/>
      <c r="CP171" s="14"/>
      <c r="CQ171" s="14"/>
      <c r="CR171" s="14"/>
      <c r="CS171" s="14"/>
      <c r="CT171" s="14"/>
      <c r="CU171" s="14"/>
      <c r="CV171" s="14"/>
    </row>
    <row r="172" spans="1:100" x14ac:dyDescent="0.2">
      <c r="A172" s="14"/>
      <c r="B172" s="14"/>
      <c r="C172" s="14"/>
      <c r="D172" s="14"/>
      <c r="E172" s="14"/>
      <c r="F172" s="14"/>
      <c r="G172" s="14"/>
      <c r="H172" s="14"/>
      <c r="I172" s="14"/>
      <c r="J172" s="14"/>
      <c r="K172" s="14"/>
      <c r="L172" s="15"/>
      <c r="M172" s="14"/>
      <c r="N172" s="14"/>
      <c r="O172" s="14"/>
      <c r="P172" s="14"/>
      <c r="Q172" s="16"/>
      <c r="R172" s="14"/>
      <c r="Z172" s="16"/>
      <c r="AC172" s="14"/>
      <c r="AD172" s="14"/>
      <c r="AE172" s="14"/>
      <c r="AF172" s="14"/>
      <c r="AG172" s="14"/>
      <c r="AH172" s="14"/>
      <c r="AI172" s="14"/>
      <c r="AJ172" s="14"/>
      <c r="AK172" s="14"/>
      <c r="AL172" s="14"/>
      <c r="AS172" s="14"/>
      <c r="AT172" s="14"/>
      <c r="AU172" s="14"/>
      <c r="AV172" s="14"/>
      <c r="AW172" s="14"/>
      <c r="AX172" s="14"/>
      <c r="AY172" s="14"/>
      <c r="BA172" s="14"/>
      <c r="BE172" s="16"/>
      <c r="BH172" s="14"/>
      <c r="BI172" s="14"/>
      <c r="BJ172" s="14"/>
      <c r="BK172" s="14"/>
      <c r="BL172" s="14"/>
      <c r="BM172" s="14"/>
      <c r="BN172" s="14"/>
      <c r="BO172" s="14"/>
      <c r="BP172" s="14"/>
      <c r="BQ172" s="14"/>
      <c r="BX172" s="14"/>
      <c r="BY172" s="14"/>
      <c r="BZ172" s="14"/>
      <c r="CA172" s="14"/>
      <c r="CB172" s="14"/>
      <c r="CC172" s="14"/>
      <c r="CD172" s="14"/>
      <c r="CF172" s="14"/>
      <c r="CJ172" s="16"/>
      <c r="CM172" s="14"/>
      <c r="CN172" s="14"/>
      <c r="CO172" s="14"/>
      <c r="CP172" s="14"/>
      <c r="CQ172" s="14"/>
      <c r="CR172" s="14"/>
      <c r="CS172" s="14"/>
      <c r="CT172" s="14"/>
      <c r="CU172" s="14"/>
      <c r="CV172" s="14"/>
    </row>
    <row r="173" spans="1:100" x14ac:dyDescent="0.2">
      <c r="A173" s="14"/>
      <c r="B173" s="14"/>
      <c r="C173" s="14"/>
      <c r="D173" s="14"/>
      <c r="E173" s="14"/>
      <c r="F173" s="14"/>
      <c r="G173" s="14"/>
      <c r="H173" s="14"/>
      <c r="I173" s="14"/>
      <c r="J173" s="14"/>
      <c r="K173" s="14"/>
      <c r="L173" s="15"/>
      <c r="M173" s="14"/>
      <c r="N173" s="14"/>
      <c r="O173" s="14"/>
      <c r="P173" s="14"/>
      <c r="Q173" s="16"/>
      <c r="R173" s="14"/>
      <c r="Z173" s="16"/>
      <c r="AC173" s="14"/>
      <c r="AD173" s="14"/>
      <c r="AE173" s="14"/>
      <c r="AF173" s="14"/>
      <c r="AG173" s="14"/>
      <c r="AH173" s="14"/>
      <c r="AI173" s="14"/>
      <c r="AJ173" s="14"/>
      <c r="AK173" s="14"/>
      <c r="AL173" s="14"/>
      <c r="AS173" s="14"/>
      <c r="AT173" s="14"/>
      <c r="AU173" s="14"/>
      <c r="AV173" s="14"/>
      <c r="AW173" s="14"/>
      <c r="AX173" s="14"/>
      <c r="AY173" s="14"/>
      <c r="BA173" s="14"/>
      <c r="BE173" s="16"/>
      <c r="BH173" s="14"/>
      <c r="BI173" s="14"/>
      <c r="BJ173" s="14"/>
      <c r="BK173" s="14"/>
      <c r="BL173" s="14"/>
      <c r="BM173" s="14"/>
      <c r="BN173" s="14"/>
      <c r="BO173" s="14"/>
      <c r="BP173" s="14"/>
      <c r="BQ173" s="14"/>
      <c r="BX173" s="14"/>
      <c r="BY173" s="14"/>
      <c r="BZ173" s="14"/>
      <c r="CA173" s="14"/>
      <c r="CB173" s="14"/>
      <c r="CC173" s="14"/>
      <c r="CD173" s="14"/>
      <c r="CF173" s="14"/>
      <c r="CJ173" s="16"/>
      <c r="CM173" s="14"/>
      <c r="CN173" s="14"/>
      <c r="CO173" s="14"/>
      <c r="CP173" s="14"/>
      <c r="CQ173" s="14"/>
      <c r="CR173" s="14"/>
      <c r="CS173" s="14"/>
      <c r="CT173" s="14"/>
      <c r="CU173" s="14"/>
      <c r="CV173" s="14"/>
    </row>
    <row r="174" spans="1:100" x14ac:dyDescent="0.2">
      <c r="A174" s="14"/>
      <c r="B174" s="14"/>
      <c r="C174" s="14"/>
      <c r="D174" s="14"/>
      <c r="E174" s="14"/>
      <c r="F174" s="14"/>
      <c r="G174" s="14"/>
      <c r="H174" s="14"/>
      <c r="I174" s="14"/>
      <c r="J174" s="14"/>
      <c r="K174" s="14"/>
      <c r="L174" s="15"/>
      <c r="M174" s="14"/>
      <c r="N174" s="14"/>
      <c r="O174" s="14"/>
      <c r="P174" s="14"/>
      <c r="Q174" s="16"/>
      <c r="R174" s="14"/>
      <c r="Z174" s="16"/>
      <c r="AC174" s="14"/>
      <c r="AD174" s="14"/>
      <c r="AE174" s="14"/>
      <c r="AF174" s="14"/>
      <c r="AG174" s="14"/>
      <c r="AH174" s="14"/>
      <c r="AI174" s="14"/>
      <c r="AJ174" s="14"/>
      <c r="AK174" s="14"/>
      <c r="AL174" s="14"/>
      <c r="AS174" s="14"/>
      <c r="AT174" s="14"/>
      <c r="AU174" s="14"/>
      <c r="AV174" s="14"/>
      <c r="AW174" s="14"/>
      <c r="AX174" s="14"/>
      <c r="AY174" s="14"/>
      <c r="BA174" s="14"/>
      <c r="BE174" s="16"/>
      <c r="BH174" s="14"/>
      <c r="BI174" s="14"/>
      <c r="BJ174" s="14"/>
      <c r="BK174" s="14"/>
      <c r="BL174" s="14"/>
      <c r="BM174" s="14"/>
      <c r="BN174" s="14"/>
      <c r="BO174" s="14"/>
      <c r="BP174" s="14"/>
      <c r="BQ174" s="14"/>
      <c r="BX174" s="14"/>
      <c r="BY174" s="14"/>
      <c r="BZ174" s="14"/>
      <c r="CA174" s="14"/>
      <c r="CB174" s="14"/>
      <c r="CC174" s="14"/>
      <c r="CD174" s="14"/>
      <c r="CF174" s="14"/>
      <c r="CJ174" s="16"/>
      <c r="CM174" s="14"/>
      <c r="CN174" s="14"/>
      <c r="CO174" s="14"/>
      <c r="CP174" s="14"/>
      <c r="CQ174" s="14"/>
      <c r="CR174" s="14"/>
      <c r="CS174" s="14"/>
      <c r="CT174" s="14"/>
      <c r="CU174" s="14"/>
      <c r="CV174" s="14"/>
    </row>
    <row r="175" spans="1:100" x14ac:dyDescent="0.2">
      <c r="A175" s="14"/>
      <c r="B175" s="14"/>
      <c r="C175" s="14"/>
      <c r="D175" s="14"/>
      <c r="E175" s="14"/>
      <c r="F175" s="14"/>
      <c r="G175" s="14"/>
      <c r="H175" s="14"/>
      <c r="I175" s="14"/>
      <c r="J175" s="14"/>
      <c r="K175" s="14"/>
      <c r="L175" s="15"/>
      <c r="M175" s="14"/>
      <c r="N175" s="14"/>
      <c r="O175" s="14"/>
      <c r="P175" s="14"/>
      <c r="Q175" s="16"/>
      <c r="R175" s="14"/>
      <c r="Z175" s="16"/>
      <c r="AC175" s="14"/>
      <c r="AD175" s="14"/>
      <c r="AE175" s="14"/>
      <c r="AF175" s="14"/>
      <c r="AG175" s="14"/>
      <c r="AH175" s="14"/>
      <c r="AI175" s="14"/>
      <c r="AJ175" s="14"/>
      <c r="AK175" s="14"/>
      <c r="AL175" s="14"/>
      <c r="AS175" s="14"/>
      <c r="AT175" s="14"/>
      <c r="AU175" s="14"/>
      <c r="AV175" s="14"/>
      <c r="AW175" s="14"/>
      <c r="AX175" s="14"/>
      <c r="AY175" s="14"/>
      <c r="BA175" s="14"/>
      <c r="BE175" s="16"/>
      <c r="BH175" s="14"/>
      <c r="BI175" s="14"/>
      <c r="BJ175" s="14"/>
      <c r="BK175" s="14"/>
      <c r="BL175" s="14"/>
      <c r="BM175" s="14"/>
      <c r="BN175" s="14"/>
      <c r="BO175" s="14"/>
      <c r="BP175" s="14"/>
      <c r="BQ175" s="14"/>
      <c r="BX175" s="14"/>
      <c r="BY175" s="14"/>
      <c r="BZ175" s="14"/>
      <c r="CA175" s="14"/>
      <c r="CB175" s="14"/>
      <c r="CC175" s="14"/>
      <c r="CD175" s="14"/>
      <c r="CF175" s="14"/>
      <c r="CJ175" s="16"/>
      <c r="CM175" s="14"/>
      <c r="CN175" s="14"/>
      <c r="CO175" s="14"/>
      <c r="CP175" s="14"/>
      <c r="CQ175" s="14"/>
      <c r="CR175" s="14"/>
      <c r="CS175" s="14"/>
      <c r="CT175" s="14"/>
      <c r="CU175" s="14"/>
      <c r="CV175" s="14"/>
    </row>
    <row r="176" spans="1:100" x14ac:dyDescent="0.2">
      <c r="A176" s="14"/>
      <c r="B176" s="14"/>
      <c r="C176" s="14"/>
      <c r="D176" s="14"/>
      <c r="E176" s="14"/>
      <c r="F176" s="14"/>
      <c r="G176" s="14"/>
      <c r="H176" s="14"/>
      <c r="I176" s="14"/>
      <c r="J176" s="14"/>
      <c r="K176" s="14"/>
      <c r="L176" s="15"/>
      <c r="M176" s="14"/>
      <c r="N176" s="14"/>
      <c r="O176" s="14"/>
      <c r="P176" s="14"/>
      <c r="Q176" s="16"/>
      <c r="R176" s="14"/>
      <c r="Z176" s="16"/>
      <c r="AC176" s="14"/>
      <c r="AD176" s="14"/>
      <c r="AE176" s="14"/>
      <c r="AF176" s="14"/>
      <c r="AG176" s="14"/>
      <c r="AH176" s="14"/>
      <c r="AI176" s="14"/>
      <c r="AJ176" s="14"/>
      <c r="AK176" s="14"/>
      <c r="AL176" s="14"/>
      <c r="AS176" s="14"/>
      <c r="AT176" s="14"/>
      <c r="AU176" s="14"/>
      <c r="AV176" s="14"/>
      <c r="AW176" s="14"/>
      <c r="AX176" s="14"/>
      <c r="AY176" s="14"/>
      <c r="BA176" s="14"/>
      <c r="BE176" s="16"/>
      <c r="BH176" s="14"/>
      <c r="BI176" s="14"/>
      <c r="BJ176" s="14"/>
      <c r="BK176" s="14"/>
      <c r="BL176" s="14"/>
      <c r="BM176" s="14"/>
      <c r="BN176" s="14"/>
      <c r="BO176" s="14"/>
      <c r="BP176" s="14"/>
      <c r="BQ176" s="14"/>
      <c r="BX176" s="14"/>
      <c r="BY176" s="14"/>
      <c r="BZ176" s="14"/>
      <c r="CA176" s="14"/>
      <c r="CB176" s="14"/>
      <c r="CC176" s="14"/>
      <c r="CD176" s="14"/>
      <c r="CF176" s="14"/>
      <c r="CJ176" s="16"/>
      <c r="CM176" s="14"/>
      <c r="CN176" s="14"/>
      <c r="CO176" s="14"/>
      <c r="CP176" s="14"/>
      <c r="CQ176" s="14"/>
      <c r="CR176" s="14"/>
      <c r="CS176" s="14"/>
      <c r="CT176" s="14"/>
      <c r="CU176" s="14"/>
      <c r="CV176" s="14"/>
    </row>
    <row r="177" spans="1:100" x14ac:dyDescent="0.2">
      <c r="A177" s="14"/>
      <c r="B177" s="14"/>
      <c r="C177" s="14"/>
      <c r="D177" s="14"/>
      <c r="E177" s="14"/>
      <c r="F177" s="14"/>
      <c r="G177" s="14"/>
      <c r="H177" s="14"/>
      <c r="I177" s="14"/>
      <c r="J177" s="14"/>
      <c r="K177" s="14"/>
      <c r="L177" s="15"/>
      <c r="M177" s="14"/>
      <c r="N177" s="14"/>
      <c r="O177" s="14"/>
      <c r="P177" s="14"/>
      <c r="Q177" s="16"/>
      <c r="R177" s="14"/>
      <c r="Z177" s="16"/>
      <c r="AC177" s="14"/>
      <c r="AD177" s="14"/>
      <c r="AE177" s="14"/>
      <c r="AF177" s="14"/>
      <c r="AG177" s="14"/>
      <c r="AH177" s="14"/>
      <c r="AI177" s="14"/>
      <c r="AJ177" s="14"/>
      <c r="AK177" s="14"/>
      <c r="AL177" s="14"/>
      <c r="AS177" s="14"/>
      <c r="AT177" s="14"/>
      <c r="AU177" s="14"/>
      <c r="AV177" s="14"/>
      <c r="AW177" s="14"/>
      <c r="AX177" s="14"/>
      <c r="AY177" s="14"/>
      <c r="BA177" s="14"/>
      <c r="BE177" s="16"/>
      <c r="BH177" s="14"/>
      <c r="BI177" s="14"/>
      <c r="BJ177" s="14"/>
      <c r="BK177" s="14"/>
      <c r="BL177" s="14"/>
      <c r="BM177" s="14"/>
      <c r="BN177" s="14"/>
      <c r="BO177" s="14"/>
      <c r="BP177" s="14"/>
      <c r="BQ177" s="14"/>
      <c r="BX177" s="14"/>
      <c r="BY177" s="14"/>
      <c r="BZ177" s="14"/>
      <c r="CA177" s="14"/>
      <c r="CB177" s="14"/>
      <c r="CC177" s="14"/>
      <c r="CD177" s="14"/>
      <c r="CF177" s="14"/>
      <c r="CJ177" s="16"/>
      <c r="CM177" s="14"/>
      <c r="CN177" s="14"/>
      <c r="CO177" s="14"/>
      <c r="CP177" s="14"/>
      <c r="CQ177" s="14"/>
      <c r="CR177" s="14"/>
      <c r="CS177" s="14"/>
      <c r="CT177" s="14"/>
      <c r="CU177" s="14"/>
      <c r="CV177" s="14"/>
    </row>
    <row r="178" spans="1:100" x14ac:dyDescent="0.2">
      <c r="A178" s="14"/>
      <c r="B178" s="14"/>
      <c r="C178" s="14"/>
      <c r="D178" s="14"/>
      <c r="E178" s="14"/>
      <c r="F178" s="14"/>
      <c r="G178" s="14"/>
      <c r="H178" s="14"/>
      <c r="I178" s="14"/>
      <c r="J178" s="14"/>
      <c r="K178" s="14"/>
      <c r="L178" s="15"/>
      <c r="M178" s="14"/>
      <c r="N178" s="14"/>
      <c r="O178" s="14"/>
      <c r="P178" s="14"/>
      <c r="Q178" s="16"/>
      <c r="R178" s="14"/>
      <c r="Z178" s="16"/>
      <c r="AC178" s="14"/>
      <c r="AD178" s="14"/>
      <c r="AE178" s="14"/>
      <c r="AF178" s="14"/>
      <c r="AG178" s="14"/>
      <c r="AH178" s="14"/>
      <c r="AI178" s="14"/>
      <c r="AJ178" s="14"/>
      <c r="AK178" s="14"/>
      <c r="AL178" s="14"/>
      <c r="AS178" s="14"/>
      <c r="AT178" s="14"/>
      <c r="AU178" s="14"/>
      <c r="AV178" s="14"/>
      <c r="AW178" s="14"/>
      <c r="AX178" s="14"/>
      <c r="AY178" s="14"/>
      <c r="BA178" s="14"/>
      <c r="BE178" s="16"/>
      <c r="BH178" s="14"/>
      <c r="BI178" s="14"/>
      <c r="BJ178" s="14"/>
      <c r="BK178" s="14"/>
      <c r="BL178" s="14"/>
      <c r="BM178" s="14"/>
      <c r="BN178" s="14"/>
      <c r="BO178" s="14"/>
      <c r="BP178" s="14"/>
      <c r="BQ178" s="14"/>
      <c r="BX178" s="14"/>
      <c r="BY178" s="14"/>
      <c r="BZ178" s="14"/>
      <c r="CA178" s="14"/>
      <c r="CB178" s="14"/>
      <c r="CC178" s="14"/>
      <c r="CD178" s="14"/>
      <c r="CF178" s="14"/>
      <c r="CJ178" s="16"/>
      <c r="CM178" s="14"/>
      <c r="CN178" s="14"/>
      <c r="CO178" s="14"/>
      <c r="CP178" s="14"/>
      <c r="CQ178" s="14"/>
      <c r="CR178" s="14"/>
      <c r="CS178" s="14"/>
      <c r="CT178" s="14"/>
      <c r="CU178" s="14"/>
      <c r="CV178" s="14"/>
    </row>
    <row r="179" spans="1:100" x14ac:dyDescent="0.2">
      <c r="A179" s="14"/>
      <c r="B179" s="14"/>
      <c r="C179" s="14"/>
      <c r="D179" s="14"/>
      <c r="E179" s="14"/>
      <c r="F179" s="14"/>
      <c r="G179" s="14"/>
      <c r="H179" s="14"/>
      <c r="I179" s="14"/>
      <c r="J179" s="14"/>
      <c r="K179" s="14"/>
      <c r="L179" s="15"/>
      <c r="M179" s="14"/>
      <c r="N179" s="14"/>
      <c r="O179" s="14"/>
      <c r="P179" s="14"/>
      <c r="Q179" s="16"/>
      <c r="R179" s="14"/>
      <c r="Z179" s="16"/>
      <c r="AC179" s="14"/>
      <c r="AD179" s="14"/>
      <c r="AE179" s="14"/>
      <c r="AF179" s="14"/>
      <c r="AG179" s="14"/>
      <c r="AH179" s="14"/>
      <c r="AI179" s="14"/>
      <c r="AJ179" s="14"/>
      <c r="AK179" s="14"/>
      <c r="AL179" s="14"/>
      <c r="AS179" s="14"/>
      <c r="AT179" s="14"/>
      <c r="AU179" s="14"/>
      <c r="AV179" s="14"/>
      <c r="AW179" s="14"/>
      <c r="AX179" s="14"/>
      <c r="AY179" s="14"/>
      <c r="BA179" s="14"/>
      <c r="BE179" s="16"/>
      <c r="BH179" s="14"/>
      <c r="BI179" s="14"/>
      <c r="BJ179" s="14"/>
      <c r="BK179" s="14"/>
      <c r="BL179" s="14"/>
      <c r="BM179" s="14"/>
      <c r="BN179" s="14"/>
      <c r="BO179" s="14"/>
      <c r="BP179" s="14"/>
      <c r="BQ179" s="14"/>
      <c r="BX179" s="14"/>
      <c r="BY179" s="14"/>
      <c r="BZ179" s="14"/>
      <c r="CA179" s="14"/>
      <c r="CB179" s="14"/>
      <c r="CC179" s="14"/>
      <c r="CD179" s="14"/>
      <c r="CF179" s="14"/>
      <c r="CJ179" s="16"/>
      <c r="CM179" s="14"/>
      <c r="CN179" s="14"/>
      <c r="CO179" s="14"/>
      <c r="CP179" s="14"/>
      <c r="CQ179" s="14"/>
      <c r="CR179" s="14"/>
      <c r="CS179" s="14"/>
      <c r="CT179" s="14"/>
      <c r="CU179" s="14"/>
      <c r="CV179" s="14"/>
    </row>
    <row r="180" spans="1:100" x14ac:dyDescent="0.2">
      <c r="A180" s="14"/>
      <c r="B180" s="14"/>
      <c r="C180" s="14"/>
      <c r="D180" s="14"/>
      <c r="E180" s="14"/>
      <c r="F180" s="14"/>
      <c r="G180" s="14"/>
      <c r="H180" s="14"/>
      <c r="I180" s="14"/>
      <c r="J180" s="14"/>
      <c r="K180" s="14"/>
      <c r="L180" s="15"/>
      <c r="M180" s="14"/>
      <c r="N180" s="14"/>
      <c r="O180" s="14"/>
      <c r="P180" s="14"/>
      <c r="Q180" s="16"/>
      <c r="R180" s="14"/>
      <c r="Z180" s="16"/>
      <c r="AC180" s="14"/>
      <c r="AD180" s="14"/>
      <c r="AE180" s="14"/>
      <c r="AF180" s="14"/>
      <c r="AG180" s="14"/>
      <c r="AH180" s="14"/>
      <c r="AI180" s="14"/>
      <c r="AJ180" s="14"/>
      <c r="AK180" s="14"/>
      <c r="AL180" s="14"/>
      <c r="AS180" s="14"/>
      <c r="AT180" s="14"/>
      <c r="AU180" s="14"/>
      <c r="AV180" s="14"/>
      <c r="AW180" s="14"/>
      <c r="AX180" s="14"/>
      <c r="AY180" s="14"/>
      <c r="BA180" s="14"/>
      <c r="BE180" s="16"/>
      <c r="BH180" s="14"/>
      <c r="BI180" s="14"/>
      <c r="BJ180" s="14"/>
      <c r="BK180" s="14"/>
      <c r="BL180" s="14"/>
      <c r="BM180" s="14"/>
      <c r="BN180" s="14"/>
      <c r="BO180" s="14"/>
      <c r="BP180" s="14"/>
      <c r="BQ180" s="14"/>
      <c r="BX180" s="14"/>
      <c r="BY180" s="14"/>
      <c r="BZ180" s="14"/>
      <c r="CA180" s="14"/>
      <c r="CB180" s="14"/>
      <c r="CC180" s="14"/>
      <c r="CD180" s="14"/>
      <c r="CF180" s="14"/>
      <c r="CJ180" s="16"/>
      <c r="CM180" s="14"/>
      <c r="CN180" s="14"/>
      <c r="CO180" s="14"/>
      <c r="CP180" s="14"/>
      <c r="CQ180" s="14"/>
      <c r="CR180" s="14"/>
      <c r="CS180" s="14"/>
      <c r="CT180" s="14"/>
      <c r="CU180" s="14"/>
      <c r="CV180" s="14"/>
    </row>
    <row r="181" spans="1:100" x14ac:dyDescent="0.2">
      <c r="A181" s="14"/>
      <c r="B181" s="14"/>
      <c r="C181" s="14"/>
      <c r="D181" s="14"/>
      <c r="E181" s="14"/>
      <c r="F181" s="14"/>
      <c r="G181" s="14"/>
      <c r="H181" s="14"/>
      <c r="I181" s="14"/>
      <c r="J181" s="14"/>
      <c r="K181" s="14"/>
      <c r="L181" s="15"/>
      <c r="M181" s="14"/>
      <c r="N181" s="14"/>
      <c r="O181" s="14"/>
      <c r="P181" s="14"/>
      <c r="Q181" s="16"/>
      <c r="R181" s="14"/>
      <c r="Z181" s="16"/>
      <c r="AC181" s="14"/>
      <c r="AD181" s="14"/>
      <c r="AE181" s="14"/>
      <c r="AF181" s="14"/>
      <c r="AG181" s="14"/>
      <c r="AH181" s="14"/>
      <c r="AI181" s="14"/>
      <c r="AJ181" s="14"/>
      <c r="AK181" s="14"/>
      <c r="AL181" s="14"/>
      <c r="AS181" s="14"/>
      <c r="AT181" s="14"/>
      <c r="AU181" s="14"/>
      <c r="AV181" s="14"/>
      <c r="AW181" s="14"/>
      <c r="AX181" s="14"/>
      <c r="AY181" s="14"/>
      <c r="BA181" s="14"/>
      <c r="BE181" s="16"/>
      <c r="BH181" s="14"/>
      <c r="BI181" s="14"/>
      <c r="BJ181" s="14"/>
      <c r="BK181" s="14"/>
      <c r="BL181" s="14"/>
      <c r="BM181" s="14"/>
      <c r="BN181" s="14"/>
      <c r="BO181" s="14"/>
      <c r="BP181" s="14"/>
      <c r="BQ181" s="14"/>
      <c r="BX181" s="14"/>
      <c r="BY181" s="14"/>
      <c r="BZ181" s="14"/>
      <c r="CA181" s="14"/>
      <c r="CB181" s="14"/>
      <c r="CC181" s="14"/>
      <c r="CD181" s="14"/>
      <c r="CF181" s="14"/>
      <c r="CJ181" s="16"/>
      <c r="CM181" s="14"/>
      <c r="CN181" s="14"/>
      <c r="CO181" s="14"/>
      <c r="CP181" s="14"/>
      <c r="CQ181" s="14"/>
      <c r="CR181" s="14"/>
      <c r="CS181" s="14"/>
      <c r="CT181" s="14"/>
      <c r="CU181" s="14"/>
      <c r="CV181" s="14"/>
    </row>
    <row r="182" spans="1:100" x14ac:dyDescent="0.2">
      <c r="A182" s="14"/>
      <c r="B182" s="14"/>
      <c r="C182" s="14"/>
      <c r="D182" s="14"/>
      <c r="E182" s="14"/>
      <c r="F182" s="14"/>
      <c r="G182" s="14"/>
      <c r="H182" s="14"/>
      <c r="I182" s="14"/>
      <c r="J182" s="14"/>
      <c r="K182" s="14"/>
      <c r="L182" s="15"/>
      <c r="M182" s="14"/>
      <c r="N182" s="14"/>
      <c r="O182" s="14"/>
      <c r="P182" s="14"/>
      <c r="Q182" s="16"/>
      <c r="R182" s="14"/>
      <c r="Z182" s="16"/>
      <c r="AC182" s="14"/>
      <c r="AD182" s="14"/>
      <c r="AE182" s="14"/>
      <c r="AF182" s="14"/>
      <c r="AG182" s="14"/>
      <c r="AH182" s="14"/>
      <c r="AI182" s="14"/>
      <c r="AJ182" s="14"/>
      <c r="AK182" s="14"/>
      <c r="AL182" s="14"/>
      <c r="AS182" s="14"/>
      <c r="AT182" s="14"/>
      <c r="AU182" s="14"/>
      <c r="AV182" s="14"/>
      <c r="AW182" s="14"/>
      <c r="AX182" s="14"/>
      <c r="AY182" s="14"/>
      <c r="BA182" s="14"/>
      <c r="BE182" s="16"/>
      <c r="BH182" s="14"/>
      <c r="BI182" s="14"/>
      <c r="BJ182" s="14"/>
      <c r="BK182" s="14"/>
      <c r="BL182" s="14"/>
      <c r="BM182" s="14"/>
      <c r="BN182" s="14"/>
      <c r="BO182" s="14"/>
      <c r="BP182" s="14"/>
      <c r="BQ182" s="14"/>
      <c r="BX182" s="14"/>
      <c r="BY182" s="14"/>
      <c r="BZ182" s="14"/>
      <c r="CA182" s="14"/>
      <c r="CB182" s="14"/>
      <c r="CC182" s="14"/>
      <c r="CD182" s="14"/>
      <c r="CF182" s="14"/>
      <c r="CJ182" s="16"/>
      <c r="CM182" s="14"/>
      <c r="CN182" s="14"/>
      <c r="CO182" s="14"/>
      <c r="CP182" s="14"/>
      <c r="CQ182" s="14"/>
      <c r="CR182" s="14"/>
      <c r="CS182" s="14"/>
      <c r="CT182" s="14"/>
      <c r="CU182" s="14"/>
      <c r="CV182" s="14"/>
    </row>
    <row r="183" spans="1:100" x14ac:dyDescent="0.2">
      <c r="A183" s="14"/>
      <c r="B183" s="14"/>
      <c r="C183" s="14"/>
      <c r="D183" s="14"/>
      <c r="E183" s="14"/>
      <c r="F183" s="14"/>
      <c r="G183" s="14"/>
      <c r="H183" s="14"/>
      <c r="I183" s="14"/>
      <c r="J183" s="14"/>
      <c r="K183" s="14"/>
      <c r="L183" s="15"/>
      <c r="M183" s="14"/>
      <c r="N183" s="14"/>
      <c r="O183" s="14"/>
      <c r="P183" s="14"/>
      <c r="Q183" s="16"/>
      <c r="R183" s="14"/>
      <c r="Z183" s="16"/>
      <c r="AC183" s="14"/>
      <c r="AD183" s="14"/>
      <c r="AE183" s="14"/>
      <c r="AF183" s="14"/>
      <c r="AG183" s="14"/>
      <c r="AH183" s="14"/>
      <c r="AI183" s="14"/>
      <c r="AJ183" s="14"/>
      <c r="AK183" s="14"/>
      <c r="AL183" s="14"/>
      <c r="AS183" s="14"/>
      <c r="AT183" s="14"/>
      <c r="AU183" s="14"/>
      <c r="AV183" s="14"/>
      <c r="AW183" s="14"/>
      <c r="AX183" s="14"/>
      <c r="AY183" s="14"/>
      <c r="BA183" s="14"/>
      <c r="BE183" s="16"/>
      <c r="BH183" s="14"/>
      <c r="BI183" s="14"/>
      <c r="BJ183" s="14"/>
      <c r="BK183" s="14"/>
      <c r="BL183" s="14"/>
      <c r="BM183" s="14"/>
      <c r="BN183" s="14"/>
      <c r="BO183" s="14"/>
      <c r="BP183" s="14"/>
      <c r="BQ183" s="14"/>
      <c r="BX183" s="14"/>
      <c r="BY183" s="14"/>
      <c r="BZ183" s="14"/>
      <c r="CA183" s="14"/>
      <c r="CB183" s="14"/>
      <c r="CC183" s="14"/>
      <c r="CD183" s="14"/>
      <c r="CF183" s="14"/>
      <c r="CJ183" s="16"/>
      <c r="CM183" s="14"/>
      <c r="CN183" s="14"/>
      <c r="CO183" s="14"/>
      <c r="CP183" s="14"/>
      <c r="CQ183" s="14"/>
      <c r="CR183" s="14"/>
      <c r="CS183" s="14"/>
      <c r="CT183" s="14"/>
      <c r="CU183" s="14"/>
      <c r="CV183" s="14"/>
    </row>
    <row r="184" spans="1:100" x14ac:dyDescent="0.2">
      <c r="A184" s="14"/>
      <c r="B184" s="14"/>
      <c r="C184" s="14"/>
      <c r="D184" s="14"/>
      <c r="E184" s="14"/>
      <c r="F184" s="14"/>
      <c r="G184" s="14"/>
      <c r="H184" s="14"/>
      <c r="I184" s="14"/>
      <c r="J184" s="14"/>
      <c r="K184" s="14"/>
      <c r="L184" s="15"/>
      <c r="M184" s="14"/>
      <c r="N184" s="14"/>
      <c r="O184" s="14"/>
      <c r="P184" s="14"/>
      <c r="Q184" s="16"/>
      <c r="R184" s="14"/>
      <c r="Z184" s="16"/>
      <c r="AC184" s="14"/>
      <c r="AD184" s="14"/>
      <c r="AE184" s="14"/>
      <c r="AF184" s="14"/>
      <c r="AG184" s="14"/>
      <c r="AH184" s="14"/>
      <c r="AI184" s="14"/>
      <c r="AJ184" s="14"/>
      <c r="AK184" s="14"/>
      <c r="AL184" s="14"/>
      <c r="AS184" s="14"/>
      <c r="AT184" s="14"/>
      <c r="AU184" s="14"/>
      <c r="AV184" s="14"/>
      <c r="AW184" s="14"/>
      <c r="AX184" s="14"/>
      <c r="AY184" s="14"/>
      <c r="BA184" s="14"/>
      <c r="BE184" s="16"/>
      <c r="BH184" s="14"/>
      <c r="BI184" s="14"/>
      <c r="BJ184" s="14"/>
      <c r="BK184" s="14"/>
      <c r="BL184" s="14"/>
      <c r="BM184" s="14"/>
      <c r="BN184" s="14"/>
      <c r="BO184" s="14"/>
      <c r="BP184" s="14"/>
      <c r="BQ184" s="14"/>
      <c r="BX184" s="14"/>
      <c r="BY184" s="14"/>
      <c r="BZ184" s="14"/>
      <c r="CA184" s="14"/>
      <c r="CB184" s="14"/>
      <c r="CC184" s="14"/>
      <c r="CD184" s="14"/>
      <c r="CF184" s="14"/>
      <c r="CJ184" s="16"/>
      <c r="CM184" s="14"/>
      <c r="CN184" s="14"/>
      <c r="CO184" s="14"/>
      <c r="CP184" s="14"/>
      <c r="CQ184" s="14"/>
      <c r="CR184" s="14"/>
      <c r="CS184" s="14"/>
      <c r="CT184" s="14"/>
      <c r="CU184" s="14"/>
      <c r="CV184" s="14"/>
    </row>
    <row r="185" spans="1:100" x14ac:dyDescent="0.2">
      <c r="A185" s="14"/>
      <c r="B185" s="14"/>
      <c r="C185" s="14"/>
      <c r="D185" s="14"/>
      <c r="E185" s="14"/>
      <c r="F185" s="14"/>
      <c r="G185" s="14"/>
      <c r="H185" s="14"/>
      <c r="I185" s="14"/>
      <c r="J185" s="14"/>
      <c r="K185" s="14"/>
      <c r="L185" s="15"/>
      <c r="M185" s="14"/>
      <c r="N185" s="14"/>
      <c r="O185" s="14"/>
      <c r="P185" s="14"/>
      <c r="Q185" s="16"/>
      <c r="R185" s="14"/>
      <c r="Z185" s="16"/>
      <c r="AC185" s="14"/>
      <c r="AD185" s="14"/>
      <c r="AE185" s="14"/>
      <c r="AF185" s="14"/>
      <c r="AG185" s="14"/>
      <c r="AH185" s="14"/>
      <c r="AI185" s="14"/>
      <c r="AJ185" s="14"/>
      <c r="AK185" s="14"/>
      <c r="AL185" s="14"/>
      <c r="AS185" s="14"/>
      <c r="AT185" s="14"/>
      <c r="AU185" s="14"/>
      <c r="AV185" s="14"/>
      <c r="AW185" s="14"/>
      <c r="AX185" s="14"/>
      <c r="AY185" s="14"/>
      <c r="BA185" s="14"/>
      <c r="BE185" s="16"/>
      <c r="BH185" s="14"/>
      <c r="BI185" s="14"/>
      <c r="BJ185" s="14"/>
      <c r="BK185" s="14"/>
      <c r="BL185" s="14"/>
      <c r="BM185" s="14"/>
      <c r="BN185" s="14"/>
      <c r="BO185" s="14"/>
      <c r="BP185" s="14"/>
      <c r="BQ185" s="14"/>
      <c r="BX185" s="14"/>
      <c r="BY185" s="14"/>
      <c r="BZ185" s="14"/>
      <c r="CA185" s="14"/>
      <c r="CB185" s="14"/>
      <c r="CC185" s="14"/>
      <c r="CD185" s="14"/>
      <c r="CF185" s="14"/>
      <c r="CJ185" s="16"/>
      <c r="CM185" s="14"/>
      <c r="CN185" s="14"/>
      <c r="CO185" s="14"/>
      <c r="CP185" s="14"/>
      <c r="CQ185" s="14"/>
      <c r="CR185" s="14"/>
      <c r="CS185" s="14"/>
      <c r="CT185" s="14"/>
      <c r="CU185" s="14"/>
      <c r="CV185" s="14"/>
    </row>
    <row r="186" spans="1:100" x14ac:dyDescent="0.2">
      <c r="A186" s="14"/>
      <c r="B186" s="14"/>
      <c r="C186" s="14"/>
      <c r="D186" s="14"/>
      <c r="E186" s="14"/>
      <c r="F186" s="14"/>
      <c r="G186" s="14"/>
      <c r="H186" s="14"/>
      <c r="I186" s="14"/>
      <c r="J186" s="14"/>
      <c r="K186" s="14"/>
      <c r="L186" s="15"/>
      <c r="M186" s="14"/>
      <c r="N186" s="14"/>
      <c r="O186" s="14"/>
      <c r="P186" s="14"/>
      <c r="Q186" s="16"/>
      <c r="R186" s="14"/>
      <c r="Z186" s="16"/>
      <c r="AC186" s="14"/>
      <c r="AD186" s="14"/>
      <c r="AE186" s="14"/>
      <c r="AF186" s="14"/>
      <c r="AG186" s="14"/>
      <c r="AH186" s="14"/>
      <c r="AI186" s="14"/>
      <c r="AJ186" s="14"/>
      <c r="AK186" s="14"/>
      <c r="AL186" s="14"/>
      <c r="AS186" s="14"/>
      <c r="AT186" s="14"/>
      <c r="AU186" s="14"/>
      <c r="AV186" s="14"/>
      <c r="AW186" s="14"/>
      <c r="AX186" s="14"/>
      <c r="AY186" s="14"/>
      <c r="BA186" s="14"/>
      <c r="BE186" s="16"/>
      <c r="BH186" s="14"/>
      <c r="BI186" s="14"/>
      <c r="BJ186" s="14"/>
      <c r="BK186" s="14"/>
      <c r="BL186" s="14"/>
      <c r="BM186" s="14"/>
      <c r="BN186" s="14"/>
      <c r="BO186" s="14"/>
      <c r="BP186" s="14"/>
      <c r="BQ186" s="14"/>
      <c r="BX186" s="14"/>
      <c r="BY186" s="14"/>
      <c r="BZ186" s="14"/>
      <c r="CA186" s="14"/>
      <c r="CB186" s="14"/>
      <c r="CC186" s="14"/>
      <c r="CD186" s="14"/>
      <c r="CF186" s="14"/>
      <c r="CJ186" s="16"/>
      <c r="CM186" s="14"/>
      <c r="CN186" s="14"/>
      <c r="CO186" s="14"/>
      <c r="CP186" s="14"/>
      <c r="CQ186" s="14"/>
      <c r="CR186" s="14"/>
      <c r="CS186" s="14"/>
      <c r="CT186" s="14"/>
      <c r="CU186" s="14"/>
      <c r="CV186" s="14"/>
    </row>
    <row r="187" spans="1:100" x14ac:dyDescent="0.2">
      <c r="A187" s="14"/>
      <c r="B187" s="14"/>
      <c r="C187" s="14"/>
      <c r="D187" s="14"/>
      <c r="E187" s="14"/>
      <c r="F187" s="14"/>
      <c r="G187" s="14"/>
      <c r="H187" s="14"/>
      <c r="I187" s="14"/>
      <c r="J187" s="14"/>
      <c r="K187" s="14"/>
      <c r="L187" s="15"/>
      <c r="M187" s="14"/>
      <c r="N187" s="14"/>
      <c r="O187" s="14"/>
      <c r="P187" s="14"/>
      <c r="Q187" s="16"/>
      <c r="R187" s="14"/>
      <c r="Z187" s="16"/>
      <c r="AC187" s="14"/>
      <c r="AD187" s="14"/>
      <c r="AE187" s="14"/>
      <c r="AF187" s="14"/>
      <c r="AG187" s="14"/>
      <c r="AH187" s="14"/>
      <c r="AI187" s="14"/>
      <c r="AJ187" s="14"/>
      <c r="AK187" s="14"/>
      <c r="AL187" s="14"/>
      <c r="AS187" s="14"/>
      <c r="AT187" s="14"/>
      <c r="AU187" s="14"/>
      <c r="AV187" s="14"/>
      <c r="AW187" s="14"/>
      <c r="AX187" s="14"/>
      <c r="AY187" s="14"/>
      <c r="BA187" s="14"/>
      <c r="BE187" s="16"/>
      <c r="BH187" s="14"/>
      <c r="BI187" s="14"/>
      <c r="BJ187" s="14"/>
      <c r="BK187" s="14"/>
      <c r="BL187" s="14"/>
      <c r="BM187" s="14"/>
      <c r="BN187" s="14"/>
      <c r="BO187" s="14"/>
      <c r="BP187" s="14"/>
      <c r="BQ187" s="14"/>
      <c r="BX187" s="14"/>
      <c r="BY187" s="14"/>
      <c r="BZ187" s="14"/>
      <c r="CA187" s="14"/>
      <c r="CB187" s="14"/>
      <c r="CC187" s="14"/>
      <c r="CD187" s="14"/>
      <c r="CF187" s="14"/>
      <c r="CJ187" s="16"/>
      <c r="CM187" s="14"/>
      <c r="CN187" s="14"/>
      <c r="CO187" s="14"/>
      <c r="CP187" s="14"/>
      <c r="CQ187" s="14"/>
      <c r="CR187" s="14"/>
      <c r="CS187" s="14"/>
      <c r="CT187" s="14"/>
      <c r="CU187" s="14"/>
      <c r="CV187" s="14"/>
    </row>
    <row r="188" spans="1:100" x14ac:dyDescent="0.2">
      <c r="A188" s="14"/>
      <c r="B188" s="14"/>
      <c r="C188" s="14"/>
      <c r="D188" s="14"/>
      <c r="E188" s="14"/>
      <c r="F188" s="14"/>
      <c r="G188" s="14"/>
      <c r="H188" s="14"/>
      <c r="I188" s="14"/>
      <c r="J188" s="14"/>
      <c r="K188" s="14"/>
      <c r="L188" s="15"/>
      <c r="M188" s="14"/>
      <c r="N188" s="14"/>
      <c r="O188" s="14"/>
      <c r="P188" s="14"/>
      <c r="Q188" s="16"/>
      <c r="R188" s="14"/>
      <c r="Z188" s="16"/>
      <c r="AC188" s="14"/>
      <c r="AD188" s="14"/>
      <c r="AE188" s="14"/>
      <c r="AF188" s="14"/>
      <c r="AG188" s="14"/>
      <c r="AH188" s="14"/>
      <c r="AI188" s="14"/>
      <c r="AJ188" s="14"/>
      <c r="AK188" s="14"/>
      <c r="AL188" s="14"/>
      <c r="AS188" s="14"/>
      <c r="AT188" s="14"/>
      <c r="AU188" s="14"/>
      <c r="AV188" s="14"/>
      <c r="AW188" s="14"/>
      <c r="AX188" s="14"/>
      <c r="AY188" s="14"/>
      <c r="BA188" s="14"/>
      <c r="BE188" s="16"/>
      <c r="BH188" s="14"/>
      <c r="BI188" s="14"/>
      <c r="BJ188" s="14"/>
      <c r="BK188" s="14"/>
      <c r="BL188" s="14"/>
      <c r="BM188" s="14"/>
      <c r="BN188" s="14"/>
      <c r="BO188" s="14"/>
      <c r="BP188" s="14"/>
      <c r="BQ188" s="14"/>
      <c r="BX188" s="14"/>
      <c r="BY188" s="14"/>
      <c r="BZ188" s="14"/>
      <c r="CA188" s="14"/>
      <c r="CB188" s="14"/>
      <c r="CC188" s="14"/>
      <c r="CD188" s="14"/>
      <c r="CF188" s="14"/>
      <c r="CJ188" s="16"/>
      <c r="CM188" s="14"/>
      <c r="CN188" s="14"/>
      <c r="CO188" s="14"/>
      <c r="CP188" s="14"/>
      <c r="CQ188" s="14"/>
      <c r="CR188" s="14"/>
      <c r="CS188" s="14"/>
      <c r="CT188" s="14"/>
      <c r="CU188" s="14"/>
      <c r="CV188" s="14"/>
    </row>
    <row r="189" spans="1:100" x14ac:dyDescent="0.2">
      <c r="A189" s="14"/>
      <c r="B189" s="14"/>
      <c r="C189" s="14"/>
      <c r="D189" s="14"/>
      <c r="E189" s="14"/>
      <c r="F189" s="14"/>
      <c r="G189" s="14"/>
      <c r="H189" s="14"/>
      <c r="I189" s="14"/>
      <c r="J189" s="14"/>
      <c r="K189" s="14"/>
      <c r="L189" s="15"/>
      <c r="M189" s="14"/>
      <c r="N189" s="14"/>
      <c r="O189" s="14"/>
      <c r="P189" s="14"/>
      <c r="Q189" s="16"/>
      <c r="R189" s="14"/>
      <c r="Z189" s="16"/>
      <c r="AC189" s="14"/>
      <c r="AD189" s="14"/>
      <c r="AE189" s="14"/>
      <c r="AF189" s="14"/>
      <c r="AG189" s="14"/>
      <c r="AH189" s="14"/>
      <c r="AI189" s="14"/>
      <c r="AJ189" s="14"/>
      <c r="AK189" s="14"/>
      <c r="AL189" s="14"/>
      <c r="AS189" s="14"/>
      <c r="AT189" s="14"/>
      <c r="AU189" s="14"/>
      <c r="AV189" s="14"/>
      <c r="AW189" s="14"/>
      <c r="AX189" s="14"/>
      <c r="AY189" s="14"/>
      <c r="BA189" s="14"/>
      <c r="BE189" s="16"/>
      <c r="BH189" s="14"/>
      <c r="BI189" s="14"/>
      <c r="BJ189" s="14"/>
      <c r="BK189" s="14"/>
      <c r="BL189" s="14"/>
      <c r="BM189" s="14"/>
      <c r="BN189" s="14"/>
      <c r="BO189" s="14"/>
      <c r="BP189" s="14"/>
      <c r="BQ189" s="14"/>
      <c r="BX189" s="14"/>
      <c r="BY189" s="14"/>
      <c r="BZ189" s="14"/>
      <c r="CA189" s="14"/>
      <c r="CB189" s="14"/>
      <c r="CC189" s="14"/>
      <c r="CD189" s="14"/>
      <c r="CF189" s="14"/>
      <c r="CJ189" s="16"/>
      <c r="CM189" s="14"/>
      <c r="CN189" s="14"/>
      <c r="CO189" s="14"/>
      <c r="CP189" s="14"/>
      <c r="CQ189" s="14"/>
      <c r="CR189" s="14"/>
      <c r="CS189" s="14"/>
      <c r="CT189" s="14"/>
      <c r="CU189" s="14"/>
      <c r="CV189" s="14"/>
    </row>
    <row r="190" spans="1:100" x14ac:dyDescent="0.2">
      <c r="A190" s="14"/>
      <c r="B190" s="14"/>
      <c r="C190" s="14"/>
      <c r="D190" s="14"/>
      <c r="E190" s="14"/>
      <c r="F190" s="14"/>
      <c r="G190" s="14"/>
      <c r="H190" s="14"/>
      <c r="I190" s="14"/>
      <c r="J190" s="14"/>
      <c r="K190" s="14"/>
      <c r="L190" s="15"/>
      <c r="M190" s="14"/>
      <c r="N190" s="14"/>
      <c r="O190" s="14"/>
      <c r="P190" s="14"/>
      <c r="Q190" s="16"/>
      <c r="R190" s="14"/>
      <c r="Z190" s="16"/>
      <c r="AC190" s="14"/>
      <c r="AD190" s="14"/>
      <c r="AE190" s="14"/>
      <c r="AF190" s="14"/>
      <c r="AG190" s="14"/>
      <c r="AH190" s="14"/>
      <c r="AI190" s="14"/>
      <c r="AJ190" s="14"/>
      <c r="AK190" s="14"/>
      <c r="AL190" s="14"/>
      <c r="AS190" s="14"/>
      <c r="AT190" s="14"/>
      <c r="AU190" s="14"/>
      <c r="AV190" s="14"/>
      <c r="AW190" s="14"/>
      <c r="AX190" s="14"/>
      <c r="AY190" s="14"/>
      <c r="BA190" s="14"/>
      <c r="BE190" s="16"/>
      <c r="BH190" s="14"/>
      <c r="BI190" s="14"/>
      <c r="BJ190" s="14"/>
      <c r="BK190" s="14"/>
      <c r="BL190" s="14"/>
      <c r="BM190" s="14"/>
      <c r="BN190" s="14"/>
      <c r="BO190" s="14"/>
      <c r="BP190" s="14"/>
      <c r="BQ190" s="14"/>
      <c r="BX190" s="14"/>
      <c r="BY190" s="14"/>
      <c r="BZ190" s="14"/>
      <c r="CA190" s="14"/>
      <c r="CB190" s="14"/>
      <c r="CC190" s="14"/>
      <c r="CD190" s="14"/>
      <c r="CF190" s="14"/>
      <c r="CJ190" s="16"/>
      <c r="CM190" s="14"/>
      <c r="CN190" s="14"/>
      <c r="CO190" s="14"/>
      <c r="CP190" s="14"/>
      <c r="CQ190" s="14"/>
      <c r="CR190" s="14"/>
      <c r="CS190" s="14"/>
      <c r="CT190" s="14"/>
      <c r="CU190" s="14"/>
      <c r="CV190" s="14"/>
    </row>
    <row r="191" spans="1:100" x14ac:dyDescent="0.2">
      <c r="A191" s="14"/>
      <c r="B191" s="14"/>
      <c r="C191" s="14"/>
      <c r="D191" s="14"/>
      <c r="E191" s="14"/>
      <c r="F191" s="14"/>
      <c r="G191" s="14"/>
      <c r="H191" s="14"/>
      <c r="I191" s="14"/>
      <c r="J191" s="14"/>
      <c r="K191" s="14"/>
      <c r="L191" s="15"/>
      <c r="M191" s="14"/>
      <c r="N191" s="14"/>
      <c r="O191" s="14"/>
      <c r="P191" s="14"/>
      <c r="Q191" s="16"/>
      <c r="R191" s="14"/>
      <c r="Z191" s="16"/>
      <c r="AC191" s="14"/>
      <c r="AD191" s="14"/>
      <c r="AE191" s="14"/>
      <c r="AF191" s="14"/>
      <c r="AG191" s="14"/>
      <c r="AH191" s="14"/>
      <c r="AI191" s="14"/>
      <c r="AJ191" s="14"/>
      <c r="AK191" s="14"/>
      <c r="AL191" s="14"/>
      <c r="AS191" s="14"/>
      <c r="AT191" s="14"/>
      <c r="AU191" s="14"/>
      <c r="AV191" s="14"/>
      <c r="AW191" s="14"/>
      <c r="AX191" s="14"/>
      <c r="AY191" s="14"/>
      <c r="BA191" s="14"/>
      <c r="BE191" s="16"/>
      <c r="BH191" s="14"/>
      <c r="BI191" s="14"/>
      <c r="BJ191" s="14"/>
      <c r="BK191" s="14"/>
      <c r="BL191" s="14"/>
      <c r="BM191" s="14"/>
      <c r="BN191" s="14"/>
      <c r="BO191" s="14"/>
      <c r="BP191" s="14"/>
      <c r="BQ191" s="14"/>
      <c r="BX191" s="14"/>
      <c r="BY191" s="14"/>
      <c r="BZ191" s="14"/>
      <c r="CA191" s="14"/>
      <c r="CB191" s="14"/>
      <c r="CC191" s="14"/>
      <c r="CD191" s="14"/>
      <c r="CF191" s="14"/>
      <c r="CJ191" s="16"/>
      <c r="CM191" s="14"/>
      <c r="CN191" s="14"/>
      <c r="CO191" s="14"/>
      <c r="CP191" s="14"/>
      <c r="CQ191" s="14"/>
      <c r="CR191" s="14"/>
      <c r="CS191" s="14"/>
      <c r="CT191" s="14"/>
      <c r="CU191" s="14"/>
      <c r="CV191" s="14"/>
    </row>
    <row r="192" spans="1:100" x14ac:dyDescent="0.2">
      <c r="A192" s="14"/>
      <c r="B192" s="14"/>
      <c r="C192" s="14"/>
      <c r="D192" s="14"/>
      <c r="E192" s="14"/>
      <c r="F192" s="14"/>
      <c r="G192" s="14"/>
      <c r="H192" s="14"/>
      <c r="I192" s="14"/>
      <c r="J192" s="14"/>
      <c r="K192" s="14"/>
      <c r="L192" s="15"/>
      <c r="M192" s="14"/>
      <c r="N192" s="14"/>
      <c r="O192" s="14"/>
      <c r="P192" s="14"/>
      <c r="Q192" s="16"/>
      <c r="R192" s="14"/>
      <c r="Z192" s="16"/>
      <c r="AC192" s="14"/>
      <c r="AD192" s="14"/>
      <c r="AE192" s="14"/>
      <c r="AF192" s="14"/>
      <c r="AG192" s="14"/>
      <c r="AH192" s="14"/>
      <c r="AI192" s="14"/>
      <c r="AJ192" s="14"/>
      <c r="AK192" s="14"/>
      <c r="AL192" s="14"/>
      <c r="AS192" s="14"/>
      <c r="AT192" s="14"/>
      <c r="AU192" s="14"/>
      <c r="AV192" s="14"/>
      <c r="AW192" s="14"/>
      <c r="AX192" s="14"/>
      <c r="AY192" s="14"/>
      <c r="BA192" s="14"/>
      <c r="BE192" s="16"/>
      <c r="BH192" s="14"/>
      <c r="BI192" s="14"/>
      <c r="BJ192" s="14"/>
      <c r="BK192" s="14"/>
      <c r="BL192" s="14"/>
      <c r="BM192" s="14"/>
      <c r="BN192" s="14"/>
      <c r="BO192" s="14"/>
      <c r="BP192" s="14"/>
      <c r="BQ192" s="14"/>
      <c r="BX192" s="14"/>
      <c r="BY192" s="14"/>
      <c r="BZ192" s="14"/>
      <c r="CA192" s="14"/>
      <c r="CB192" s="14"/>
      <c r="CC192" s="14"/>
      <c r="CD192" s="14"/>
      <c r="CF192" s="14"/>
      <c r="CJ192" s="16"/>
      <c r="CM192" s="14"/>
      <c r="CN192" s="14"/>
      <c r="CO192" s="14"/>
      <c r="CP192" s="14"/>
      <c r="CQ192" s="14"/>
      <c r="CR192" s="14"/>
      <c r="CS192" s="14"/>
      <c r="CT192" s="14"/>
      <c r="CU192" s="14"/>
      <c r="CV192" s="14"/>
    </row>
    <row r="193" spans="1:100" x14ac:dyDescent="0.2">
      <c r="A193" s="14"/>
      <c r="B193" s="14"/>
      <c r="C193" s="14"/>
      <c r="D193" s="14"/>
      <c r="E193" s="14"/>
      <c r="F193" s="14"/>
      <c r="G193" s="14"/>
      <c r="H193" s="14"/>
      <c r="I193" s="14"/>
      <c r="J193" s="14"/>
      <c r="K193" s="14"/>
      <c r="L193" s="15"/>
      <c r="M193" s="14"/>
      <c r="N193" s="14"/>
      <c r="O193" s="14"/>
      <c r="P193" s="14"/>
      <c r="Q193" s="16"/>
      <c r="R193" s="14"/>
      <c r="Z193" s="16"/>
      <c r="AC193" s="14"/>
      <c r="AD193" s="14"/>
      <c r="AE193" s="14"/>
      <c r="AF193" s="14"/>
      <c r="AG193" s="14"/>
      <c r="AH193" s="14"/>
      <c r="AI193" s="14"/>
      <c r="AJ193" s="14"/>
      <c r="AK193" s="14"/>
      <c r="AL193" s="14"/>
      <c r="AS193" s="14"/>
      <c r="AT193" s="14"/>
      <c r="AU193" s="14"/>
      <c r="AV193" s="14"/>
      <c r="AW193" s="14"/>
      <c r="AX193" s="14"/>
      <c r="AY193" s="14"/>
      <c r="BA193" s="14"/>
      <c r="BE193" s="16"/>
      <c r="BH193" s="14"/>
      <c r="BI193" s="14"/>
      <c r="BJ193" s="14"/>
      <c r="BK193" s="14"/>
      <c r="BL193" s="14"/>
      <c r="BM193" s="14"/>
      <c r="BN193" s="14"/>
      <c r="BO193" s="14"/>
      <c r="BP193" s="14"/>
      <c r="BQ193" s="14"/>
      <c r="BX193" s="14"/>
      <c r="BY193" s="14"/>
      <c r="BZ193" s="14"/>
      <c r="CA193" s="14"/>
      <c r="CB193" s="14"/>
      <c r="CC193" s="14"/>
      <c r="CD193" s="14"/>
      <c r="CF193" s="14"/>
      <c r="CJ193" s="16"/>
      <c r="CM193" s="14"/>
      <c r="CN193" s="14"/>
      <c r="CO193" s="14"/>
      <c r="CP193" s="14"/>
      <c r="CQ193" s="14"/>
      <c r="CR193" s="14"/>
      <c r="CS193" s="14"/>
      <c r="CT193" s="14"/>
      <c r="CU193" s="14"/>
      <c r="CV193" s="14"/>
    </row>
    <row r="194" spans="1:100" x14ac:dyDescent="0.2">
      <c r="A194" s="14"/>
      <c r="B194" s="14"/>
      <c r="C194" s="14"/>
      <c r="D194" s="14"/>
      <c r="E194" s="14"/>
      <c r="F194" s="14"/>
      <c r="G194" s="14"/>
      <c r="H194" s="14"/>
      <c r="I194" s="14"/>
      <c r="J194" s="14"/>
      <c r="K194" s="14"/>
      <c r="L194" s="15"/>
      <c r="M194" s="14"/>
      <c r="N194" s="14"/>
      <c r="O194" s="14"/>
      <c r="P194" s="14"/>
      <c r="Q194" s="16"/>
      <c r="R194" s="14"/>
      <c r="Z194" s="16"/>
      <c r="AC194" s="14"/>
      <c r="AD194" s="14"/>
      <c r="AE194" s="14"/>
      <c r="AF194" s="14"/>
      <c r="AG194" s="14"/>
      <c r="AH194" s="14"/>
      <c r="AI194" s="14"/>
      <c r="AJ194" s="14"/>
      <c r="AK194" s="14"/>
      <c r="AL194" s="14"/>
      <c r="AS194" s="14"/>
      <c r="AT194" s="14"/>
      <c r="AU194" s="14"/>
      <c r="AV194" s="14"/>
      <c r="AW194" s="14"/>
      <c r="AX194" s="14"/>
      <c r="AY194" s="14"/>
      <c r="BA194" s="14"/>
      <c r="BE194" s="16"/>
      <c r="BH194" s="14"/>
      <c r="BI194" s="14"/>
      <c r="BJ194" s="14"/>
      <c r="BK194" s="14"/>
      <c r="BL194" s="14"/>
      <c r="BM194" s="14"/>
      <c r="BN194" s="14"/>
      <c r="BO194" s="14"/>
      <c r="BP194" s="14"/>
      <c r="BQ194" s="14"/>
      <c r="BX194" s="14"/>
      <c r="BY194" s="14"/>
      <c r="BZ194" s="14"/>
      <c r="CA194" s="14"/>
      <c r="CB194" s="14"/>
      <c r="CC194" s="14"/>
      <c r="CD194" s="14"/>
      <c r="CF194" s="14"/>
      <c r="CJ194" s="16"/>
      <c r="CM194" s="14"/>
      <c r="CN194" s="14"/>
      <c r="CO194" s="14"/>
      <c r="CP194" s="14"/>
      <c r="CQ194" s="14"/>
      <c r="CR194" s="14"/>
      <c r="CS194" s="14"/>
      <c r="CT194" s="14"/>
      <c r="CU194" s="14"/>
      <c r="CV194" s="14"/>
    </row>
    <row r="195" spans="1:100" x14ac:dyDescent="0.2">
      <c r="A195" s="14"/>
      <c r="B195" s="14"/>
      <c r="C195" s="14"/>
      <c r="D195" s="14"/>
      <c r="E195" s="14"/>
      <c r="F195" s="14"/>
      <c r="G195" s="14"/>
      <c r="H195" s="14"/>
      <c r="I195" s="14"/>
      <c r="J195" s="14"/>
      <c r="K195" s="14"/>
      <c r="L195" s="15"/>
      <c r="M195" s="14"/>
      <c r="N195" s="14"/>
      <c r="O195" s="14"/>
      <c r="P195" s="14"/>
      <c r="Q195" s="16"/>
      <c r="R195" s="14"/>
      <c r="Z195" s="16"/>
      <c r="AC195" s="14"/>
      <c r="AD195" s="14"/>
      <c r="AE195" s="14"/>
      <c r="AF195" s="14"/>
      <c r="AG195" s="14"/>
      <c r="AH195" s="14"/>
      <c r="AI195" s="14"/>
      <c r="AJ195" s="14"/>
      <c r="AK195" s="14"/>
      <c r="AL195" s="14"/>
      <c r="AS195" s="14"/>
      <c r="AT195" s="14"/>
      <c r="AU195" s="14"/>
      <c r="AV195" s="14"/>
      <c r="AW195" s="14"/>
      <c r="AX195" s="14"/>
      <c r="AY195" s="14"/>
      <c r="BA195" s="14"/>
      <c r="BE195" s="16"/>
      <c r="BH195" s="14"/>
      <c r="BI195" s="14"/>
      <c r="BJ195" s="14"/>
      <c r="BK195" s="14"/>
      <c r="BL195" s="14"/>
      <c r="BM195" s="14"/>
      <c r="BN195" s="14"/>
      <c r="BO195" s="14"/>
      <c r="BP195" s="14"/>
      <c r="BQ195" s="14"/>
      <c r="BX195" s="14"/>
      <c r="BY195" s="14"/>
      <c r="BZ195" s="14"/>
      <c r="CA195" s="14"/>
      <c r="CB195" s="14"/>
      <c r="CC195" s="14"/>
      <c r="CD195" s="14"/>
      <c r="CF195" s="14"/>
      <c r="CJ195" s="16"/>
      <c r="CM195" s="14"/>
      <c r="CN195" s="14"/>
      <c r="CO195" s="14"/>
      <c r="CP195" s="14"/>
      <c r="CQ195" s="14"/>
      <c r="CR195" s="14"/>
      <c r="CS195" s="14"/>
      <c r="CT195" s="14"/>
      <c r="CU195" s="14"/>
      <c r="CV195" s="14"/>
    </row>
    <row r="196" spans="1:100" x14ac:dyDescent="0.2">
      <c r="A196" s="14"/>
      <c r="B196" s="14"/>
      <c r="C196" s="14"/>
      <c r="D196" s="14"/>
      <c r="E196" s="14"/>
      <c r="F196" s="14"/>
      <c r="G196" s="14"/>
      <c r="H196" s="14"/>
      <c r="I196" s="14"/>
      <c r="J196" s="14"/>
      <c r="K196" s="14"/>
      <c r="L196" s="15"/>
      <c r="M196" s="14"/>
      <c r="N196" s="14"/>
      <c r="O196" s="14"/>
      <c r="P196" s="14"/>
      <c r="Q196" s="16"/>
      <c r="R196" s="14"/>
      <c r="Z196" s="16"/>
      <c r="AC196" s="14"/>
      <c r="AD196" s="14"/>
      <c r="AE196" s="14"/>
      <c r="AF196" s="14"/>
      <c r="AG196" s="14"/>
      <c r="AH196" s="14"/>
      <c r="AI196" s="14"/>
      <c r="AJ196" s="14"/>
      <c r="AK196" s="14"/>
      <c r="AL196" s="14"/>
      <c r="AS196" s="14"/>
      <c r="AT196" s="14"/>
      <c r="AU196" s="14"/>
      <c r="AV196" s="14"/>
      <c r="AW196" s="14"/>
      <c r="AX196" s="14"/>
      <c r="AY196" s="14"/>
      <c r="BA196" s="14"/>
      <c r="BE196" s="16"/>
      <c r="BH196" s="14"/>
      <c r="BI196" s="14"/>
      <c r="BJ196" s="14"/>
      <c r="BK196" s="14"/>
      <c r="BL196" s="14"/>
      <c r="BM196" s="14"/>
      <c r="BN196" s="14"/>
      <c r="BO196" s="14"/>
      <c r="BP196" s="14"/>
      <c r="BQ196" s="14"/>
      <c r="BX196" s="14"/>
      <c r="BY196" s="14"/>
      <c r="BZ196" s="14"/>
      <c r="CA196" s="14"/>
      <c r="CB196" s="14"/>
      <c r="CC196" s="14"/>
      <c r="CD196" s="14"/>
      <c r="CF196" s="14"/>
      <c r="CJ196" s="16"/>
      <c r="CM196" s="14"/>
      <c r="CN196" s="14"/>
      <c r="CO196" s="14"/>
      <c r="CP196" s="14"/>
      <c r="CQ196" s="14"/>
      <c r="CR196" s="14"/>
      <c r="CS196" s="14"/>
      <c r="CT196" s="14"/>
      <c r="CU196" s="14"/>
      <c r="CV196" s="14"/>
    </row>
    <row r="197" spans="1:100" x14ac:dyDescent="0.2">
      <c r="A197" s="14"/>
      <c r="B197" s="14"/>
      <c r="C197" s="14"/>
      <c r="D197" s="14"/>
      <c r="E197" s="14"/>
      <c r="F197" s="14"/>
      <c r="G197" s="14"/>
      <c r="H197" s="14"/>
      <c r="I197" s="14"/>
      <c r="J197" s="14"/>
      <c r="K197" s="14"/>
      <c r="L197" s="15"/>
      <c r="M197" s="14"/>
      <c r="N197" s="14"/>
      <c r="O197" s="14"/>
      <c r="P197" s="14"/>
      <c r="Q197" s="16"/>
      <c r="R197" s="14"/>
      <c r="Z197" s="16"/>
      <c r="AC197" s="14"/>
      <c r="AD197" s="14"/>
      <c r="AE197" s="14"/>
      <c r="AF197" s="14"/>
      <c r="AG197" s="14"/>
      <c r="AH197" s="14"/>
      <c r="AI197" s="14"/>
      <c r="AJ197" s="14"/>
      <c r="AK197" s="14"/>
      <c r="AL197" s="14"/>
      <c r="AS197" s="14"/>
      <c r="AT197" s="14"/>
      <c r="AU197" s="14"/>
      <c r="AV197" s="14"/>
      <c r="AW197" s="14"/>
      <c r="AX197" s="14"/>
      <c r="AY197" s="14"/>
      <c r="BA197" s="14"/>
      <c r="BE197" s="16"/>
      <c r="BH197" s="14"/>
      <c r="BI197" s="14"/>
      <c r="BJ197" s="14"/>
      <c r="BK197" s="14"/>
      <c r="BL197" s="14"/>
      <c r="BM197" s="14"/>
      <c r="BN197" s="14"/>
      <c r="BO197" s="14"/>
      <c r="BP197" s="14"/>
      <c r="BQ197" s="14"/>
      <c r="BX197" s="14"/>
      <c r="BY197" s="14"/>
      <c r="BZ197" s="14"/>
      <c r="CA197" s="14"/>
      <c r="CB197" s="14"/>
      <c r="CC197" s="14"/>
      <c r="CD197" s="14"/>
      <c r="CF197" s="14"/>
      <c r="CJ197" s="16"/>
      <c r="CM197" s="14"/>
      <c r="CN197" s="14"/>
      <c r="CO197" s="14"/>
      <c r="CP197" s="14"/>
      <c r="CQ197" s="14"/>
      <c r="CR197" s="14"/>
      <c r="CS197" s="14"/>
      <c r="CT197" s="14"/>
      <c r="CU197" s="14"/>
      <c r="CV197" s="14"/>
    </row>
    <row r="198" spans="1:100" x14ac:dyDescent="0.2">
      <c r="A198" s="14"/>
      <c r="B198" s="14"/>
      <c r="C198" s="14"/>
      <c r="D198" s="14"/>
      <c r="E198" s="14"/>
      <c r="F198" s="14"/>
      <c r="G198" s="14"/>
      <c r="H198" s="14"/>
      <c r="I198" s="14"/>
      <c r="J198" s="14"/>
      <c r="K198" s="14"/>
      <c r="L198" s="15"/>
      <c r="M198" s="14"/>
      <c r="N198" s="14"/>
      <c r="O198" s="14"/>
      <c r="P198" s="14"/>
      <c r="Q198" s="16"/>
      <c r="R198" s="14"/>
      <c r="Z198" s="16"/>
      <c r="AC198" s="14"/>
      <c r="AD198" s="14"/>
      <c r="AE198" s="14"/>
      <c r="AF198" s="14"/>
      <c r="AG198" s="14"/>
      <c r="AH198" s="14"/>
      <c r="AI198" s="14"/>
      <c r="AJ198" s="14"/>
      <c r="AK198" s="14"/>
      <c r="AL198" s="14"/>
      <c r="AS198" s="14"/>
      <c r="AT198" s="14"/>
      <c r="AU198" s="14"/>
      <c r="AV198" s="14"/>
      <c r="AW198" s="14"/>
      <c r="AX198" s="14"/>
      <c r="AY198" s="14"/>
      <c r="BA198" s="14"/>
      <c r="BE198" s="16"/>
      <c r="BH198" s="14"/>
      <c r="BI198" s="14"/>
      <c r="BJ198" s="14"/>
      <c r="BK198" s="14"/>
      <c r="BL198" s="14"/>
      <c r="BM198" s="14"/>
      <c r="BN198" s="14"/>
      <c r="BO198" s="14"/>
      <c r="BP198" s="14"/>
      <c r="BQ198" s="14"/>
      <c r="BX198" s="14"/>
      <c r="BY198" s="14"/>
      <c r="BZ198" s="14"/>
      <c r="CA198" s="14"/>
      <c r="CB198" s="14"/>
      <c r="CC198" s="14"/>
      <c r="CD198" s="14"/>
      <c r="CF198" s="14"/>
      <c r="CJ198" s="16"/>
      <c r="CM198" s="14"/>
      <c r="CN198" s="14"/>
      <c r="CO198" s="14"/>
      <c r="CP198" s="14"/>
      <c r="CQ198" s="14"/>
      <c r="CR198" s="14"/>
      <c r="CS198" s="14"/>
      <c r="CT198" s="14"/>
      <c r="CU198" s="14"/>
      <c r="CV198" s="14"/>
    </row>
    <row r="199" spans="1:100" x14ac:dyDescent="0.2">
      <c r="A199" s="14"/>
      <c r="B199" s="14"/>
      <c r="C199" s="14"/>
      <c r="D199" s="14"/>
      <c r="E199" s="14"/>
      <c r="F199" s="14"/>
      <c r="G199" s="14"/>
      <c r="H199" s="14"/>
      <c r="I199" s="14"/>
      <c r="J199" s="14"/>
      <c r="K199" s="14"/>
      <c r="L199" s="15"/>
      <c r="M199" s="14"/>
      <c r="N199" s="14"/>
      <c r="O199" s="14"/>
      <c r="P199" s="14"/>
      <c r="Q199" s="16"/>
      <c r="R199" s="14"/>
      <c r="Z199" s="16"/>
      <c r="AC199" s="14"/>
      <c r="AD199" s="14"/>
      <c r="AE199" s="14"/>
      <c r="AF199" s="14"/>
      <c r="AG199" s="14"/>
      <c r="AH199" s="14"/>
      <c r="AI199" s="14"/>
      <c r="AJ199" s="14"/>
      <c r="AK199" s="14"/>
      <c r="AL199" s="14"/>
      <c r="AS199" s="14"/>
      <c r="AT199" s="14"/>
      <c r="AU199" s="14"/>
      <c r="AV199" s="14"/>
      <c r="AW199" s="14"/>
      <c r="AX199" s="14"/>
      <c r="AY199" s="14"/>
      <c r="BA199" s="14"/>
      <c r="BE199" s="16"/>
      <c r="BH199" s="14"/>
      <c r="BI199" s="14"/>
      <c r="BJ199" s="14"/>
      <c r="BK199" s="14"/>
      <c r="BL199" s="14"/>
      <c r="BM199" s="14"/>
      <c r="BN199" s="14"/>
      <c r="BO199" s="14"/>
      <c r="BP199" s="14"/>
      <c r="BQ199" s="14"/>
      <c r="BX199" s="14"/>
      <c r="BY199" s="14"/>
      <c r="BZ199" s="14"/>
      <c r="CA199" s="14"/>
      <c r="CB199" s="14"/>
      <c r="CC199" s="14"/>
      <c r="CD199" s="14"/>
      <c r="CF199" s="14"/>
      <c r="CJ199" s="16"/>
      <c r="CM199" s="14"/>
      <c r="CN199" s="14"/>
      <c r="CO199" s="14"/>
      <c r="CP199" s="14"/>
      <c r="CQ199" s="14"/>
      <c r="CR199" s="14"/>
      <c r="CS199" s="14"/>
      <c r="CT199" s="14"/>
      <c r="CU199" s="14"/>
      <c r="CV199" s="14"/>
    </row>
    <row r="200" spans="1:100" x14ac:dyDescent="0.2">
      <c r="A200" s="14"/>
      <c r="B200" s="14"/>
      <c r="C200" s="14"/>
      <c r="D200" s="14"/>
      <c r="E200" s="14"/>
      <c r="F200" s="14"/>
      <c r="G200" s="14"/>
      <c r="H200" s="14"/>
      <c r="I200" s="14"/>
      <c r="J200" s="14"/>
      <c r="K200" s="14"/>
      <c r="L200" s="15"/>
      <c r="M200" s="14"/>
      <c r="N200" s="14"/>
      <c r="O200" s="14"/>
      <c r="P200" s="14"/>
      <c r="Q200" s="16"/>
      <c r="R200" s="14"/>
      <c r="Z200" s="16"/>
      <c r="AC200" s="14"/>
      <c r="AD200" s="14"/>
      <c r="AE200" s="14"/>
      <c r="AF200" s="14"/>
      <c r="AG200" s="14"/>
      <c r="AH200" s="14"/>
      <c r="AI200" s="14"/>
      <c r="AJ200" s="14"/>
      <c r="AK200" s="14"/>
      <c r="AL200" s="14"/>
      <c r="AS200" s="14"/>
      <c r="AT200" s="14"/>
      <c r="AU200" s="14"/>
      <c r="AV200" s="14"/>
      <c r="AW200" s="14"/>
      <c r="AX200" s="14"/>
      <c r="AY200" s="14"/>
      <c r="BA200" s="14"/>
      <c r="BE200" s="16"/>
      <c r="BH200" s="14"/>
      <c r="BI200" s="14"/>
      <c r="BJ200" s="14"/>
      <c r="BK200" s="14"/>
      <c r="BL200" s="14"/>
      <c r="BM200" s="14"/>
      <c r="BN200" s="14"/>
      <c r="BO200" s="14"/>
      <c r="BP200" s="14"/>
      <c r="BQ200" s="14"/>
      <c r="BX200" s="14"/>
      <c r="BY200" s="14"/>
      <c r="BZ200" s="14"/>
      <c r="CA200" s="14"/>
      <c r="CB200" s="14"/>
      <c r="CC200" s="14"/>
      <c r="CD200" s="14"/>
      <c r="CF200" s="14"/>
      <c r="CJ200" s="16"/>
      <c r="CM200" s="14"/>
      <c r="CN200" s="14"/>
      <c r="CO200" s="14"/>
      <c r="CP200" s="14"/>
      <c r="CQ200" s="14"/>
      <c r="CR200" s="14"/>
      <c r="CS200" s="14"/>
      <c r="CT200" s="14"/>
      <c r="CU200" s="14"/>
      <c r="CV200" s="14"/>
    </row>
    <row r="201" spans="1:100" x14ac:dyDescent="0.2">
      <c r="A201" s="14"/>
      <c r="B201" s="14"/>
      <c r="C201" s="14"/>
      <c r="D201" s="14"/>
      <c r="E201" s="14"/>
      <c r="F201" s="14"/>
      <c r="G201" s="14"/>
      <c r="H201" s="14"/>
      <c r="I201" s="14"/>
      <c r="J201" s="14"/>
      <c r="K201" s="14"/>
      <c r="L201" s="15"/>
      <c r="M201" s="14"/>
      <c r="N201" s="14"/>
      <c r="O201" s="14"/>
      <c r="P201" s="14"/>
      <c r="Q201" s="16"/>
      <c r="R201" s="14"/>
      <c r="Z201" s="16"/>
      <c r="AC201" s="14"/>
      <c r="AD201" s="14"/>
      <c r="AE201" s="14"/>
      <c r="AF201" s="14"/>
      <c r="AG201" s="14"/>
      <c r="AH201" s="14"/>
      <c r="AI201" s="14"/>
      <c r="AJ201" s="14"/>
      <c r="AK201" s="14"/>
      <c r="AL201" s="14"/>
      <c r="AS201" s="14"/>
      <c r="AT201" s="14"/>
      <c r="AU201" s="14"/>
      <c r="AV201" s="14"/>
      <c r="AW201" s="14"/>
      <c r="AX201" s="14"/>
      <c r="AY201" s="14"/>
      <c r="BA201" s="14"/>
      <c r="BE201" s="16"/>
      <c r="BH201" s="14"/>
      <c r="BI201" s="14"/>
      <c r="BJ201" s="14"/>
      <c r="BK201" s="14"/>
      <c r="BL201" s="14"/>
      <c r="BM201" s="14"/>
      <c r="BN201" s="14"/>
      <c r="BO201" s="14"/>
      <c r="BP201" s="14"/>
      <c r="BQ201" s="14"/>
      <c r="BX201" s="14"/>
      <c r="BY201" s="14"/>
      <c r="BZ201" s="14"/>
      <c r="CA201" s="14"/>
      <c r="CB201" s="14"/>
      <c r="CC201" s="14"/>
      <c r="CD201" s="14"/>
      <c r="CF201" s="14"/>
      <c r="CJ201" s="16"/>
      <c r="CM201" s="14"/>
      <c r="CN201" s="14"/>
      <c r="CO201" s="14"/>
      <c r="CP201" s="14"/>
      <c r="CQ201" s="14"/>
      <c r="CR201" s="14"/>
      <c r="CS201" s="14"/>
      <c r="CT201" s="14"/>
      <c r="CU201" s="14"/>
      <c r="CV201" s="14"/>
    </row>
    <row r="202" spans="1:100" x14ac:dyDescent="0.2">
      <c r="A202" s="14"/>
      <c r="B202" s="14"/>
      <c r="C202" s="14"/>
      <c r="D202" s="14"/>
      <c r="E202" s="14"/>
      <c r="F202" s="14"/>
      <c r="G202" s="14"/>
      <c r="H202" s="14"/>
      <c r="I202" s="14"/>
      <c r="J202" s="14"/>
      <c r="K202" s="14"/>
      <c r="L202" s="15"/>
      <c r="M202" s="14"/>
      <c r="N202" s="14"/>
      <c r="O202" s="14"/>
      <c r="P202" s="14"/>
      <c r="Q202" s="16"/>
      <c r="R202" s="14"/>
      <c r="Z202" s="16"/>
      <c r="AC202" s="14"/>
      <c r="AD202" s="14"/>
      <c r="AE202" s="14"/>
      <c r="AF202" s="14"/>
      <c r="AG202" s="14"/>
      <c r="AH202" s="14"/>
      <c r="AI202" s="14"/>
      <c r="AJ202" s="14"/>
      <c r="AK202" s="14"/>
      <c r="AL202" s="14"/>
      <c r="AS202" s="14"/>
      <c r="AT202" s="14"/>
      <c r="AU202" s="14"/>
      <c r="AV202" s="14"/>
      <c r="AW202" s="14"/>
      <c r="AX202" s="14"/>
      <c r="AY202" s="14"/>
      <c r="BA202" s="14"/>
      <c r="BE202" s="16"/>
      <c r="BH202" s="14"/>
      <c r="BI202" s="14"/>
      <c r="BJ202" s="14"/>
      <c r="BK202" s="14"/>
      <c r="BL202" s="14"/>
      <c r="BM202" s="14"/>
      <c r="BN202" s="14"/>
      <c r="BO202" s="14"/>
      <c r="BP202" s="14"/>
      <c r="BQ202" s="14"/>
      <c r="BX202" s="14"/>
      <c r="BY202" s="14"/>
      <c r="BZ202" s="14"/>
      <c r="CA202" s="14"/>
      <c r="CB202" s="14"/>
      <c r="CC202" s="14"/>
      <c r="CD202" s="14"/>
      <c r="CF202" s="14"/>
      <c r="CJ202" s="16"/>
      <c r="CM202" s="14"/>
      <c r="CN202" s="14"/>
      <c r="CO202" s="14"/>
      <c r="CP202" s="14"/>
      <c r="CQ202" s="14"/>
      <c r="CR202" s="14"/>
      <c r="CS202" s="14"/>
      <c r="CT202" s="14"/>
      <c r="CU202" s="14"/>
      <c r="CV202" s="14"/>
    </row>
    <row r="203" spans="1:100" x14ac:dyDescent="0.2">
      <c r="A203" s="14"/>
      <c r="B203" s="14"/>
      <c r="C203" s="14"/>
      <c r="D203" s="14"/>
      <c r="E203" s="14"/>
      <c r="F203" s="14"/>
      <c r="G203" s="14"/>
      <c r="H203" s="14"/>
      <c r="I203" s="14"/>
      <c r="J203" s="14"/>
      <c r="K203" s="14"/>
      <c r="L203" s="15"/>
      <c r="M203" s="14"/>
      <c r="N203" s="14"/>
      <c r="O203" s="14"/>
      <c r="P203" s="14"/>
      <c r="Q203" s="16"/>
      <c r="R203" s="14"/>
      <c r="Z203" s="16"/>
      <c r="AC203" s="14"/>
      <c r="AD203" s="14"/>
      <c r="AE203" s="14"/>
      <c r="AF203" s="14"/>
      <c r="AG203" s="14"/>
      <c r="AH203" s="14"/>
      <c r="AI203" s="14"/>
      <c r="AJ203" s="14"/>
      <c r="AK203" s="14"/>
      <c r="AL203" s="14"/>
      <c r="AS203" s="14"/>
      <c r="AT203" s="14"/>
      <c r="AU203" s="14"/>
      <c r="AV203" s="14"/>
      <c r="AW203" s="14"/>
      <c r="AX203" s="14"/>
      <c r="AY203" s="14"/>
      <c r="BA203" s="14"/>
      <c r="BE203" s="16"/>
      <c r="BH203" s="14"/>
      <c r="BI203" s="14"/>
      <c r="BJ203" s="14"/>
      <c r="BK203" s="14"/>
      <c r="BL203" s="14"/>
      <c r="BM203" s="14"/>
      <c r="BN203" s="14"/>
      <c r="BO203" s="14"/>
      <c r="BP203" s="14"/>
      <c r="BQ203" s="14"/>
      <c r="BX203" s="14"/>
      <c r="BY203" s="14"/>
      <c r="BZ203" s="14"/>
      <c r="CA203" s="14"/>
      <c r="CB203" s="14"/>
      <c r="CC203" s="14"/>
      <c r="CD203" s="14"/>
      <c r="CF203" s="14"/>
      <c r="CJ203" s="16"/>
      <c r="CM203" s="14"/>
      <c r="CN203" s="14"/>
      <c r="CO203" s="14"/>
      <c r="CP203" s="14"/>
      <c r="CQ203" s="14"/>
      <c r="CR203" s="14"/>
      <c r="CS203" s="14"/>
      <c r="CT203" s="14"/>
      <c r="CU203" s="14"/>
      <c r="CV203" s="14"/>
    </row>
    <row r="204" spans="1:100" x14ac:dyDescent="0.2">
      <c r="A204" s="14"/>
      <c r="B204" s="14"/>
      <c r="C204" s="14"/>
      <c r="D204" s="14"/>
      <c r="E204" s="14"/>
      <c r="F204" s="14"/>
      <c r="G204" s="14"/>
      <c r="H204" s="14"/>
      <c r="I204" s="14"/>
      <c r="J204" s="14"/>
      <c r="K204" s="14"/>
      <c r="L204" s="15"/>
      <c r="M204" s="14"/>
      <c r="N204" s="14"/>
      <c r="O204" s="14"/>
      <c r="P204" s="14"/>
      <c r="Q204" s="16"/>
      <c r="R204" s="14"/>
      <c r="Z204" s="16"/>
      <c r="AC204" s="14"/>
      <c r="AD204" s="14"/>
      <c r="AE204" s="14"/>
      <c r="AF204" s="14"/>
      <c r="AG204" s="14"/>
      <c r="AH204" s="14"/>
      <c r="AI204" s="14"/>
      <c r="AJ204" s="14"/>
      <c r="AK204" s="14"/>
      <c r="AL204" s="14"/>
      <c r="AS204" s="14"/>
      <c r="AT204" s="14"/>
      <c r="AU204" s="14"/>
      <c r="AV204" s="14"/>
      <c r="AW204" s="14"/>
      <c r="AX204" s="14"/>
      <c r="AY204" s="14"/>
      <c r="BA204" s="14"/>
      <c r="BE204" s="16"/>
      <c r="BH204" s="14"/>
      <c r="BI204" s="14"/>
      <c r="BJ204" s="14"/>
      <c r="BK204" s="14"/>
      <c r="BL204" s="14"/>
      <c r="BM204" s="14"/>
      <c r="BN204" s="14"/>
      <c r="BO204" s="14"/>
      <c r="BP204" s="14"/>
      <c r="BQ204" s="14"/>
      <c r="BX204" s="14"/>
      <c r="BY204" s="14"/>
      <c r="BZ204" s="14"/>
      <c r="CA204" s="14"/>
      <c r="CB204" s="14"/>
      <c r="CC204" s="14"/>
      <c r="CD204" s="14"/>
      <c r="CF204" s="14"/>
      <c r="CJ204" s="16"/>
      <c r="CM204" s="14"/>
      <c r="CN204" s="14"/>
      <c r="CO204" s="14"/>
      <c r="CP204" s="14"/>
      <c r="CQ204" s="14"/>
      <c r="CR204" s="14"/>
      <c r="CS204" s="14"/>
      <c r="CT204" s="14"/>
      <c r="CU204" s="14"/>
      <c r="CV204" s="14"/>
    </row>
    <row r="205" spans="1:100" x14ac:dyDescent="0.2">
      <c r="A205" s="14"/>
      <c r="B205" s="14"/>
      <c r="C205" s="14"/>
      <c r="D205" s="14"/>
      <c r="E205" s="14"/>
      <c r="F205" s="14"/>
      <c r="G205" s="14"/>
      <c r="H205" s="14"/>
      <c r="I205" s="14"/>
      <c r="J205" s="14"/>
      <c r="K205" s="14"/>
      <c r="L205" s="15"/>
      <c r="M205" s="14"/>
      <c r="N205" s="14"/>
      <c r="O205" s="14"/>
      <c r="P205" s="14"/>
      <c r="Q205" s="16"/>
      <c r="R205" s="14"/>
      <c r="Z205" s="16"/>
      <c r="AC205" s="14"/>
      <c r="AD205" s="14"/>
      <c r="AE205" s="14"/>
      <c r="AF205" s="14"/>
      <c r="AG205" s="14"/>
      <c r="AH205" s="14"/>
      <c r="AI205" s="14"/>
      <c r="AJ205" s="14"/>
      <c r="AK205" s="14"/>
      <c r="AL205" s="14"/>
      <c r="AS205" s="14"/>
      <c r="AT205" s="14"/>
      <c r="AU205" s="14"/>
      <c r="AV205" s="14"/>
      <c r="AW205" s="14"/>
      <c r="AX205" s="14"/>
      <c r="AY205" s="14"/>
      <c r="BA205" s="14"/>
      <c r="BE205" s="16"/>
      <c r="BH205" s="14"/>
      <c r="BI205" s="14"/>
      <c r="BJ205" s="14"/>
      <c r="BK205" s="14"/>
      <c r="BL205" s="14"/>
      <c r="BM205" s="14"/>
      <c r="BN205" s="14"/>
      <c r="BO205" s="14"/>
      <c r="BP205" s="14"/>
      <c r="BQ205" s="14"/>
      <c r="BX205" s="14"/>
      <c r="BY205" s="14"/>
      <c r="BZ205" s="14"/>
      <c r="CA205" s="14"/>
      <c r="CB205" s="14"/>
      <c r="CC205" s="14"/>
      <c r="CD205" s="14"/>
      <c r="CF205" s="14"/>
      <c r="CJ205" s="16"/>
      <c r="CM205" s="14"/>
      <c r="CN205" s="14"/>
      <c r="CO205" s="14"/>
      <c r="CP205" s="14"/>
      <c r="CQ205" s="14"/>
      <c r="CR205" s="14"/>
      <c r="CS205" s="14"/>
      <c r="CT205" s="14"/>
      <c r="CU205" s="14"/>
      <c r="CV205" s="14"/>
    </row>
    <row r="206" spans="1:100" x14ac:dyDescent="0.2">
      <c r="A206" s="14"/>
      <c r="B206" s="14"/>
      <c r="C206" s="14"/>
      <c r="D206" s="14"/>
      <c r="E206" s="14"/>
      <c r="F206" s="14"/>
      <c r="G206" s="14"/>
      <c r="H206" s="14"/>
      <c r="I206" s="14"/>
      <c r="J206" s="14"/>
      <c r="K206" s="14"/>
      <c r="L206" s="15"/>
      <c r="M206" s="14"/>
      <c r="N206" s="14"/>
      <c r="O206" s="14"/>
      <c r="P206" s="14"/>
      <c r="Q206" s="16"/>
      <c r="R206" s="14"/>
      <c r="Z206" s="16"/>
      <c r="AC206" s="14"/>
      <c r="AD206" s="14"/>
      <c r="AE206" s="14"/>
      <c r="AF206" s="14"/>
      <c r="AG206" s="14"/>
      <c r="AH206" s="14"/>
      <c r="AI206" s="14"/>
      <c r="AJ206" s="14"/>
      <c r="AK206" s="14"/>
      <c r="AL206" s="14"/>
      <c r="AS206" s="14"/>
      <c r="AT206" s="14"/>
      <c r="AU206" s="14"/>
      <c r="AV206" s="14"/>
      <c r="AW206" s="14"/>
      <c r="AX206" s="14"/>
      <c r="AY206" s="14"/>
      <c r="BA206" s="14"/>
      <c r="BE206" s="16"/>
      <c r="BH206" s="14"/>
      <c r="BI206" s="14"/>
      <c r="BJ206" s="14"/>
      <c r="BK206" s="14"/>
      <c r="BL206" s="14"/>
      <c r="BM206" s="14"/>
      <c r="BN206" s="14"/>
      <c r="BO206" s="14"/>
      <c r="BP206" s="14"/>
      <c r="BQ206" s="14"/>
      <c r="BX206" s="14"/>
      <c r="BY206" s="14"/>
      <c r="BZ206" s="14"/>
      <c r="CA206" s="14"/>
      <c r="CB206" s="14"/>
      <c r="CC206" s="14"/>
      <c r="CD206" s="14"/>
      <c r="CF206" s="14"/>
      <c r="CJ206" s="16"/>
      <c r="CM206" s="14"/>
      <c r="CN206" s="14"/>
      <c r="CO206" s="14"/>
      <c r="CP206" s="14"/>
      <c r="CQ206" s="14"/>
      <c r="CR206" s="14"/>
      <c r="CS206" s="14"/>
      <c r="CT206" s="14"/>
      <c r="CU206" s="14"/>
      <c r="CV206" s="14"/>
    </row>
    <row r="207" spans="1:100" x14ac:dyDescent="0.2">
      <c r="A207" s="14"/>
      <c r="B207" s="14"/>
      <c r="C207" s="14"/>
      <c r="D207" s="14"/>
      <c r="E207" s="14"/>
      <c r="F207" s="14"/>
      <c r="G207" s="14"/>
      <c r="H207" s="14"/>
      <c r="I207" s="14"/>
      <c r="J207" s="14"/>
      <c r="K207" s="14"/>
      <c r="L207" s="15"/>
      <c r="M207" s="14"/>
      <c r="N207" s="14"/>
      <c r="O207" s="14"/>
      <c r="P207" s="14"/>
      <c r="Q207" s="16"/>
      <c r="R207" s="14"/>
      <c r="Z207" s="16"/>
      <c r="AC207" s="14"/>
      <c r="AD207" s="14"/>
      <c r="AE207" s="14"/>
      <c r="AF207" s="14"/>
      <c r="AG207" s="14"/>
      <c r="AH207" s="14"/>
      <c r="AI207" s="14"/>
      <c r="AJ207" s="14"/>
      <c r="AK207" s="14"/>
      <c r="AL207" s="14"/>
      <c r="AS207" s="14"/>
      <c r="AT207" s="14"/>
      <c r="AU207" s="14"/>
      <c r="AV207" s="14"/>
      <c r="AW207" s="14"/>
      <c r="AX207" s="14"/>
      <c r="AY207" s="14"/>
      <c r="BA207" s="14"/>
      <c r="BE207" s="16"/>
      <c r="BH207" s="14"/>
      <c r="BI207" s="14"/>
      <c r="BJ207" s="14"/>
      <c r="BK207" s="14"/>
      <c r="BL207" s="14"/>
      <c r="BM207" s="14"/>
      <c r="BN207" s="14"/>
      <c r="BO207" s="14"/>
      <c r="BP207" s="14"/>
      <c r="BQ207" s="14"/>
      <c r="BX207" s="14"/>
      <c r="BY207" s="14"/>
      <c r="BZ207" s="14"/>
      <c r="CA207" s="14"/>
      <c r="CB207" s="14"/>
      <c r="CC207" s="14"/>
      <c r="CD207" s="14"/>
      <c r="CF207" s="14"/>
      <c r="CJ207" s="16"/>
      <c r="CM207" s="14"/>
      <c r="CN207" s="14"/>
      <c r="CO207" s="14"/>
      <c r="CP207" s="14"/>
      <c r="CQ207" s="14"/>
      <c r="CR207" s="14"/>
      <c r="CS207" s="14"/>
      <c r="CT207" s="14"/>
      <c r="CU207" s="14"/>
      <c r="CV207" s="14"/>
    </row>
    <row r="208" spans="1:100" x14ac:dyDescent="0.2">
      <c r="A208" s="14"/>
      <c r="B208" s="14"/>
      <c r="C208" s="14"/>
      <c r="D208" s="14"/>
      <c r="E208" s="14"/>
      <c r="F208" s="14"/>
      <c r="G208" s="14"/>
      <c r="H208" s="14"/>
      <c r="I208" s="14"/>
      <c r="J208" s="14"/>
      <c r="K208" s="14"/>
      <c r="L208" s="15"/>
      <c r="M208" s="14"/>
      <c r="N208" s="14"/>
      <c r="O208" s="14"/>
      <c r="P208" s="14"/>
      <c r="Q208" s="16"/>
      <c r="R208" s="14"/>
      <c r="Z208" s="16"/>
      <c r="AC208" s="14"/>
      <c r="AD208" s="14"/>
      <c r="AE208" s="14"/>
      <c r="AF208" s="14"/>
      <c r="AG208" s="14"/>
      <c r="AH208" s="14"/>
      <c r="AI208" s="14"/>
      <c r="AJ208" s="14"/>
      <c r="AK208" s="14"/>
      <c r="AL208" s="14"/>
      <c r="AS208" s="14"/>
      <c r="AT208" s="14"/>
      <c r="AU208" s="14"/>
      <c r="AV208" s="14"/>
      <c r="AW208" s="14"/>
      <c r="AX208" s="14"/>
      <c r="AY208" s="14"/>
      <c r="BA208" s="14"/>
      <c r="BE208" s="16"/>
      <c r="BH208" s="14"/>
      <c r="BI208" s="14"/>
      <c r="BJ208" s="14"/>
      <c r="BK208" s="14"/>
      <c r="BL208" s="14"/>
      <c r="BM208" s="14"/>
      <c r="BN208" s="14"/>
      <c r="BO208" s="14"/>
      <c r="BP208" s="14"/>
      <c r="BQ208" s="14"/>
      <c r="BX208" s="14"/>
      <c r="BY208" s="14"/>
      <c r="BZ208" s="14"/>
      <c r="CA208" s="14"/>
      <c r="CB208" s="14"/>
      <c r="CC208" s="14"/>
      <c r="CD208" s="14"/>
      <c r="CF208" s="14"/>
      <c r="CJ208" s="16"/>
      <c r="CM208" s="14"/>
      <c r="CN208" s="14"/>
      <c r="CO208" s="14"/>
      <c r="CP208" s="14"/>
      <c r="CQ208" s="14"/>
      <c r="CR208" s="14"/>
      <c r="CS208" s="14"/>
      <c r="CT208" s="14"/>
      <c r="CU208" s="14"/>
      <c r="CV208" s="14"/>
    </row>
    <row r="209" spans="1:100" x14ac:dyDescent="0.2">
      <c r="A209" s="14"/>
      <c r="B209" s="14"/>
      <c r="C209" s="14"/>
      <c r="D209" s="14"/>
      <c r="E209" s="14"/>
      <c r="F209" s="14"/>
      <c r="G209" s="14"/>
      <c r="H209" s="14"/>
      <c r="I209" s="14"/>
      <c r="J209" s="14"/>
      <c r="K209" s="14"/>
      <c r="L209" s="15"/>
      <c r="M209" s="14"/>
      <c r="N209" s="14"/>
      <c r="O209" s="14"/>
      <c r="P209" s="14"/>
      <c r="Q209" s="16"/>
      <c r="R209" s="14"/>
      <c r="Z209" s="16"/>
      <c r="AC209" s="14"/>
      <c r="AD209" s="14"/>
      <c r="AE209" s="14"/>
      <c r="AF209" s="14"/>
      <c r="AG209" s="14"/>
      <c r="AH209" s="14"/>
      <c r="AI209" s="14"/>
      <c r="AJ209" s="14"/>
      <c r="AK209" s="14"/>
      <c r="AL209" s="14"/>
      <c r="AS209" s="14"/>
      <c r="AT209" s="14"/>
      <c r="AU209" s="14"/>
      <c r="AV209" s="14"/>
      <c r="AW209" s="14"/>
      <c r="AX209" s="14"/>
      <c r="AY209" s="14"/>
      <c r="BA209" s="14"/>
      <c r="BE209" s="16"/>
      <c r="BH209" s="14"/>
      <c r="BI209" s="14"/>
      <c r="BJ209" s="14"/>
      <c r="BK209" s="14"/>
      <c r="BL209" s="14"/>
      <c r="BM209" s="14"/>
      <c r="BN209" s="14"/>
      <c r="BO209" s="14"/>
      <c r="BP209" s="14"/>
      <c r="BQ209" s="14"/>
      <c r="BX209" s="14"/>
      <c r="BY209" s="14"/>
      <c r="BZ209" s="14"/>
      <c r="CA209" s="14"/>
      <c r="CB209" s="14"/>
      <c r="CC209" s="14"/>
      <c r="CD209" s="14"/>
      <c r="CF209" s="14"/>
      <c r="CJ209" s="16"/>
      <c r="CM209" s="14"/>
      <c r="CN209" s="14"/>
      <c r="CO209" s="14"/>
      <c r="CP209" s="14"/>
      <c r="CQ209" s="14"/>
      <c r="CR209" s="14"/>
      <c r="CS209" s="14"/>
      <c r="CT209" s="14"/>
      <c r="CU209" s="14"/>
      <c r="CV209" s="14"/>
    </row>
    <row r="210" spans="1:100" x14ac:dyDescent="0.2">
      <c r="A210" s="14"/>
      <c r="B210" s="14"/>
      <c r="C210" s="14"/>
      <c r="D210" s="14"/>
      <c r="E210" s="14"/>
      <c r="F210" s="14"/>
      <c r="G210" s="14"/>
      <c r="H210" s="14"/>
      <c r="I210" s="14"/>
      <c r="J210" s="14"/>
      <c r="K210" s="14"/>
      <c r="L210" s="15"/>
      <c r="M210" s="14"/>
      <c r="N210" s="14"/>
      <c r="O210" s="14"/>
      <c r="P210" s="14"/>
      <c r="Q210" s="16"/>
      <c r="R210" s="14"/>
      <c r="Z210" s="16"/>
      <c r="AC210" s="14"/>
      <c r="AD210" s="14"/>
      <c r="AE210" s="14"/>
      <c r="AF210" s="14"/>
      <c r="AG210" s="14"/>
      <c r="AH210" s="14"/>
      <c r="AI210" s="14"/>
      <c r="AJ210" s="14"/>
      <c r="AK210" s="14"/>
      <c r="AL210" s="14"/>
      <c r="AS210" s="14"/>
      <c r="AT210" s="14"/>
      <c r="AU210" s="14"/>
      <c r="AV210" s="14"/>
      <c r="AW210" s="14"/>
      <c r="AX210" s="14"/>
      <c r="AY210" s="14"/>
      <c r="BA210" s="14"/>
      <c r="BE210" s="16"/>
      <c r="BH210" s="14"/>
      <c r="BI210" s="14"/>
      <c r="BJ210" s="14"/>
      <c r="BK210" s="14"/>
      <c r="BL210" s="14"/>
      <c r="BM210" s="14"/>
      <c r="BN210" s="14"/>
      <c r="BO210" s="14"/>
      <c r="BP210" s="14"/>
      <c r="BQ210" s="14"/>
      <c r="BX210" s="14"/>
      <c r="BY210" s="14"/>
      <c r="BZ210" s="14"/>
      <c r="CA210" s="14"/>
      <c r="CB210" s="14"/>
      <c r="CC210" s="14"/>
      <c r="CD210" s="14"/>
      <c r="CF210" s="14"/>
      <c r="CJ210" s="16"/>
      <c r="CM210" s="14"/>
      <c r="CN210" s="14"/>
      <c r="CO210" s="14"/>
      <c r="CP210" s="14"/>
      <c r="CQ210" s="14"/>
      <c r="CR210" s="14"/>
      <c r="CS210" s="14"/>
      <c r="CT210" s="14"/>
      <c r="CU210" s="14"/>
      <c r="CV210" s="14"/>
    </row>
    <row r="211" spans="1:100" x14ac:dyDescent="0.2">
      <c r="A211" s="14"/>
      <c r="B211" s="14"/>
      <c r="C211" s="14"/>
      <c r="D211" s="14"/>
      <c r="E211" s="14"/>
      <c r="F211" s="14"/>
      <c r="G211" s="14"/>
      <c r="H211" s="14"/>
      <c r="I211" s="14"/>
      <c r="J211" s="14"/>
      <c r="K211" s="14"/>
      <c r="L211" s="15"/>
      <c r="M211" s="14"/>
      <c r="N211" s="14"/>
      <c r="O211" s="14"/>
      <c r="P211" s="14"/>
      <c r="Q211" s="16"/>
      <c r="R211" s="14"/>
      <c r="Z211" s="16"/>
      <c r="AC211" s="14"/>
      <c r="AD211" s="14"/>
      <c r="AE211" s="14"/>
      <c r="AF211" s="14"/>
      <c r="AG211" s="14"/>
      <c r="AH211" s="14"/>
      <c r="AI211" s="14"/>
      <c r="AJ211" s="14"/>
      <c r="AK211" s="14"/>
      <c r="AL211" s="14"/>
      <c r="AS211" s="14"/>
      <c r="AT211" s="14"/>
      <c r="AU211" s="14"/>
      <c r="AV211" s="14"/>
      <c r="AW211" s="14"/>
      <c r="AX211" s="14"/>
      <c r="AY211" s="14"/>
      <c r="BA211" s="14"/>
      <c r="BE211" s="16"/>
      <c r="BH211" s="14"/>
      <c r="BI211" s="14"/>
      <c r="BJ211" s="14"/>
      <c r="BK211" s="14"/>
      <c r="BL211" s="14"/>
      <c r="BM211" s="14"/>
      <c r="BN211" s="14"/>
      <c r="BO211" s="14"/>
      <c r="BP211" s="14"/>
      <c r="BQ211" s="14"/>
      <c r="BX211" s="14"/>
      <c r="BY211" s="14"/>
      <c r="BZ211" s="14"/>
      <c r="CA211" s="14"/>
      <c r="CB211" s="14"/>
      <c r="CC211" s="14"/>
      <c r="CD211" s="14"/>
      <c r="CF211" s="14"/>
      <c r="CJ211" s="16"/>
      <c r="CM211" s="14"/>
      <c r="CN211" s="14"/>
      <c r="CO211" s="14"/>
      <c r="CP211" s="14"/>
      <c r="CQ211" s="14"/>
      <c r="CR211" s="14"/>
      <c r="CS211" s="14"/>
      <c r="CT211" s="14"/>
      <c r="CU211" s="14"/>
      <c r="CV211" s="14"/>
    </row>
    <row r="212" spans="1:100" x14ac:dyDescent="0.2">
      <c r="A212" s="14"/>
      <c r="B212" s="14"/>
      <c r="C212" s="14"/>
      <c r="D212" s="14"/>
      <c r="E212" s="14"/>
      <c r="F212" s="14"/>
      <c r="G212" s="14"/>
      <c r="H212" s="14"/>
      <c r="I212" s="14"/>
      <c r="J212" s="14"/>
      <c r="K212" s="14"/>
      <c r="L212" s="15"/>
      <c r="M212" s="14"/>
      <c r="N212" s="14"/>
      <c r="O212" s="14"/>
      <c r="P212" s="14"/>
      <c r="Q212" s="16"/>
      <c r="R212" s="14"/>
      <c r="Z212" s="16"/>
      <c r="AC212" s="14"/>
      <c r="AD212" s="14"/>
      <c r="AE212" s="14"/>
      <c r="AF212" s="14"/>
      <c r="AG212" s="14"/>
      <c r="AH212" s="14"/>
      <c r="AI212" s="14"/>
      <c r="AJ212" s="14"/>
      <c r="AK212" s="14"/>
      <c r="AL212" s="14"/>
      <c r="AS212" s="14"/>
      <c r="AT212" s="14"/>
      <c r="AU212" s="14"/>
      <c r="AV212" s="14"/>
      <c r="AW212" s="14"/>
      <c r="AX212" s="14"/>
      <c r="AY212" s="14"/>
      <c r="BA212" s="14"/>
      <c r="BE212" s="16"/>
      <c r="BH212" s="14"/>
      <c r="BI212" s="14"/>
      <c r="BJ212" s="14"/>
      <c r="BK212" s="14"/>
      <c r="BL212" s="14"/>
      <c r="BM212" s="14"/>
      <c r="BN212" s="14"/>
      <c r="BO212" s="14"/>
      <c r="BP212" s="14"/>
      <c r="BQ212" s="14"/>
      <c r="BX212" s="14"/>
      <c r="BY212" s="14"/>
      <c r="BZ212" s="14"/>
      <c r="CA212" s="14"/>
      <c r="CB212" s="14"/>
      <c r="CC212" s="14"/>
      <c r="CD212" s="14"/>
      <c r="CF212" s="14"/>
      <c r="CJ212" s="16"/>
      <c r="CM212" s="14"/>
      <c r="CN212" s="14"/>
      <c r="CO212" s="14"/>
      <c r="CP212" s="14"/>
      <c r="CQ212" s="14"/>
      <c r="CR212" s="14"/>
      <c r="CS212" s="14"/>
      <c r="CT212" s="14"/>
      <c r="CU212" s="14"/>
      <c r="CV212" s="14"/>
    </row>
    <row r="213" spans="1:100" x14ac:dyDescent="0.2">
      <c r="A213" s="14"/>
      <c r="B213" s="14"/>
      <c r="C213" s="14"/>
      <c r="D213" s="14"/>
      <c r="E213" s="14"/>
      <c r="F213" s="14"/>
      <c r="G213" s="14"/>
      <c r="H213" s="14"/>
      <c r="I213" s="14"/>
      <c r="J213" s="14"/>
      <c r="K213" s="14"/>
      <c r="L213" s="15"/>
      <c r="M213" s="14"/>
      <c r="N213" s="14"/>
      <c r="O213" s="14"/>
      <c r="P213" s="14"/>
      <c r="Q213" s="16"/>
      <c r="R213" s="14"/>
      <c r="Z213" s="16"/>
      <c r="AC213" s="14"/>
      <c r="AD213" s="14"/>
      <c r="AE213" s="14"/>
      <c r="AF213" s="14"/>
      <c r="AG213" s="14"/>
      <c r="AH213" s="14"/>
      <c r="AI213" s="14"/>
      <c r="AJ213" s="14"/>
      <c r="AK213" s="14"/>
      <c r="AL213" s="14"/>
      <c r="AS213" s="14"/>
      <c r="AT213" s="14"/>
      <c r="AU213" s="14"/>
      <c r="AV213" s="14"/>
      <c r="AW213" s="14"/>
      <c r="AX213" s="14"/>
      <c r="AY213" s="14"/>
      <c r="BA213" s="14"/>
      <c r="BE213" s="16"/>
      <c r="BH213" s="14"/>
      <c r="BI213" s="14"/>
      <c r="BJ213" s="14"/>
      <c r="BK213" s="14"/>
      <c r="BL213" s="14"/>
      <c r="BM213" s="14"/>
      <c r="BN213" s="14"/>
      <c r="BO213" s="14"/>
      <c r="BP213" s="14"/>
      <c r="BQ213" s="14"/>
      <c r="BX213" s="14"/>
      <c r="BY213" s="14"/>
      <c r="BZ213" s="14"/>
      <c r="CA213" s="14"/>
      <c r="CB213" s="14"/>
      <c r="CC213" s="14"/>
      <c r="CD213" s="14"/>
      <c r="CF213" s="14"/>
      <c r="CJ213" s="16"/>
      <c r="CM213" s="14"/>
      <c r="CN213" s="14"/>
      <c r="CO213" s="14"/>
      <c r="CP213" s="14"/>
      <c r="CQ213" s="14"/>
      <c r="CR213" s="14"/>
      <c r="CS213" s="14"/>
      <c r="CT213" s="14"/>
      <c r="CU213" s="14"/>
      <c r="CV213" s="14"/>
    </row>
    <row r="214" spans="1:100" x14ac:dyDescent="0.2">
      <c r="A214" s="14"/>
      <c r="B214" s="14"/>
      <c r="C214" s="14"/>
      <c r="D214" s="14"/>
      <c r="E214" s="14"/>
      <c r="F214" s="14"/>
      <c r="G214" s="14"/>
      <c r="H214" s="14"/>
      <c r="I214" s="14"/>
      <c r="J214" s="14"/>
      <c r="K214" s="14"/>
      <c r="L214" s="15"/>
      <c r="M214" s="14"/>
      <c r="N214" s="14"/>
      <c r="O214" s="14"/>
      <c r="P214" s="14"/>
      <c r="Q214" s="16"/>
      <c r="R214" s="14"/>
      <c r="Z214" s="16"/>
      <c r="AC214" s="14"/>
      <c r="AD214" s="14"/>
      <c r="AE214" s="14"/>
      <c r="AF214" s="14"/>
      <c r="AG214" s="14"/>
      <c r="AH214" s="14"/>
      <c r="AI214" s="14"/>
      <c r="AJ214" s="14"/>
      <c r="AK214" s="14"/>
      <c r="AL214" s="14"/>
      <c r="AS214" s="14"/>
      <c r="AT214" s="14"/>
      <c r="AU214" s="14"/>
      <c r="AV214" s="14"/>
      <c r="AW214" s="14"/>
      <c r="AX214" s="14"/>
      <c r="AY214" s="14"/>
      <c r="BA214" s="14"/>
      <c r="BE214" s="16"/>
      <c r="BH214" s="14"/>
      <c r="BI214" s="14"/>
      <c r="BJ214" s="14"/>
      <c r="BK214" s="14"/>
      <c r="BL214" s="14"/>
      <c r="BM214" s="14"/>
      <c r="BN214" s="14"/>
      <c r="BO214" s="14"/>
      <c r="BP214" s="14"/>
      <c r="BQ214" s="14"/>
      <c r="BX214" s="14"/>
      <c r="BY214" s="14"/>
      <c r="BZ214" s="14"/>
      <c r="CA214" s="14"/>
      <c r="CB214" s="14"/>
      <c r="CC214" s="14"/>
      <c r="CD214" s="14"/>
      <c r="CF214" s="14"/>
      <c r="CJ214" s="16"/>
      <c r="CM214" s="14"/>
      <c r="CN214" s="14"/>
      <c r="CO214" s="14"/>
      <c r="CP214" s="14"/>
      <c r="CQ214" s="14"/>
      <c r="CR214" s="14"/>
      <c r="CS214" s="14"/>
      <c r="CT214" s="14"/>
      <c r="CU214" s="14"/>
      <c r="CV214" s="14"/>
    </row>
    <row r="215" spans="1:100" x14ac:dyDescent="0.2">
      <c r="A215" s="14"/>
      <c r="B215" s="14"/>
      <c r="C215" s="14"/>
      <c r="D215" s="14"/>
      <c r="E215" s="14"/>
      <c r="F215" s="14"/>
      <c r="G215" s="14"/>
      <c r="H215" s="14"/>
      <c r="I215" s="14"/>
      <c r="J215" s="14"/>
      <c r="K215" s="14"/>
      <c r="L215" s="15"/>
      <c r="M215" s="14"/>
      <c r="N215" s="14"/>
      <c r="O215" s="14"/>
      <c r="P215" s="14"/>
      <c r="Q215" s="16"/>
      <c r="R215" s="14"/>
      <c r="Z215" s="16"/>
      <c r="AC215" s="14"/>
      <c r="AD215" s="14"/>
      <c r="AE215" s="14"/>
      <c r="AF215" s="14"/>
      <c r="AG215" s="14"/>
      <c r="AH215" s="14"/>
      <c r="AI215" s="14"/>
      <c r="AJ215" s="14"/>
      <c r="AK215" s="14"/>
      <c r="AL215" s="14"/>
      <c r="AS215" s="14"/>
      <c r="AT215" s="14"/>
      <c r="AU215" s="14"/>
      <c r="AV215" s="14"/>
      <c r="AW215" s="14"/>
      <c r="AX215" s="14"/>
      <c r="AY215" s="14"/>
      <c r="BA215" s="14"/>
      <c r="BE215" s="16"/>
      <c r="BH215" s="14"/>
      <c r="BI215" s="14"/>
      <c r="BJ215" s="14"/>
      <c r="BK215" s="14"/>
      <c r="BL215" s="14"/>
      <c r="BM215" s="14"/>
      <c r="BN215" s="14"/>
      <c r="BO215" s="14"/>
      <c r="BP215" s="14"/>
      <c r="BQ215" s="14"/>
      <c r="BX215" s="14"/>
      <c r="BY215" s="14"/>
      <c r="BZ215" s="14"/>
      <c r="CA215" s="14"/>
      <c r="CB215" s="14"/>
      <c r="CC215" s="14"/>
      <c r="CD215" s="14"/>
      <c r="CF215" s="14"/>
      <c r="CJ215" s="16"/>
      <c r="CM215" s="14"/>
      <c r="CN215" s="14"/>
      <c r="CO215" s="14"/>
      <c r="CP215" s="14"/>
      <c r="CQ215" s="14"/>
      <c r="CR215" s="14"/>
      <c r="CS215" s="14"/>
      <c r="CT215" s="14"/>
      <c r="CU215" s="14"/>
      <c r="CV215" s="14"/>
    </row>
    <row r="216" spans="1:100" x14ac:dyDescent="0.2">
      <c r="A216" s="14"/>
      <c r="B216" s="14"/>
      <c r="C216" s="14"/>
      <c r="D216" s="14"/>
      <c r="E216" s="14"/>
      <c r="F216" s="14"/>
      <c r="G216" s="14"/>
      <c r="H216" s="14"/>
      <c r="I216" s="14"/>
      <c r="J216" s="14"/>
      <c r="K216" s="14"/>
      <c r="L216" s="15"/>
      <c r="M216" s="14"/>
      <c r="N216" s="14"/>
      <c r="O216" s="14"/>
      <c r="P216" s="14"/>
      <c r="Q216" s="16"/>
      <c r="R216" s="14"/>
      <c r="Z216" s="16"/>
      <c r="AC216" s="14"/>
      <c r="AD216" s="14"/>
      <c r="AE216" s="14"/>
      <c r="AF216" s="14"/>
      <c r="AG216" s="14"/>
      <c r="AH216" s="14"/>
      <c r="AI216" s="14"/>
      <c r="AJ216" s="14"/>
      <c r="AK216" s="14"/>
      <c r="AL216" s="14"/>
      <c r="AS216" s="14"/>
      <c r="AT216" s="14"/>
      <c r="AU216" s="14"/>
      <c r="AV216" s="14"/>
      <c r="AW216" s="14"/>
      <c r="AX216" s="14"/>
      <c r="AY216" s="14"/>
      <c r="BA216" s="14"/>
      <c r="BE216" s="16"/>
      <c r="BH216" s="14"/>
      <c r="BI216" s="14"/>
      <c r="BJ216" s="14"/>
      <c r="BK216" s="14"/>
      <c r="BL216" s="14"/>
      <c r="BM216" s="14"/>
      <c r="BN216" s="14"/>
      <c r="BO216" s="14"/>
      <c r="BP216" s="14"/>
      <c r="BQ216" s="14"/>
      <c r="BX216" s="14"/>
      <c r="BY216" s="14"/>
      <c r="BZ216" s="14"/>
      <c r="CA216" s="14"/>
      <c r="CB216" s="14"/>
      <c r="CC216" s="14"/>
      <c r="CD216" s="14"/>
      <c r="CF216" s="14"/>
      <c r="CJ216" s="16"/>
      <c r="CM216" s="14"/>
      <c r="CN216" s="14"/>
      <c r="CO216" s="14"/>
      <c r="CP216" s="14"/>
      <c r="CQ216" s="14"/>
      <c r="CR216" s="14"/>
      <c r="CS216" s="14"/>
      <c r="CT216" s="14"/>
      <c r="CU216" s="14"/>
      <c r="CV216" s="14"/>
    </row>
    <row r="217" spans="1:100" x14ac:dyDescent="0.2">
      <c r="A217" s="14"/>
      <c r="B217" s="14"/>
      <c r="C217" s="14"/>
      <c r="D217" s="14"/>
      <c r="E217" s="14"/>
      <c r="F217" s="14"/>
      <c r="G217" s="14"/>
      <c r="H217" s="14"/>
      <c r="I217" s="14"/>
      <c r="J217" s="14"/>
      <c r="K217" s="14"/>
      <c r="L217" s="15"/>
      <c r="M217" s="14"/>
      <c r="N217" s="14"/>
      <c r="O217" s="14"/>
      <c r="P217" s="14"/>
      <c r="Q217" s="16"/>
      <c r="R217" s="14"/>
      <c r="Z217" s="16"/>
      <c r="AC217" s="14"/>
      <c r="AD217" s="14"/>
      <c r="AE217" s="14"/>
      <c r="AF217" s="14"/>
      <c r="AG217" s="14"/>
      <c r="AH217" s="14"/>
      <c r="AI217" s="14"/>
      <c r="AJ217" s="14"/>
      <c r="AK217" s="14"/>
      <c r="AL217" s="14"/>
      <c r="AS217" s="14"/>
      <c r="AT217" s="14"/>
      <c r="AU217" s="14"/>
      <c r="AV217" s="14"/>
      <c r="AW217" s="14"/>
      <c r="AX217" s="14"/>
      <c r="AY217" s="14"/>
      <c r="BA217" s="14"/>
      <c r="BE217" s="16"/>
      <c r="BH217" s="14"/>
      <c r="BI217" s="14"/>
      <c r="BJ217" s="14"/>
      <c r="BK217" s="14"/>
      <c r="BL217" s="14"/>
      <c r="BM217" s="14"/>
      <c r="BN217" s="14"/>
      <c r="BO217" s="14"/>
      <c r="BP217" s="14"/>
      <c r="BQ217" s="14"/>
      <c r="BX217" s="14"/>
      <c r="BY217" s="14"/>
      <c r="BZ217" s="14"/>
      <c r="CA217" s="14"/>
      <c r="CB217" s="14"/>
      <c r="CC217" s="14"/>
      <c r="CD217" s="14"/>
      <c r="CF217" s="14"/>
      <c r="CJ217" s="16"/>
      <c r="CM217" s="14"/>
      <c r="CN217" s="14"/>
      <c r="CO217" s="14"/>
      <c r="CP217" s="14"/>
      <c r="CQ217" s="14"/>
      <c r="CR217" s="14"/>
      <c r="CS217" s="14"/>
      <c r="CT217" s="14"/>
      <c r="CU217" s="14"/>
      <c r="CV217" s="14"/>
    </row>
    <row r="218" spans="1:100" x14ac:dyDescent="0.2">
      <c r="A218" s="14"/>
      <c r="B218" s="14"/>
      <c r="C218" s="14"/>
      <c r="D218" s="14"/>
      <c r="E218" s="14"/>
      <c r="F218" s="14"/>
      <c r="G218" s="14"/>
      <c r="H218" s="14"/>
      <c r="I218" s="14"/>
      <c r="J218" s="14"/>
      <c r="K218" s="14"/>
      <c r="L218" s="15"/>
      <c r="M218" s="14"/>
      <c r="N218" s="14"/>
      <c r="O218" s="14"/>
      <c r="P218" s="14"/>
      <c r="Q218" s="16"/>
      <c r="R218" s="14"/>
      <c r="Z218" s="16"/>
      <c r="AC218" s="14"/>
      <c r="AD218" s="14"/>
      <c r="AE218" s="14"/>
      <c r="AF218" s="14"/>
      <c r="AG218" s="14"/>
      <c r="AH218" s="14"/>
      <c r="AI218" s="14"/>
      <c r="AJ218" s="14"/>
      <c r="AK218" s="14"/>
      <c r="AL218" s="14"/>
      <c r="AS218" s="14"/>
      <c r="AT218" s="14"/>
      <c r="AU218" s="14"/>
      <c r="AV218" s="14"/>
      <c r="AW218" s="14"/>
      <c r="AX218" s="14"/>
      <c r="AY218" s="14"/>
      <c r="BA218" s="14"/>
      <c r="BE218" s="16"/>
      <c r="BH218" s="14"/>
      <c r="BI218" s="14"/>
      <c r="BJ218" s="14"/>
      <c r="BK218" s="14"/>
      <c r="BL218" s="14"/>
      <c r="BM218" s="14"/>
      <c r="BN218" s="14"/>
      <c r="BO218" s="14"/>
      <c r="BP218" s="14"/>
      <c r="BQ218" s="14"/>
      <c r="BX218" s="14"/>
      <c r="BY218" s="14"/>
      <c r="BZ218" s="14"/>
      <c r="CA218" s="14"/>
      <c r="CB218" s="14"/>
      <c r="CC218" s="14"/>
      <c r="CD218" s="14"/>
      <c r="CF218" s="14"/>
      <c r="CJ218" s="16"/>
      <c r="CM218" s="14"/>
      <c r="CN218" s="14"/>
      <c r="CO218" s="14"/>
      <c r="CP218" s="14"/>
      <c r="CQ218" s="14"/>
      <c r="CR218" s="14"/>
      <c r="CS218" s="14"/>
      <c r="CT218" s="14"/>
      <c r="CU218" s="14"/>
      <c r="CV218" s="14"/>
    </row>
    <row r="219" spans="1:100" x14ac:dyDescent="0.2">
      <c r="A219" s="14"/>
      <c r="B219" s="14"/>
      <c r="C219" s="14"/>
      <c r="D219" s="14"/>
      <c r="E219" s="14"/>
      <c r="F219" s="14"/>
      <c r="G219" s="14"/>
      <c r="H219" s="14"/>
      <c r="I219" s="14"/>
      <c r="J219" s="14"/>
      <c r="K219" s="14"/>
      <c r="L219" s="15"/>
      <c r="M219" s="14"/>
      <c r="N219" s="14"/>
      <c r="O219" s="14"/>
      <c r="P219" s="14"/>
      <c r="Q219" s="16"/>
      <c r="R219" s="14"/>
      <c r="Z219" s="16"/>
      <c r="AC219" s="14"/>
      <c r="AD219" s="14"/>
      <c r="AE219" s="14"/>
      <c r="AF219" s="14"/>
      <c r="AG219" s="14"/>
      <c r="AH219" s="14"/>
      <c r="AI219" s="14"/>
      <c r="AJ219" s="14"/>
      <c r="AK219" s="14"/>
      <c r="AL219" s="14"/>
      <c r="AS219" s="14"/>
      <c r="AT219" s="14"/>
      <c r="AU219" s="14"/>
      <c r="AV219" s="14"/>
      <c r="AW219" s="14"/>
      <c r="AX219" s="14"/>
      <c r="AY219" s="14"/>
      <c r="BA219" s="14"/>
      <c r="BE219" s="16"/>
      <c r="BH219" s="14"/>
      <c r="BI219" s="14"/>
      <c r="BJ219" s="14"/>
      <c r="BK219" s="14"/>
      <c r="BL219" s="14"/>
      <c r="BM219" s="14"/>
      <c r="BN219" s="14"/>
      <c r="BO219" s="14"/>
      <c r="BP219" s="14"/>
      <c r="BQ219" s="14"/>
      <c r="BX219" s="14"/>
      <c r="BY219" s="14"/>
      <c r="BZ219" s="14"/>
      <c r="CA219" s="14"/>
      <c r="CB219" s="14"/>
      <c r="CC219" s="14"/>
      <c r="CD219" s="14"/>
      <c r="CF219" s="14"/>
      <c r="CJ219" s="16"/>
      <c r="CM219" s="14"/>
      <c r="CN219" s="14"/>
      <c r="CO219" s="14"/>
      <c r="CP219" s="14"/>
      <c r="CQ219" s="14"/>
      <c r="CR219" s="14"/>
      <c r="CS219" s="14"/>
      <c r="CT219" s="14"/>
      <c r="CU219" s="14"/>
      <c r="CV219" s="14"/>
    </row>
    <row r="220" spans="1:100" x14ac:dyDescent="0.2">
      <c r="A220" s="14"/>
      <c r="B220" s="14"/>
      <c r="C220" s="14"/>
      <c r="D220" s="14"/>
      <c r="E220" s="14"/>
      <c r="F220" s="14"/>
      <c r="G220" s="14"/>
      <c r="H220" s="14"/>
      <c r="I220" s="14"/>
      <c r="J220" s="14"/>
      <c r="K220" s="14"/>
      <c r="L220" s="15"/>
      <c r="M220" s="14"/>
      <c r="N220" s="14"/>
      <c r="O220" s="14"/>
      <c r="P220" s="14"/>
      <c r="Q220" s="16"/>
      <c r="R220" s="14"/>
      <c r="Z220" s="16"/>
      <c r="AC220" s="14"/>
      <c r="AD220" s="14"/>
      <c r="AE220" s="14"/>
      <c r="AF220" s="14"/>
      <c r="AG220" s="14"/>
      <c r="AH220" s="14"/>
      <c r="AI220" s="14"/>
      <c r="AJ220" s="14"/>
      <c r="AK220" s="14"/>
      <c r="AL220" s="14"/>
      <c r="AS220" s="14"/>
      <c r="AT220" s="14"/>
      <c r="AU220" s="14"/>
      <c r="AV220" s="14"/>
      <c r="AW220" s="14"/>
      <c r="AX220" s="14"/>
      <c r="AY220" s="14"/>
      <c r="BA220" s="14"/>
      <c r="BE220" s="16"/>
      <c r="BH220" s="14"/>
      <c r="BI220" s="14"/>
      <c r="BJ220" s="14"/>
      <c r="BK220" s="14"/>
      <c r="BL220" s="14"/>
      <c r="BM220" s="14"/>
      <c r="BN220" s="14"/>
      <c r="BO220" s="14"/>
      <c r="BP220" s="14"/>
      <c r="BQ220" s="14"/>
      <c r="BX220" s="14"/>
      <c r="BY220" s="14"/>
      <c r="BZ220" s="14"/>
      <c r="CA220" s="14"/>
      <c r="CB220" s="14"/>
      <c r="CC220" s="14"/>
      <c r="CD220" s="14"/>
      <c r="CF220" s="14"/>
      <c r="CJ220" s="16"/>
      <c r="CM220" s="14"/>
      <c r="CN220" s="14"/>
      <c r="CO220" s="14"/>
      <c r="CP220" s="14"/>
      <c r="CQ220" s="14"/>
      <c r="CR220" s="14"/>
      <c r="CS220" s="14"/>
      <c r="CT220" s="14"/>
      <c r="CU220" s="14"/>
      <c r="CV220" s="14"/>
    </row>
    <row r="221" spans="1:100" x14ac:dyDescent="0.2">
      <c r="A221" s="14"/>
      <c r="B221" s="14"/>
      <c r="C221" s="14"/>
      <c r="D221" s="14"/>
      <c r="E221" s="14"/>
      <c r="F221" s="14"/>
      <c r="G221" s="14"/>
      <c r="H221" s="14"/>
      <c r="I221" s="14"/>
      <c r="J221" s="14"/>
      <c r="K221" s="14"/>
      <c r="L221" s="15"/>
      <c r="M221" s="14"/>
      <c r="N221" s="14"/>
      <c r="O221" s="14"/>
      <c r="P221" s="14"/>
      <c r="Q221" s="16"/>
      <c r="R221" s="14"/>
      <c r="Z221" s="16"/>
      <c r="AC221" s="14"/>
      <c r="AD221" s="14"/>
      <c r="AE221" s="14"/>
      <c r="AF221" s="14"/>
      <c r="AG221" s="14"/>
      <c r="AH221" s="14"/>
      <c r="AI221" s="14"/>
      <c r="AJ221" s="14"/>
      <c r="AK221" s="14"/>
      <c r="AL221" s="14"/>
      <c r="AS221" s="14"/>
      <c r="AT221" s="14"/>
      <c r="AU221" s="14"/>
      <c r="AV221" s="14"/>
      <c r="AW221" s="14"/>
      <c r="AX221" s="14"/>
      <c r="AY221" s="14"/>
      <c r="BA221" s="14"/>
      <c r="BE221" s="16"/>
      <c r="BH221" s="14"/>
      <c r="BI221" s="14"/>
      <c r="BJ221" s="14"/>
      <c r="BK221" s="14"/>
      <c r="BL221" s="14"/>
      <c r="BM221" s="14"/>
      <c r="BN221" s="14"/>
      <c r="BO221" s="14"/>
      <c r="BP221" s="14"/>
      <c r="BQ221" s="14"/>
      <c r="BX221" s="14"/>
      <c r="BY221" s="14"/>
      <c r="BZ221" s="14"/>
      <c r="CA221" s="14"/>
      <c r="CB221" s="14"/>
      <c r="CC221" s="14"/>
      <c r="CD221" s="14"/>
      <c r="CF221" s="14"/>
      <c r="CJ221" s="16"/>
      <c r="CM221" s="14"/>
      <c r="CN221" s="14"/>
      <c r="CO221" s="14"/>
      <c r="CP221" s="14"/>
      <c r="CQ221" s="14"/>
      <c r="CR221" s="14"/>
      <c r="CS221" s="14"/>
      <c r="CT221" s="14"/>
      <c r="CU221" s="14"/>
      <c r="CV221" s="14"/>
    </row>
    <row r="222" spans="1:100" x14ac:dyDescent="0.2">
      <c r="A222" s="14"/>
      <c r="B222" s="14"/>
      <c r="C222" s="14"/>
      <c r="D222" s="14"/>
      <c r="E222" s="14"/>
      <c r="F222" s="14"/>
      <c r="G222" s="14"/>
      <c r="H222" s="14"/>
      <c r="I222" s="14"/>
      <c r="J222" s="14"/>
      <c r="K222" s="14"/>
      <c r="L222" s="15"/>
      <c r="M222" s="14"/>
      <c r="N222" s="14"/>
      <c r="O222" s="14"/>
      <c r="P222" s="14"/>
      <c r="Q222" s="16"/>
      <c r="R222" s="14"/>
      <c r="Z222" s="16"/>
      <c r="AC222" s="14"/>
      <c r="AD222" s="14"/>
      <c r="AE222" s="14"/>
      <c r="AF222" s="14"/>
      <c r="AG222" s="14"/>
      <c r="AH222" s="14"/>
      <c r="AI222" s="14"/>
      <c r="AJ222" s="14"/>
      <c r="AK222" s="14"/>
      <c r="AL222" s="14"/>
      <c r="AS222" s="14"/>
      <c r="AT222" s="14"/>
      <c r="AU222" s="14"/>
      <c r="AV222" s="14"/>
      <c r="AW222" s="14"/>
      <c r="AX222" s="14"/>
      <c r="AY222" s="14"/>
      <c r="BA222" s="14"/>
      <c r="BE222" s="16"/>
      <c r="BH222" s="14"/>
      <c r="BI222" s="14"/>
      <c r="BJ222" s="14"/>
      <c r="BK222" s="14"/>
      <c r="BL222" s="14"/>
      <c r="BM222" s="14"/>
      <c r="BN222" s="14"/>
      <c r="BO222" s="14"/>
      <c r="BP222" s="14"/>
      <c r="BQ222" s="14"/>
      <c r="BX222" s="14"/>
      <c r="BY222" s="14"/>
      <c r="BZ222" s="14"/>
      <c r="CA222" s="14"/>
      <c r="CB222" s="14"/>
      <c r="CC222" s="14"/>
      <c r="CD222" s="14"/>
      <c r="CF222" s="14"/>
      <c r="CJ222" s="16"/>
      <c r="CM222" s="14"/>
      <c r="CN222" s="14"/>
      <c r="CO222" s="14"/>
      <c r="CP222" s="14"/>
      <c r="CQ222" s="14"/>
      <c r="CR222" s="14"/>
      <c r="CS222" s="14"/>
      <c r="CT222" s="14"/>
      <c r="CU222" s="14"/>
      <c r="CV222" s="14"/>
    </row>
    <row r="223" spans="1:100" x14ac:dyDescent="0.2">
      <c r="A223" s="14"/>
      <c r="B223" s="14"/>
      <c r="C223" s="14"/>
      <c r="D223" s="14"/>
      <c r="E223" s="14"/>
      <c r="F223" s="14"/>
      <c r="G223" s="14"/>
      <c r="H223" s="14"/>
      <c r="I223" s="14"/>
      <c r="J223" s="14"/>
      <c r="K223" s="14"/>
      <c r="L223" s="15"/>
      <c r="M223" s="14"/>
      <c r="N223" s="14"/>
      <c r="O223" s="14"/>
      <c r="P223" s="14"/>
      <c r="Q223" s="16"/>
      <c r="R223" s="14"/>
      <c r="Z223" s="16"/>
      <c r="AC223" s="14"/>
      <c r="AD223" s="14"/>
      <c r="AE223" s="14"/>
      <c r="AF223" s="14"/>
      <c r="AG223" s="14"/>
      <c r="AH223" s="14"/>
      <c r="AI223" s="14"/>
      <c r="AJ223" s="14"/>
      <c r="AK223" s="14"/>
      <c r="AL223" s="14"/>
      <c r="AS223" s="14"/>
      <c r="AT223" s="14"/>
      <c r="AU223" s="14"/>
      <c r="AV223" s="14"/>
      <c r="AW223" s="14"/>
      <c r="AX223" s="14"/>
      <c r="AY223" s="14"/>
      <c r="BA223" s="14"/>
      <c r="BE223" s="16"/>
      <c r="BH223" s="14"/>
      <c r="BI223" s="14"/>
      <c r="BJ223" s="14"/>
      <c r="BK223" s="14"/>
      <c r="BL223" s="14"/>
      <c r="BM223" s="14"/>
      <c r="BN223" s="14"/>
      <c r="BO223" s="14"/>
      <c r="BP223" s="14"/>
      <c r="BQ223" s="14"/>
      <c r="BX223" s="14"/>
      <c r="BY223" s="14"/>
      <c r="BZ223" s="14"/>
      <c r="CA223" s="14"/>
      <c r="CB223" s="14"/>
      <c r="CC223" s="14"/>
      <c r="CD223" s="14"/>
      <c r="CF223" s="14"/>
      <c r="CJ223" s="16"/>
      <c r="CM223" s="14"/>
      <c r="CN223" s="14"/>
      <c r="CO223" s="14"/>
      <c r="CP223" s="14"/>
      <c r="CQ223" s="14"/>
      <c r="CR223" s="14"/>
      <c r="CS223" s="14"/>
      <c r="CT223" s="14"/>
      <c r="CU223" s="14"/>
      <c r="CV223" s="14"/>
    </row>
    <row r="224" spans="1:100" x14ac:dyDescent="0.2">
      <c r="A224" s="14"/>
      <c r="B224" s="14"/>
      <c r="C224" s="14"/>
      <c r="D224" s="14"/>
      <c r="E224" s="14"/>
      <c r="F224" s="14"/>
      <c r="G224" s="14"/>
      <c r="H224" s="14"/>
      <c r="I224" s="14"/>
      <c r="J224" s="14"/>
      <c r="K224" s="14"/>
      <c r="L224" s="15"/>
      <c r="M224" s="14"/>
      <c r="N224" s="14"/>
      <c r="O224" s="14"/>
      <c r="P224" s="14"/>
      <c r="Q224" s="16"/>
      <c r="R224" s="14"/>
      <c r="Z224" s="16"/>
      <c r="AC224" s="14"/>
      <c r="AD224" s="14"/>
      <c r="AE224" s="14"/>
      <c r="AF224" s="14"/>
      <c r="AG224" s="14"/>
      <c r="AH224" s="14"/>
      <c r="AI224" s="14"/>
      <c r="AJ224" s="14"/>
      <c r="AK224" s="14"/>
      <c r="AL224" s="14"/>
      <c r="AS224" s="14"/>
      <c r="AT224" s="14"/>
      <c r="AU224" s="14"/>
      <c r="AV224" s="14"/>
      <c r="AW224" s="14"/>
      <c r="AX224" s="14"/>
      <c r="AY224" s="14"/>
      <c r="BA224" s="14"/>
      <c r="BE224" s="16"/>
      <c r="BH224" s="14"/>
      <c r="BI224" s="14"/>
      <c r="BJ224" s="14"/>
      <c r="BK224" s="14"/>
      <c r="BL224" s="14"/>
      <c r="BM224" s="14"/>
      <c r="BN224" s="14"/>
      <c r="BO224" s="14"/>
      <c r="BP224" s="14"/>
      <c r="BQ224" s="14"/>
      <c r="BX224" s="14"/>
      <c r="BY224" s="14"/>
      <c r="BZ224" s="14"/>
      <c r="CA224" s="14"/>
      <c r="CB224" s="14"/>
      <c r="CC224" s="14"/>
      <c r="CD224" s="14"/>
      <c r="CF224" s="14"/>
      <c r="CJ224" s="16"/>
      <c r="CM224" s="14"/>
      <c r="CN224" s="14"/>
      <c r="CO224" s="14"/>
      <c r="CP224" s="14"/>
      <c r="CQ224" s="14"/>
      <c r="CR224" s="14"/>
      <c r="CS224" s="14"/>
      <c r="CT224" s="14"/>
      <c r="CU224" s="14"/>
      <c r="CV224" s="14"/>
    </row>
    <row r="225" spans="1:100" x14ac:dyDescent="0.2">
      <c r="A225" s="14"/>
      <c r="B225" s="14"/>
      <c r="C225" s="14"/>
      <c r="D225" s="14"/>
      <c r="E225" s="14"/>
      <c r="F225" s="14"/>
      <c r="G225" s="14"/>
      <c r="H225" s="14"/>
      <c r="I225" s="14"/>
      <c r="J225" s="14"/>
      <c r="K225" s="14"/>
      <c r="L225" s="15"/>
      <c r="M225" s="14"/>
      <c r="N225" s="14"/>
      <c r="O225" s="14"/>
      <c r="P225" s="14"/>
      <c r="Q225" s="16"/>
      <c r="R225" s="14"/>
      <c r="Z225" s="16"/>
      <c r="AC225" s="14"/>
      <c r="AD225" s="14"/>
      <c r="AE225" s="14"/>
      <c r="AF225" s="14"/>
      <c r="AG225" s="14"/>
      <c r="AH225" s="14"/>
      <c r="AI225" s="14"/>
      <c r="AJ225" s="14"/>
      <c r="AK225" s="14"/>
      <c r="AL225" s="14"/>
      <c r="AS225" s="14"/>
      <c r="AT225" s="14"/>
      <c r="AU225" s="14"/>
      <c r="AV225" s="14"/>
      <c r="AW225" s="14"/>
      <c r="AX225" s="14"/>
      <c r="AY225" s="14"/>
      <c r="BA225" s="14"/>
      <c r="BE225" s="16"/>
      <c r="BH225" s="14"/>
      <c r="BI225" s="14"/>
      <c r="BJ225" s="14"/>
      <c r="BK225" s="14"/>
      <c r="BL225" s="14"/>
      <c r="BM225" s="14"/>
      <c r="BN225" s="14"/>
      <c r="BO225" s="14"/>
      <c r="BP225" s="14"/>
      <c r="BQ225" s="14"/>
      <c r="BX225" s="14"/>
      <c r="BY225" s="14"/>
      <c r="BZ225" s="14"/>
      <c r="CA225" s="14"/>
      <c r="CB225" s="14"/>
      <c r="CC225" s="14"/>
      <c r="CD225" s="14"/>
      <c r="CF225" s="14"/>
      <c r="CJ225" s="16"/>
      <c r="CM225" s="14"/>
      <c r="CN225" s="14"/>
      <c r="CO225" s="14"/>
      <c r="CP225" s="14"/>
      <c r="CQ225" s="14"/>
      <c r="CR225" s="14"/>
      <c r="CS225" s="14"/>
      <c r="CT225" s="14"/>
      <c r="CU225" s="14"/>
      <c r="CV225" s="14"/>
    </row>
    <row r="226" spans="1:100" x14ac:dyDescent="0.2">
      <c r="A226" s="14"/>
      <c r="B226" s="14"/>
      <c r="C226" s="14"/>
      <c r="D226" s="14"/>
      <c r="E226" s="14"/>
      <c r="F226" s="14"/>
      <c r="G226" s="14"/>
      <c r="H226" s="14"/>
      <c r="I226" s="14"/>
      <c r="J226" s="14"/>
      <c r="K226" s="14"/>
      <c r="L226" s="15"/>
      <c r="M226" s="14"/>
      <c r="N226" s="14"/>
      <c r="O226" s="14"/>
      <c r="P226" s="14"/>
      <c r="Q226" s="16"/>
      <c r="R226" s="14"/>
      <c r="Z226" s="16"/>
      <c r="AC226" s="14"/>
      <c r="AD226" s="14"/>
      <c r="AE226" s="14"/>
      <c r="AF226" s="14"/>
      <c r="AG226" s="14"/>
      <c r="AH226" s="14"/>
      <c r="AI226" s="14"/>
      <c r="AJ226" s="14"/>
      <c r="AK226" s="14"/>
      <c r="AL226" s="14"/>
      <c r="AS226" s="14"/>
      <c r="AT226" s="14"/>
      <c r="AU226" s="14"/>
      <c r="AV226" s="14"/>
      <c r="AW226" s="14"/>
      <c r="AX226" s="14"/>
      <c r="AY226" s="14"/>
      <c r="BA226" s="14"/>
      <c r="BE226" s="16"/>
      <c r="BH226" s="14"/>
      <c r="BI226" s="14"/>
      <c r="BJ226" s="14"/>
      <c r="BK226" s="14"/>
      <c r="BL226" s="14"/>
      <c r="BM226" s="14"/>
      <c r="BN226" s="14"/>
      <c r="BO226" s="14"/>
      <c r="BP226" s="14"/>
      <c r="BQ226" s="14"/>
      <c r="BX226" s="14"/>
      <c r="BY226" s="14"/>
      <c r="BZ226" s="14"/>
      <c r="CA226" s="14"/>
      <c r="CB226" s="14"/>
      <c r="CC226" s="14"/>
      <c r="CD226" s="14"/>
      <c r="CF226" s="14"/>
      <c r="CJ226" s="16"/>
      <c r="CM226" s="14"/>
      <c r="CN226" s="14"/>
      <c r="CO226" s="14"/>
      <c r="CP226" s="14"/>
      <c r="CQ226" s="14"/>
      <c r="CR226" s="14"/>
      <c r="CS226" s="14"/>
      <c r="CT226" s="14"/>
      <c r="CU226" s="14"/>
      <c r="CV226" s="14"/>
    </row>
    <row r="227" spans="1:100" x14ac:dyDescent="0.2">
      <c r="A227" s="14"/>
      <c r="B227" s="14"/>
      <c r="C227" s="14"/>
      <c r="D227" s="14"/>
      <c r="E227" s="14"/>
      <c r="F227" s="14"/>
      <c r="G227" s="14"/>
      <c r="H227" s="14"/>
      <c r="I227" s="14"/>
      <c r="J227" s="14"/>
      <c r="K227" s="14"/>
      <c r="L227" s="15"/>
      <c r="M227" s="14"/>
      <c r="N227" s="14"/>
      <c r="O227" s="14"/>
      <c r="P227" s="14"/>
      <c r="Q227" s="16"/>
      <c r="R227" s="14"/>
      <c r="Z227" s="16"/>
      <c r="AC227" s="14"/>
      <c r="AD227" s="14"/>
      <c r="AE227" s="14"/>
      <c r="AF227" s="14"/>
      <c r="AG227" s="14"/>
      <c r="AH227" s="14"/>
      <c r="AI227" s="14"/>
      <c r="AJ227" s="14"/>
      <c r="AK227" s="14"/>
      <c r="AL227" s="14"/>
      <c r="AS227" s="14"/>
      <c r="AT227" s="14"/>
      <c r="AU227" s="14"/>
      <c r="AV227" s="14"/>
      <c r="AW227" s="14"/>
      <c r="AX227" s="14"/>
      <c r="AY227" s="14"/>
      <c r="BA227" s="14"/>
      <c r="BE227" s="16"/>
      <c r="BH227" s="14"/>
      <c r="BI227" s="14"/>
      <c r="BJ227" s="14"/>
      <c r="BK227" s="14"/>
      <c r="BL227" s="14"/>
      <c r="BM227" s="14"/>
      <c r="BN227" s="14"/>
      <c r="BO227" s="14"/>
      <c r="BP227" s="14"/>
      <c r="BQ227" s="14"/>
      <c r="BX227" s="14"/>
      <c r="BY227" s="14"/>
      <c r="BZ227" s="14"/>
      <c r="CA227" s="14"/>
      <c r="CB227" s="14"/>
      <c r="CC227" s="14"/>
      <c r="CD227" s="14"/>
      <c r="CF227" s="14"/>
      <c r="CJ227" s="16"/>
      <c r="CM227" s="14"/>
      <c r="CN227" s="14"/>
      <c r="CO227" s="14"/>
      <c r="CP227" s="14"/>
      <c r="CQ227" s="14"/>
      <c r="CR227" s="14"/>
      <c r="CS227" s="14"/>
      <c r="CT227" s="14"/>
      <c r="CU227" s="14"/>
      <c r="CV227" s="14"/>
    </row>
    <row r="228" spans="1:100" x14ac:dyDescent="0.2">
      <c r="A228" s="14"/>
      <c r="B228" s="14"/>
      <c r="C228" s="14"/>
      <c r="D228" s="14"/>
      <c r="E228" s="14"/>
      <c r="F228" s="14"/>
      <c r="G228" s="14"/>
      <c r="H228" s="14"/>
      <c r="I228" s="14"/>
      <c r="J228" s="14"/>
      <c r="K228" s="14"/>
      <c r="L228" s="15"/>
      <c r="M228" s="14"/>
      <c r="N228" s="14"/>
      <c r="O228" s="14"/>
      <c r="P228" s="14"/>
      <c r="Q228" s="16"/>
      <c r="R228" s="14"/>
      <c r="Z228" s="16"/>
      <c r="AC228" s="14"/>
      <c r="AD228" s="14"/>
      <c r="AE228" s="14"/>
      <c r="AF228" s="14"/>
      <c r="AG228" s="14"/>
      <c r="AH228" s="14"/>
      <c r="AI228" s="14"/>
      <c r="AJ228" s="14"/>
      <c r="AK228" s="14"/>
      <c r="AL228" s="14"/>
      <c r="AS228" s="14"/>
      <c r="AT228" s="14"/>
      <c r="AU228" s="14"/>
      <c r="AV228" s="14"/>
      <c r="AW228" s="14"/>
      <c r="AX228" s="14"/>
      <c r="AY228" s="14"/>
      <c r="BA228" s="14"/>
      <c r="BE228" s="16"/>
      <c r="BH228" s="14"/>
      <c r="BI228" s="14"/>
      <c r="BJ228" s="14"/>
      <c r="BK228" s="14"/>
      <c r="BL228" s="14"/>
      <c r="BM228" s="14"/>
      <c r="BN228" s="14"/>
      <c r="BO228" s="14"/>
      <c r="BP228" s="14"/>
      <c r="BQ228" s="14"/>
      <c r="BX228" s="14"/>
      <c r="BY228" s="14"/>
      <c r="BZ228" s="14"/>
      <c r="CA228" s="14"/>
      <c r="CB228" s="14"/>
      <c r="CC228" s="14"/>
      <c r="CD228" s="14"/>
      <c r="CF228" s="14"/>
      <c r="CJ228" s="16"/>
      <c r="CM228" s="14"/>
      <c r="CN228" s="14"/>
      <c r="CO228" s="14"/>
      <c r="CP228" s="14"/>
      <c r="CQ228" s="14"/>
      <c r="CR228" s="14"/>
      <c r="CS228" s="14"/>
      <c r="CT228" s="14"/>
      <c r="CU228" s="14"/>
      <c r="CV228" s="14"/>
    </row>
    <row r="229" spans="1:100" x14ac:dyDescent="0.2">
      <c r="A229" s="14"/>
      <c r="B229" s="14"/>
      <c r="C229" s="14"/>
      <c r="D229" s="14"/>
      <c r="E229" s="14"/>
      <c r="F229" s="14"/>
      <c r="G229" s="14"/>
      <c r="H229" s="14"/>
      <c r="I229" s="14"/>
      <c r="J229" s="14"/>
      <c r="K229" s="14"/>
      <c r="L229" s="15"/>
      <c r="M229" s="14"/>
      <c r="N229" s="14"/>
      <c r="O229" s="14"/>
      <c r="P229" s="14"/>
      <c r="Q229" s="16"/>
      <c r="R229" s="14"/>
      <c r="Z229" s="16"/>
      <c r="AC229" s="14"/>
      <c r="AD229" s="14"/>
      <c r="AE229" s="14"/>
      <c r="AF229" s="14"/>
      <c r="AG229" s="14"/>
      <c r="AH229" s="14"/>
      <c r="AI229" s="14"/>
      <c r="AJ229" s="14"/>
      <c r="AK229" s="14"/>
      <c r="AL229" s="14"/>
      <c r="AS229" s="14"/>
      <c r="AT229" s="14"/>
      <c r="AU229" s="14"/>
      <c r="AV229" s="14"/>
      <c r="AW229" s="14"/>
      <c r="AX229" s="14"/>
      <c r="AY229" s="14"/>
      <c r="BA229" s="14"/>
      <c r="BE229" s="16"/>
      <c r="BH229" s="14"/>
      <c r="BI229" s="14"/>
      <c r="BJ229" s="14"/>
      <c r="BK229" s="14"/>
      <c r="BL229" s="14"/>
      <c r="BM229" s="14"/>
      <c r="BN229" s="14"/>
      <c r="BO229" s="14"/>
      <c r="BP229" s="14"/>
      <c r="BQ229" s="14"/>
      <c r="BX229" s="14"/>
      <c r="BY229" s="14"/>
      <c r="BZ229" s="14"/>
      <c r="CA229" s="14"/>
      <c r="CB229" s="14"/>
      <c r="CC229" s="14"/>
      <c r="CD229" s="14"/>
      <c r="CF229" s="14"/>
      <c r="CJ229" s="16"/>
      <c r="CM229" s="14"/>
      <c r="CN229" s="14"/>
      <c r="CO229" s="14"/>
      <c r="CP229" s="14"/>
      <c r="CQ229" s="14"/>
      <c r="CR229" s="14"/>
      <c r="CS229" s="14"/>
      <c r="CT229" s="14"/>
      <c r="CU229" s="14"/>
      <c r="CV229" s="14"/>
    </row>
    <row r="230" spans="1:100" x14ac:dyDescent="0.2">
      <c r="A230" s="14"/>
      <c r="B230" s="14"/>
      <c r="C230" s="14"/>
      <c r="D230" s="14"/>
      <c r="E230" s="14"/>
      <c r="F230" s="14"/>
      <c r="G230" s="14"/>
      <c r="H230" s="14"/>
      <c r="I230" s="14"/>
      <c r="J230" s="14"/>
      <c r="K230" s="14"/>
      <c r="L230" s="15"/>
      <c r="M230" s="14"/>
      <c r="N230" s="14"/>
      <c r="O230" s="14"/>
      <c r="P230" s="14"/>
      <c r="Q230" s="16"/>
      <c r="R230" s="14"/>
      <c r="Z230" s="16"/>
      <c r="AC230" s="14"/>
      <c r="AD230" s="14"/>
      <c r="AE230" s="14"/>
      <c r="AF230" s="14"/>
      <c r="AG230" s="14"/>
      <c r="AH230" s="14"/>
      <c r="AI230" s="14"/>
      <c r="AJ230" s="14"/>
      <c r="AK230" s="14"/>
      <c r="AL230" s="14"/>
      <c r="AS230" s="14"/>
      <c r="AT230" s="14"/>
      <c r="AU230" s="14"/>
      <c r="AV230" s="14"/>
      <c r="AW230" s="14"/>
      <c r="AX230" s="14"/>
      <c r="AY230" s="14"/>
      <c r="BA230" s="14"/>
      <c r="BE230" s="16"/>
      <c r="BH230" s="14"/>
      <c r="BI230" s="14"/>
      <c r="BJ230" s="14"/>
      <c r="BK230" s="14"/>
      <c r="BL230" s="14"/>
      <c r="BM230" s="14"/>
      <c r="BN230" s="14"/>
      <c r="BO230" s="14"/>
      <c r="BP230" s="14"/>
      <c r="BQ230" s="14"/>
      <c r="BX230" s="14"/>
      <c r="BY230" s="14"/>
      <c r="BZ230" s="14"/>
      <c r="CA230" s="14"/>
      <c r="CB230" s="14"/>
      <c r="CC230" s="14"/>
      <c r="CD230" s="14"/>
      <c r="CF230" s="14"/>
      <c r="CJ230" s="16"/>
      <c r="CM230" s="14"/>
      <c r="CN230" s="14"/>
      <c r="CO230" s="14"/>
      <c r="CP230" s="14"/>
      <c r="CQ230" s="14"/>
      <c r="CR230" s="14"/>
      <c r="CS230" s="14"/>
      <c r="CT230" s="14"/>
      <c r="CU230" s="14"/>
      <c r="CV230" s="14"/>
    </row>
    <row r="231" spans="1:100" x14ac:dyDescent="0.2">
      <c r="A231" s="14"/>
      <c r="B231" s="14"/>
      <c r="C231" s="14"/>
      <c r="D231" s="14"/>
      <c r="E231" s="14"/>
      <c r="F231" s="14"/>
      <c r="G231" s="14"/>
      <c r="H231" s="14"/>
      <c r="I231" s="14"/>
      <c r="J231" s="14"/>
      <c r="K231" s="14"/>
      <c r="L231" s="15"/>
      <c r="M231" s="14"/>
      <c r="N231" s="14"/>
      <c r="O231" s="14"/>
      <c r="P231" s="14"/>
      <c r="Q231" s="16"/>
      <c r="R231" s="14"/>
      <c r="Z231" s="16"/>
      <c r="AC231" s="14"/>
      <c r="AD231" s="14"/>
      <c r="AE231" s="14"/>
      <c r="AF231" s="14"/>
      <c r="AG231" s="14"/>
      <c r="AH231" s="14"/>
      <c r="AI231" s="14"/>
      <c r="AJ231" s="14"/>
      <c r="AK231" s="14"/>
      <c r="AL231" s="14"/>
      <c r="AS231" s="14"/>
      <c r="AT231" s="14"/>
      <c r="AU231" s="14"/>
      <c r="AV231" s="14"/>
      <c r="AW231" s="14"/>
      <c r="AX231" s="14"/>
      <c r="AY231" s="14"/>
      <c r="BA231" s="14"/>
      <c r="BE231" s="16"/>
      <c r="BH231" s="14"/>
      <c r="BI231" s="14"/>
      <c r="BJ231" s="14"/>
      <c r="BK231" s="14"/>
      <c r="BL231" s="14"/>
      <c r="BM231" s="14"/>
      <c r="BN231" s="14"/>
      <c r="BO231" s="14"/>
      <c r="BP231" s="14"/>
      <c r="BQ231" s="14"/>
      <c r="BX231" s="14"/>
      <c r="BY231" s="14"/>
      <c r="BZ231" s="14"/>
      <c r="CA231" s="14"/>
      <c r="CB231" s="14"/>
      <c r="CC231" s="14"/>
      <c r="CD231" s="14"/>
      <c r="CF231" s="14"/>
      <c r="CJ231" s="16"/>
      <c r="CM231" s="14"/>
      <c r="CN231" s="14"/>
      <c r="CO231" s="14"/>
      <c r="CP231" s="14"/>
      <c r="CQ231" s="14"/>
      <c r="CR231" s="14"/>
      <c r="CS231" s="14"/>
      <c r="CT231" s="14"/>
      <c r="CU231" s="14"/>
      <c r="CV231" s="14"/>
    </row>
    <row r="232" spans="1:100" x14ac:dyDescent="0.2">
      <c r="A232" s="14"/>
      <c r="B232" s="14"/>
      <c r="C232" s="14"/>
      <c r="D232" s="14"/>
      <c r="E232" s="14"/>
      <c r="F232" s="14"/>
      <c r="G232" s="14"/>
      <c r="H232" s="14"/>
      <c r="I232" s="14"/>
      <c r="J232" s="14"/>
      <c r="K232" s="14"/>
      <c r="L232" s="15"/>
      <c r="M232" s="14"/>
      <c r="N232" s="14"/>
      <c r="O232" s="14"/>
      <c r="P232" s="14"/>
      <c r="Q232" s="16"/>
      <c r="R232" s="14"/>
      <c r="Z232" s="16"/>
      <c r="AC232" s="14"/>
      <c r="AD232" s="14"/>
      <c r="AE232" s="14"/>
      <c r="AF232" s="14"/>
      <c r="AG232" s="14"/>
      <c r="AH232" s="14"/>
      <c r="AI232" s="14"/>
      <c r="AJ232" s="14"/>
      <c r="AK232" s="14"/>
      <c r="AL232" s="14"/>
      <c r="AS232" s="14"/>
      <c r="AT232" s="14"/>
      <c r="AU232" s="14"/>
      <c r="AV232" s="14"/>
      <c r="AW232" s="14"/>
      <c r="AX232" s="14"/>
      <c r="AY232" s="14"/>
      <c r="BA232" s="14"/>
      <c r="BE232" s="16"/>
      <c r="BH232" s="14"/>
      <c r="BI232" s="14"/>
      <c r="BJ232" s="14"/>
      <c r="BK232" s="14"/>
      <c r="BL232" s="14"/>
      <c r="BM232" s="14"/>
      <c r="BN232" s="14"/>
      <c r="BO232" s="14"/>
      <c r="BP232" s="14"/>
      <c r="BQ232" s="14"/>
      <c r="BX232" s="14"/>
      <c r="BY232" s="14"/>
      <c r="BZ232" s="14"/>
      <c r="CA232" s="14"/>
      <c r="CB232" s="14"/>
      <c r="CC232" s="14"/>
      <c r="CD232" s="14"/>
      <c r="CF232" s="14"/>
      <c r="CJ232" s="16"/>
      <c r="CM232" s="14"/>
      <c r="CN232" s="14"/>
      <c r="CO232" s="14"/>
      <c r="CP232" s="14"/>
      <c r="CQ232" s="14"/>
      <c r="CR232" s="14"/>
      <c r="CS232" s="14"/>
      <c r="CT232" s="14"/>
      <c r="CU232" s="14"/>
      <c r="CV232" s="14"/>
    </row>
    <row r="233" spans="1:100" x14ac:dyDescent="0.2">
      <c r="A233" s="14"/>
      <c r="B233" s="14"/>
      <c r="C233" s="14"/>
      <c r="D233" s="14"/>
      <c r="E233" s="14"/>
      <c r="F233" s="14"/>
      <c r="G233" s="14"/>
      <c r="H233" s="14"/>
      <c r="I233" s="14"/>
      <c r="J233" s="14"/>
      <c r="K233" s="14"/>
      <c r="L233" s="15"/>
      <c r="M233" s="14"/>
      <c r="N233" s="14"/>
      <c r="O233" s="14"/>
      <c r="P233" s="14"/>
      <c r="Q233" s="16"/>
      <c r="R233" s="14"/>
      <c r="Z233" s="16"/>
      <c r="AC233" s="14"/>
      <c r="AD233" s="14"/>
      <c r="AE233" s="14"/>
      <c r="AF233" s="14"/>
      <c r="AG233" s="14"/>
      <c r="AH233" s="14"/>
      <c r="AI233" s="14"/>
      <c r="AJ233" s="14"/>
      <c r="AK233" s="14"/>
      <c r="AL233" s="14"/>
      <c r="AS233" s="14"/>
      <c r="AT233" s="14"/>
      <c r="AU233" s="14"/>
      <c r="AV233" s="14"/>
      <c r="AW233" s="14"/>
      <c r="AX233" s="14"/>
      <c r="AY233" s="14"/>
      <c r="BA233" s="14"/>
      <c r="BE233" s="16"/>
      <c r="BH233" s="14"/>
      <c r="BI233" s="14"/>
      <c r="BJ233" s="14"/>
      <c r="BK233" s="14"/>
      <c r="BL233" s="14"/>
      <c r="BM233" s="14"/>
      <c r="BN233" s="14"/>
      <c r="BO233" s="14"/>
      <c r="BP233" s="14"/>
      <c r="BQ233" s="14"/>
      <c r="BX233" s="14"/>
      <c r="BY233" s="14"/>
      <c r="BZ233" s="14"/>
      <c r="CA233" s="14"/>
      <c r="CB233" s="14"/>
      <c r="CC233" s="14"/>
      <c r="CD233" s="14"/>
      <c r="CF233" s="14"/>
      <c r="CJ233" s="16"/>
      <c r="CM233" s="14"/>
      <c r="CN233" s="14"/>
      <c r="CO233" s="14"/>
      <c r="CP233" s="14"/>
      <c r="CQ233" s="14"/>
      <c r="CR233" s="14"/>
      <c r="CS233" s="14"/>
      <c r="CT233" s="14"/>
      <c r="CU233" s="14"/>
      <c r="CV233" s="14"/>
    </row>
    <row r="234" spans="1:100" x14ac:dyDescent="0.2">
      <c r="A234" s="14"/>
      <c r="B234" s="14"/>
      <c r="C234" s="14"/>
      <c r="D234" s="14"/>
      <c r="E234" s="14"/>
      <c r="F234" s="14"/>
      <c r="G234" s="14"/>
      <c r="H234" s="14"/>
      <c r="I234" s="14"/>
      <c r="J234" s="14"/>
      <c r="K234" s="14"/>
      <c r="L234" s="15"/>
      <c r="M234" s="14"/>
      <c r="N234" s="14"/>
      <c r="O234" s="14"/>
      <c r="P234" s="14"/>
      <c r="Q234" s="16"/>
      <c r="R234" s="14"/>
      <c r="Z234" s="16"/>
      <c r="AC234" s="14"/>
      <c r="AD234" s="14"/>
      <c r="AE234" s="14"/>
      <c r="AF234" s="14"/>
      <c r="AG234" s="14"/>
      <c r="AH234" s="14"/>
      <c r="AI234" s="14"/>
      <c r="AJ234" s="14"/>
      <c r="AK234" s="14"/>
      <c r="AL234" s="14"/>
      <c r="AS234" s="14"/>
      <c r="AT234" s="14"/>
      <c r="AU234" s="14"/>
      <c r="AV234" s="14"/>
      <c r="AW234" s="14"/>
      <c r="AX234" s="14"/>
      <c r="AY234" s="14"/>
      <c r="BA234" s="14"/>
      <c r="BE234" s="16"/>
      <c r="BH234" s="14"/>
      <c r="BI234" s="14"/>
      <c r="BJ234" s="14"/>
      <c r="BK234" s="14"/>
      <c r="BL234" s="14"/>
      <c r="BM234" s="14"/>
      <c r="BN234" s="14"/>
      <c r="BO234" s="14"/>
      <c r="BP234" s="14"/>
      <c r="BQ234" s="14"/>
      <c r="BX234" s="14"/>
      <c r="BY234" s="14"/>
      <c r="BZ234" s="14"/>
      <c r="CA234" s="14"/>
      <c r="CB234" s="14"/>
      <c r="CC234" s="14"/>
      <c r="CD234" s="14"/>
      <c r="CF234" s="14"/>
      <c r="CJ234" s="16"/>
      <c r="CM234" s="14"/>
      <c r="CN234" s="14"/>
      <c r="CO234" s="14"/>
      <c r="CP234" s="14"/>
      <c r="CQ234" s="14"/>
      <c r="CR234" s="14"/>
      <c r="CS234" s="14"/>
      <c r="CT234" s="14"/>
      <c r="CU234" s="14"/>
      <c r="CV234" s="14"/>
    </row>
    <row r="235" spans="1:100" x14ac:dyDescent="0.2">
      <c r="A235" s="14"/>
      <c r="B235" s="14"/>
      <c r="C235" s="14"/>
      <c r="D235" s="14"/>
      <c r="E235" s="14"/>
      <c r="F235" s="14"/>
      <c r="G235" s="14"/>
      <c r="H235" s="14"/>
      <c r="I235" s="14"/>
      <c r="J235" s="14"/>
      <c r="K235" s="14"/>
      <c r="L235" s="15"/>
      <c r="M235" s="14"/>
      <c r="N235" s="14"/>
      <c r="O235" s="14"/>
      <c r="P235" s="14"/>
      <c r="Q235" s="16"/>
      <c r="R235" s="14"/>
      <c r="Z235" s="16"/>
      <c r="AC235" s="14"/>
      <c r="AD235" s="14"/>
      <c r="AE235" s="14"/>
      <c r="AF235" s="14"/>
      <c r="AG235" s="14"/>
      <c r="AH235" s="14"/>
      <c r="AI235" s="14"/>
      <c r="AJ235" s="14"/>
      <c r="AK235" s="14"/>
      <c r="AL235" s="14"/>
      <c r="AS235" s="14"/>
      <c r="AT235" s="14"/>
      <c r="AU235" s="14"/>
      <c r="AV235" s="14"/>
      <c r="AW235" s="14"/>
      <c r="AX235" s="14"/>
      <c r="AY235" s="14"/>
      <c r="BA235" s="14"/>
      <c r="BE235" s="16"/>
      <c r="BH235" s="14"/>
      <c r="BI235" s="14"/>
      <c r="BJ235" s="14"/>
      <c r="BK235" s="14"/>
      <c r="BL235" s="14"/>
      <c r="BM235" s="14"/>
      <c r="BN235" s="14"/>
      <c r="BO235" s="14"/>
      <c r="BP235" s="14"/>
      <c r="BQ235" s="14"/>
      <c r="BX235" s="14"/>
      <c r="BY235" s="14"/>
      <c r="BZ235" s="14"/>
      <c r="CA235" s="14"/>
      <c r="CB235" s="14"/>
      <c r="CC235" s="14"/>
      <c r="CD235" s="14"/>
      <c r="CF235" s="14"/>
      <c r="CJ235" s="16"/>
      <c r="CM235" s="14"/>
      <c r="CN235" s="14"/>
      <c r="CO235" s="14"/>
      <c r="CP235" s="14"/>
      <c r="CQ235" s="14"/>
      <c r="CR235" s="14"/>
      <c r="CS235" s="14"/>
      <c r="CT235" s="14"/>
      <c r="CU235" s="14"/>
      <c r="CV235" s="14"/>
    </row>
    <row r="236" spans="1:100" x14ac:dyDescent="0.2">
      <c r="A236" s="14"/>
      <c r="B236" s="14"/>
      <c r="C236" s="14"/>
      <c r="D236" s="14"/>
      <c r="E236" s="14"/>
      <c r="F236" s="14"/>
      <c r="G236" s="14"/>
      <c r="H236" s="14"/>
      <c r="I236" s="14"/>
      <c r="J236" s="14"/>
      <c r="K236" s="14"/>
      <c r="L236" s="15"/>
      <c r="M236" s="14"/>
      <c r="N236" s="14"/>
      <c r="O236" s="14"/>
      <c r="P236" s="14"/>
      <c r="Q236" s="16"/>
      <c r="R236" s="14"/>
      <c r="Z236" s="16"/>
      <c r="AC236" s="14"/>
      <c r="AD236" s="14"/>
      <c r="AE236" s="14"/>
      <c r="AF236" s="14"/>
      <c r="AG236" s="14"/>
      <c r="AH236" s="14"/>
      <c r="AI236" s="14"/>
      <c r="AJ236" s="14"/>
      <c r="AK236" s="14"/>
      <c r="AL236" s="14"/>
      <c r="AS236" s="14"/>
      <c r="AT236" s="14"/>
      <c r="AU236" s="14"/>
      <c r="AV236" s="14"/>
      <c r="AW236" s="14"/>
      <c r="AX236" s="14"/>
      <c r="AY236" s="14"/>
      <c r="BA236" s="14"/>
      <c r="BE236" s="16"/>
      <c r="BH236" s="14"/>
      <c r="BI236" s="14"/>
      <c r="BJ236" s="14"/>
      <c r="BK236" s="14"/>
      <c r="BL236" s="14"/>
      <c r="BM236" s="14"/>
      <c r="BN236" s="14"/>
      <c r="BO236" s="14"/>
      <c r="BP236" s="14"/>
      <c r="BQ236" s="14"/>
      <c r="BX236" s="14"/>
      <c r="BY236" s="14"/>
      <c r="BZ236" s="14"/>
      <c r="CA236" s="14"/>
      <c r="CB236" s="14"/>
      <c r="CC236" s="14"/>
      <c r="CD236" s="14"/>
      <c r="CF236" s="14"/>
      <c r="CJ236" s="16"/>
      <c r="CM236" s="14"/>
      <c r="CN236" s="14"/>
      <c r="CO236" s="14"/>
      <c r="CP236" s="14"/>
      <c r="CQ236" s="14"/>
      <c r="CR236" s="14"/>
      <c r="CS236" s="14"/>
      <c r="CT236" s="14"/>
      <c r="CU236" s="14"/>
      <c r="CV236" s="14"/>
    </row>
    <row r="237" spans="1:100" x14ac:dyDescent="0.2">
      <c r="A237" s="14"/>
      <c r="B237" s="14"/>
      <c r="C237" s="14"/>
      <c r="D237" s="14"/>
      <c r="E237" s="14"/>
      <c r="F237" s="14"/>
      <c r="G237" s="14"/>
      <c r="H237" s="14"/>
      <c r="I237" s="14"/>
      <c r="J237" s="14"/>
      <c r="K237" s="14"/>
      <c r="L237" s="15"/>
      <c r="M237" s="14"/>
      <c r="N237" s="14"/>
      <c r="O237" s="14"/>
      <c r="P237" s="14"/>
      <c r="Q237" s="16"/>
      <c r="R237" s="14"/>
      <c r="Z237" s="16"/>
      <c r="AC237" s="14"/>
      <c r="AD237" s="14"/>
      <c r="AE237" s="14"/>
      <c r="AF237" s="14"/>
      <c r="AG237" s="14"/>
      <c r="AH237" s="14"/>
      <c r="AI237" s="14"/>
      <c r="AJ237" s="14"/>
      <c r="AK237" s="14"/>
      <c r="AL237" s="14"/>
      <c r="AS237" s="14"/>
      <c r="AT237" s="14"/>
      <c r="AU237" s="14"/>
      <c r="AV237" s="14"/>
      <c r="AW237" s="14"/>
      <c r="AX237" s="14"/>
      <c r="AY237" s="14"/>
      <c r="BA237" s="14"/>
      <c r="BE237" s="16"/>
      <c r="BH237" s="14"/>
      <c r="BI237" s="14"/>
      <c r="BJ237" s="14"/>
      <c r="BK237" s="14"/>
      <c r="BL237" s="14"/>
      <c r="BM237" s="14"/>
      <c r="BN237" s="14"/>
      <c r="BO237" s="14"/>
      <c r="BP237" s="14"/>
      <c r="BQ237" s="14"/>
      <c r="BX237" s="14"/>
      <c r="BY237" s="14"/>
      <c r="BZ237" s="14"/>
      <c r="CA237" s="14"/>
      <c r="CB237" s="14"/>
      <c r="CC237" s="14"/>
      <c r="CD237" s="14"/>
      <c r="CF237" s="14"/>
      <c r="CJ237" s="16"/>
      <c r="CM237" s="14"/>
      <c r="CN237" s="14"/>
      <c r="CO237" s="14"/>
      <c r="CP237" s="14"/>
      <c r="CQ237" s="14"/>
      <c r="CR237" s="14"/>
      <c r="CS237" s="14"/>
      <c r="CT237" s="14"/>
      <c r="CU237" s="14"/>
      <c r="CV237" s="14"/>
    </row>
    <row r="238" spans="1:100" x14ac:dyDescent="0.2">
      <c r="A238" s="14"/>
      <c r="B238" s="14"/>
      <c r="C238" s="14"/>
      <c r="D238" s="14"/>
      <c r="E238" s="14"/>
      <c r="F238" s="14"/>
      <c r="G238" s="14"/>
      <c r="H238" s="14"/>
      <c r="I238" s="14"/>
      <c r="J238" s="14"/>
      <c r="K238" s="14"/>
      <c r="L238" s="15"/>
      <c r="M238" s="14"/>
      <c r="N238" s="14"/>
      <c r="O238" s="14"/>
      <c r="P238" s="14"/>
      <c r="Q238" s="16"/>
      <c r="R238" s="14"/>
      <c r="Z238" s="16"/>
      <c r="AC238" s="14"/>
      <c r="AD238" s="14"/>
      <c r="AE238" s="14"/>
      <c r="AF238" s="14"/>
      <c r="AG238" s="14"/>
      <c r="AH238" s="14"/>
      <c r="AI238" s="14"/>
      <c r="AJ238" s="14"/>
      <c r="AK238" s="14"/>
      <c r="AL238" s="14"/>
      <c r="AS238" s="14"/>
      <c r="AT238" s="14"/>
      <c r="AU238" s="14"/>
      <c r="AV238" s="14"/>
      <c r="AW238" s="14"/>
      <c r="AX238" s="14"/>
      <c r="AY238" s="14"/>
      <c r="BA238" s="14"/>
      <c r="BE238" s="16"/>
      <c r="BH238" s="14"/>
      <c r="BI238" s="14"/>
      <c r="BJ238" s="14"/>
      <c r="BK238" s="14"/>
      <c r="BL238" s="14"/>
      <c r="BM238" s="14"/>
      <c r="BN238" s="14"/>
      <c r="BO238" s="14"/>
      <c r="BP238" s="14"/>
      <c r="BQ238" s="14"/>
      <c r="BX238" s="14"/>
      <c r="BY238" s="14"/>
      <c r="BZ238" s="14"/>
      <c r="CA238" s="14"/>
      <c r="CB238" s="14"/>
      <c r="CC238" s="14"/>
      <c r="CD238" s="14"/>
      <c r="CF238" s="14"/>
      <c r="CJ238" s="16"/>
      <c r="CM238" s="14"/>
      <c r="CN238" s="14"/>
      <c r="CO238" s="14"/>
      <c r="CP238" s="14"/>
      <c r="CQ238" s="14"/>
      <c r="CR238" s="14"/>
      <c r="CS238" s="14"/>
      <c r="CT238" s="14"/>
      <c r="CU238" s="14"/>
      <c r="CV238" s="14"/>
    </row>
    <row r="239" spans="1:100" x14ac:dyDescent="0.2">
      <c r="A239" s="14"/>
      <c r="B239" s="14"/>
      <c r="C239" s="14"/>
      <c r="D239" s="14"/>
      <c r="E239" s="14"/>
      <c r="F239" s="14"/>
      <c r="G239" s="14"/>
      <c r="H239" s="14"/>
      <c r="I239" s="14"/>
      <c r="J239" s="14"/>
      <c r="K239" s="14"/>
      <c r="L239" s="15"/>
      <c r="M239" s="14"/>
      <c r="N239" s="14"/>
      <c r="O239" s="14"/>
      <c r="P239" s="14"/>
      <c r="Q239" s="16"/>
      <c r="R239" s="14"/>
      <c r="Z239" s="16"/>
      <c r="AC239" s="14"/>
      <c r="AD239" s="14"/>
      <c r="AE239" s="14"/>
      <c r="AF239" s="14"/>
      <c r="AG239" s="14"/>
      <c r="AH239" s="14"/>
      <c r="AI239" s="14"/>
      <c r="AJ239" s="14"/>
      <c r="AK239" s="14"/>
      <c r="AL239" s="14"/>
      <c r="AS239" s="14"/>
      <c r="AT239" s="14"/>
      <c r="AU239" s="14"/>
      <c r="AV239" s="14"/>
      <c r="AW239" s="14"/>
      <c r="AX239" s="14"/>
      <c r="AY239" s="14"/>
      <c r="BA239" s="14"/>
      <c r="BE239" s="16"/>
      <c r="BH239" s="14"/>
      <c r="BI239" s="14"/>
      <c r="BJ239" s="14"/>
      <c r="BK239" s="14"/>
      <c r="BL239" s="14"/>
      <c r="BM239" s="14"/>
      <c r="BN239" s="14"/>
      <c r="BO239" s="14"/>
      <c r="BP239" s="14"/>
      <c r="BQ239" s="14"/>
      <c r="BX239" s="14"/>
      <c r="BY239" s="14"/>
      <c r="BZ239" s="14"/>
      <c r="CA239" s="14"/>
      <c r="CB239" s="14"/>
      <c r="CC239" s="14"/>
      <c r="CD239" s="14"/>
      <c r="CF239" s="14"/>
      <c r="CJ239" s="16"/>
      <c r="CM239" s="14"/>
      <c r="CN239" s="14"/>
      <c r="CO239" s="14"/>
      <c r="CP239" s="14"/>
      <c r="CQ239" s="14"/>
      <c r="CR239" s="14"/>
      <c r="CS239" s="14"/>
      <c r="CT239" s="14"/>
      <c r="CU239" s="14"/>
      <c r="CV239" s="14"/>
    </row>
    <row r="240" spans="1:100" x14ac:dyDescent="0.2">
      <c r="A240" s="14"/>
      <c r="B240" s="14"/>
      <c r="C240" s="14"/>
      <c r="D240" s="14"/>
      <c r="E240" s="14"/>
      <c r="F240" s="14"/>
      <c r="G240" s="14"/>
      <c r="H240" s="14"/>
      <c r="I240" s="14"/>
      <c r="J240" s="14"/>
      <c r="K240" s="14"/>
      <c r="L240" s="15"/>
      <c r="M240" s="14"/>
      <c r="N240" s="14"/>
      <c r="O240" s="14"/>
      <c r="P240" s="14"/>
      <c r="Q240" s="16"/>
      <c r="R240" s="14"/>
      <c r="Z240" s="16"/>
      <c r="AC240" s="14"/>
      <c r="AD240" s="14"/>
      <c r="AE240" s="14"/>
      <c r="AF240" s="14"/>
      <c r="AG240" s="14"/>
      <c r="AH240" s="14"/>
      <c r="AI240" s="14"/>
      <c r="AJ240" s="14"/>
      <c r="AK240" s="14"/>
      <c r="AL240" s="14"/>
      <c r="AS240" s="14"/>
      <c r="AT240" s="14"/>
      <c r="AU240" s="14"/>
      <c r="AV240" s="14"/>
      <c r="AW240" s="14"/>
      <c r="AX240" s="14"/>
      <c r="AY240" s="14"/>
      <c r="BA240" s="14"/>
      <c r="BE240" s="16"/>
      <c r="BH240" s="14"/>
      <c r="BI240" s="14"/>
      <c r="BJ240" s="14"/>
      <c r="BK240" s="14"/>
      <c r="BL240" s="14"/>
      <c r="BM240" s="14"/>
      <c r="BN240" s="14"/>
      <c r="BO240" s="14"/>
      <c r="BP240" s="14"/>
      <c r="BQ240" s="14"/>
      <c r="BX240" s="14"/>
      <c r="BY240" s="14"/>
      <c r="BZ240" s="14"/>
      <c r="CA240" s="14"/>
      <c r="CB240" s="14"/>
      <c r="CC240" s="14"/>
      <c r="CD240" s="14"/>
      <c r="CF240" s="14"/>
      <c r="CJ240" s="16"/>
      <c r="CM240" s="14"/>
      <c r="CN240" s="14"/>
      <c r="CO240" s="14"/>
      <c r="CP240" s="14"/>
      <c r="CQ240" s="14"/>
      <c r="CR240" s="14"/>
      <c r="CS240" s="14"/>
      <c r="CT240" s="14"/>
      <c r="CU240" s="14"/>
      <c r="CV240" s="14"/>
    </row>
    <row r="241" spans="1:100" x14ac:dyDescent="0.2">
      <c r="A241" s="14"/>
      <c r="B241" s="14"/>
      <c r="C241" s="14"/>
      <c r="D241" s="14"/>
      <c r="E241" s="14"/>
      <c r="F241" s="14"/>
      <c r="G241" s="14"/>
      <c r="H241" s="14"/>
      <c r="I241" s="14"/>
      <c r="J241" s="14"/>
      <c r="K241" s="14"/>
      <c r="L241" s="15"/>
      <c r="M241" s="14"/>
      <c r="N241" s="14"/>
      <c r="O241" s="14"/>
      <c r="P241" s="14"/>
      <c r="Q241" s="16"/>
      <c r="R241" s="14"/>
      <c r="Z241" s="16"/>
      <c r="AC241" s="14"/>
      <c r="AD241" s="14"/>
      <c r="AE241" s="14"/>
      <c r="AF241" s="14"/>
      <c r="AG241" s="14"/>
      <c r="AH241" s="14"/>
      <c r="AI241" s="14"/>
      <c r="AJ241" s="14"/>
      <c r="AK241" s="14"/>
      <c r="AL241" s="14"/>
      <c r="AS241" s="14"/>
      <c r="AT241" s="14"/>
      <c r="AU241" s="14"/>
      <c r="AV241" s="14"/>
      <c r="AW241" s="14"/>
      <c r="AX241" s="14"/>
      <c r="AY241" s="14"/>
      <c r="BA241" s="14"/>
      <c r="BE241" s="16"/>
      <c r="BH241" s="14"/>
      <c r="BI241" s="14"/>
      <c r="BJ241" s="14"/>
      <c r="BK241" s="14"/>
      <c r="BL241" s="14"/>
      <c r="BM241" s="14"/>
      <c r="BN241" s="14"/>
      <c r="BO241" s="14"/>
      <c r="BP241" s="14"/>
      <c r="BQ241" s="14"/>
      <c r="BX241" s="14"/>
      <c r="BY241" s="14"/>
      <c r="BZ241" s="14"/>
      <c r="CA241" s="14"/>
      <c r="CB241" s="14"/>
      <c r="CC241" s="14"/>
      <c r="CD241" s="14"/>
      <c r="CF241" s="14"/>
      <c r="CJ241" s="16"/>
      <c r="CM241" s="14"/>
      <c r="CN241" s="14"/>
      <c r="CO241" s="14"/>
      <c r="CP241" s="14"/>
      <c r="CQ241" s="14"/>
      <c r="CR241" s="14"/>
      <c r="CS241" s="14"/>
      <c r="CT241" s="14"/>
      <c r="CU241" s="14"/>
      <c r="CV241" s="14"/>
    </row>
    <row r="242" spans="1:100" x14ac:dyDescent="0.2">
      <c r="A242" s="14"/>
      <c r="B242" s="14"/>
      <c r="C242" s="14"/>
      <c r="D242" s="14"/>
      <c r="E242" s="14"/>
      <c r="F242" s="14"/>
      <c r="G242" s="14"/>
      <c r="H242" s="14"/>
      <c r="I242" s="14"/>
      <c r="J242" s="14"/>
      <c r="K242" s="14"/>
      <c r="L242" s="15"/>
      <c r="M242" s="14"/>
      <c r="N242" s="14"/>
      <c r="O242" s="14"/>
      <c r="P242" s="14"/>
      <c r="Q242" s="16"/>
      <c r="R242" s="14"/>
      <c r="Z242" s="16"/>
      <c r="AC242" s="14"/>
      <c r="AD242" s="14"/>
      <c r="AE242" s="14"/>
      <c r="AF242" s="14"/>
      <c r="AG242" s="14"/>
      <c r="AH242" s="14"/>
      <c r="AI242" s="14"/>
      <c r="AJ242" s="14"/>
      <c r="AK242" s="14"/>
      <c r="AL242" s="14"/>
      <c r="AS242" s="14"/>
      <c r="AT242" s="14"/>
      <c r="AU242" s="14"/>
      <c r="AV242" s="14"/>
      <c r="AW242" s="14"/>
      <c r="AX242" s="14"/>
      <c r="AY242" s="14"/>
      <c r="BA242" s="14"/>
      <c r="BE242" s="16"/>
      <c r="BH242" s="14"/>
      <c r="BI242" s="14"/>
      <c r="BJ242" s="14"/>
      <c r="BK242" s="14"/>
      <c r="BL242" s="14"/>
      <c r="BM242" s="14"/>
      <c r="BN242" s="14"/>
      <c r="BO242" s="14"/>
      <c r="BP242" s="14"/>
      <c r="BQ242" s="14"/>
      <c r="BX242" s="14"/>
      <c r="BY242" s="14"/>
      <c r="BZ242" s="14"/>
      <c r="CA242" s="14"/>
      <c r="CB242" s="14"/>
      <c r="CC242" s="14"/>
      <c r="CD242" s="14"/>
      <c r="CF242" s="14"/>
      <c r="CJ242" s="16"/>
      <c r="CM242" s="14"/>
      <c r="CN242" s="14"/>
      <c r="CO242" s="14"/>
      <c r="CP242" s="14"/>
      <c r="CQ242" s="14"/>
      <c r="CR242" s="14"/>
      <c r="CS242" s="14"/>
      <c r="CT242" s="14"/>
      <c r="CU242" s="14"/>
      <c r="CV242" s="14"/>
    </row>
    <row r="243" spans="1:100" x14ac:dyDescent="0.2">
      <c r="A243" s="14"/>
      <c r="B243" s="14"/>
      <c r="C243" s="14"/>
      <c r="D243" s="14"/>
      <c r="E243" s="14"/>
      <c r="F243" s="14"/>
      <c r="G243" s="14"/>
      <c r="H243" s="14"/>
      <c r="I243" s="14"/>
      <c r="J243" s="14"/>
      <c r="K243" s="14"/>
      <c r="L243" s="15"/>
      <c r="M243" s="14"/>
      <c r="N243" s="14"/>
      <c r="O243" s="14"/>
      <c r="P243" s="14"/>
      <c r="Q243" s="16"/>
      <c r="R243" s="14"/>
      <c r="Z243" s="16"/>
      <c r="AC243" s="14"/>
      <c r="AD243" s="14"/>
      <c r="AE243" s="14"/>
      <c r="AF243" s="14"/>
      <c r="AG243" s="14"/>
      <c r="AH243" s="14"/>
      <c r="AI243" s="14"/>
      <c r="AJ243" s="14"/>
      <c r="AK243" s="14"/>
      <c r="AL243" s="14"/>
      <c r="AS243" s="14"/>
      <c r="AT243" s="14"/>
      <c r="AU243" s="14"/>
      <c r="AV243" s="14"/>
      <c r="AW243" s="14"/>
      <c r="AX243" s="14"/>
      <c r="AY243" s="14"/>
      <c r="BA243" s="14"/>
      <c r="BE243" s="16"/>
      <c r="BH243" s="14"/>
      <c r="BI243" s="14"/>
      <c r="BJ243" s="14"/>
      <c r="BK243" s="14"/>
      <c r="BL243" s="14"/>
      <c r="BM243" s="14"/>
      <c r="BN243" s="14"/>
      <c r="BO243" s="14"/>
      <c r="BP243" s="14"/>
      <c r="BQ243" s="14"/>
      <c r="BX243" s="14"/>
      <c r="BY243" s="14"/>
      <c r="BZ243" s="14"/>
      <c r="CA243" s="14"/>
      <c r="CB243" s="14"/>
      <c r="CC243" s="14"/>
      <c r="CD243" s="14"/>
      <c r="CF243" s="14"/>
      <c r="CJ243" s="16"/>
      <c r="CM243" s="14"/>
      <c r="CN243" s="14"/>
      <c r="CO243" s="14"/>
      <c r="CP243" s="14"/>
      <c r="CQ243" s="14"/>
      <c r="CR243" s="14"/>
      <c r="CS243" s="14"/>
      <c r="CT243" s="14"/>
      <c r="CU243" s="14"/>
      <c r="CV243" s="14"/>
    </row>
    <row r="244" spans="1:100" x14ac:dyDescent="0.2">
      <c r="A244" s="14"/>
      <c r="B244" s="14"/>
      <c r="C244" s="14"/>
      <c r="D244" s="14"/>
      <c r="E244" s="14"/>
      <c r="F244" s="14"/>
      <c r="G244" s="14"/>
      <c r="H244" s="14"/>
      <c r="I244" s="14"/>
      <c r="J244" s="14"/>
      <c r="K244" s="14"/>
      <c r="L244" s="15"/>
      <c r="M244" s="14"/>
      <c r="N244" s="14"/>
      <c r="O244" s="14"/>
      <c r="P244" s="14"/>
      <c r="Q244" s="16"/>
      <c r="R244" s="14"/>
      <c r="Z244" s="16"/>
      <c r="AC244" s="14"/>
      <c r="AD244" s="14"/>
      <c r="AE244" s="14"/>
      <c r="AF244" s="14"/>
      <c r="AG244" s="14"/>
      <c r="AH244" s="14"/>
      <c r="AI244" s="14"/>
      <c r="AJ244" s="14"/>
      <c r="AK244" s="14"/>
      <c r="AL244" s="14"/>
      <c r="AS244" s="14"/>
      <c r="AT244" s="14"/>
      <c r="AU244" s="14"/>
      <c r="AV244" s="14"/>
      <c r="AW244" s="14"/>
      <c r="AX244" s="14"/>
      <c r="AY244" s="14"/>
      <c r="BA244" s="14"/>
      <c r="BE244" s="16"/>
      <c r="BH244" s="14"/>
      <c r="BI244" s="14"/>
      <c r="BJ244" s="14"/>
      <c r="BK244" s="14"/>
      <c r="BL244" s="14"/>
      <c r="BM244" s="14"/>
      <c r="BN244" s="14"/>
      <c r="BO244" s="14"/>
      <c r="BP244" s="14"/>
      <c r="BQ244" s="14"/>
      <c r="BX244" s="14"/>
      <c r="BY244" s="14"/>
      <c r="BZ244" s="14"/>
      <c r="CA244" s="14"/>
      <c r="CB244" s="14"/>
      <c r="CC244" s="14"/>
      <c r="CD244" s="14"/>
      <c r="CF244" s="14"/>
      <c r="CJ244" s="16"/>
      <c r="CM244" s="14"/>
      <c r="CN244" s="14"/>
      <c r="CO244" s="14"/>
      <c r="CP244" s="14"/>
      <c r="CQ244" s="14"/>
      <c r="CR244" s="14"/>
      <c r="CS244" s="14"/>
      <c r="CT244" s="14"/>
      <c r="CU244" s="14"/>
      <c r="CV244" s="14"/>
    </row>
    <row r="245" spans="1:100" x14ac:dyDescent="0.2">
      <c r="A245" s="14"/>
      <c r="B245" s="14"/>
      <c r="C245" s="14"/>
      <c r="D245" s="14"/>
      <c r="E245" s="14"/>
      <c r="F245" s="14"/>
      <c r="G245" s="14"/>
      <c r="H245" s="14"/>
      <c r="I245" s="14"/>
      <c r="J245" s="14"/>
      <c r="K245" s="14"/>
      <c r="L245" s="15"/>
      <c r="M245" s="14"/>
      <c r="N245" s="14"/>
      <c r="O245" s="14"/>
      <c r="P245" s="14"/>
      <c r="Q245" s="16"/>
      <c r="R245" s="14"/>
      <c r="Z245" s="16"/>
      <c r="AC245" s="14"/>
      <c r="AD245" s="14"/>
      <c r="AE245" s="14"/>
      <c r="AF245" s="14"/>
      <c r="AG245" s="14"/>
      <c r="AH245" s="14"/>
      <c r="AI245" s="14"/>
      <c r="AJ245" s="14"/>
      <c r="AK245" s="14"/>
      <c r="AL245" s="14"/>
      <c r="AS245" s="14"/>
      <c r="AT245" s="14"/>
      <c r="AU245" s="14"/>
      <c r="AV245" s="14"/>
      <c r="AW245" s="14"/>
      <c r="AX245" s="14"/>
      <c r="AY245" s="14"/>
      <c r="BA245" s="14"/>
      <c r="BE245" s="16"/>
      <c r="BH245" s="14"/>
      <c r="BI245" s="14"/>
      <c r="BJ245" s="14"/>
      <c r="BK245" s="14"/>
      <c r="BL245" s="14"/>
      <c r="BM245" s="14"/>
      <c r="BN245" s="14"/>
      <c r="BO245" s="14"/>
      <c r="BP245" s="14"/>
      <c r="BQ245" s="14"/>
      <c r="BX245" s="14"/>
      <c r="BY245" s="14"/>
      <c r="BZ245" s="14"/>
      <c r="CA245" s="14"/>
      <c r="CB245" s="14"/>
      <c r="CC245" s="14"/>
      <c r="CD245" s="14"/>
      <c r="CF245" s="14"/>
      <c r="CJ245" s="16"/>
      <c r="CM245" s="14"/>
      <c r="CN245" s="14"/>
      <c r="CO245" s="14"/>
      <c r="CP245" s="14"/>
      <c r="CQ245" s="14"/>
      <c r="CR245" s="14"/>
      <c r="CS245" s="14"/>
      <c r="CT245" s="14"/>
      <c r="CU245" s="14"/>
      <c r="CV245" s="14"/>
    </row>
    <row r="246" spans="1:100" x14ac:dyDescent="0.2">
      <c r="A246" s="14"/>
      <c r="B246" s="14"/>
      <c r="C246" s="14"/>
      <c r="D246" s="14"/>
      <c r="E246" s="14"/>
      <c r="F246" s="14"/>
      <c r="G246" s="14"/>
      <c r="H246" s="14"/>
      <c r="I246" s="14"/>
      <c r="J246" s="14"/>
      <c r="K246" s="14"/>
      <c r="L246" s="15"/>
      <c r="M246" s="14"/>
      <c r="N246" s="14"/>
      <c r="O246" s="14"/>
      <c r="P246" s="14"/>
      <c r="Q246" s="16"/>
      <c r="R246" s="14"/>
      <c r="Z246" s="16"/>
      <c r="AC246" s="14"/>
      <c r="AD246" s="14"/>
      <c r="AE246" s="14"/>
      <c r="AF246" s="14"/>
      <c r="AG246" s="14"/>
      <c r="AH246" s="14"/>
      <c r="AI246" s="14"/>
      <c r="AJ246" s="14"/>
      <c r="AK246" s="14"/>
      <c r="AL246" s="14"/>
      <c r="AS246" s="14"/>
      <c r="AT246" s="14"/>
      <c r="AU246" s="14"/>
      <c r="AV246" s="14"/>
      <c r="AW246" s="14"/>
      <c r="AX246" s="14"/>
      <c r="AY246" s="14"/>
      <c r="BA246" s="14"/>
      <c r="BE246" s="16"/>
      <c r="BH246" s="14"/>
      <c r="BI246" s="14"/>
      <c r="BJ246" s="14"/>
      <c r="BK246" s="14"/>
      <c r="BL246" s="14"/>
      <c r="BM246" s="14"/>
      <c r="BN246" s="14"/>
      <c r="BO246" s="14"/>
      <c r="BP246" s="14"/>
      <c r="BQ246" s="14"/>
      <c r="BX246" s="14"/>
      <c r="BY246" s="14"/>
      <c r="BZ246" s="14"/>
      <c r="CA246" s="14"/>
      <c r="CB246" s="14"/>
      <c r="CC246" s="14"/>
      <c r="CD246" s="14"/>
      <c r="CF246" s="14"/>
      <c r="CJ246" s="16"/>
      <c r="CM246" s="14"/>
      <c r="CN246" s="14"/>
      <c r="CO246" s="14"/>
      <c r="CP246" s="14"/>
      <c r="CQ246" s="14"/>
      <c r="CR246" s="14"/>
      <c r="CS246" s="14"/>
      <c r="CT246" s="14"/>
      <c r="CU246" s="14"/>
      <c r="CV246" s="14"/>
    </row>
    <row r="247" spans="1:100" x14ac:dyDescent="0.2">
      <c r="A247" s="14"/>
      <c r="B247" s="14"/>
      <c r="C247" s="14"/>
      <c r="D247" s="14"/>
      <c r="E247" s="14"/>
      <c r="F247" s="14"/>
      <c r="G247" s="14"/>
      <c r="H247" s="14"/>
      <c r="I247" s="14"/>
      <c r="J247" s="14"/>
      <c r="K247" s="14"/>
      <c r="L247" s="15"/>
      <c r="M247" s="14"/>
      <c r="N247" s="14"/>
      <c r="O247" s="14"/>
      <c r="P247" s="14"/>
      <c r="Q247" s="16"/>
      <c r="R247" s="14"/>
      <c r="Z247" s="16"/>
      <c r="AC247" s="14"/>
      <c r="AD247" s="14"/>
      <c r="AE247" s="14"/>
      <c r="AF247" s="14"/>
      <c r="AG247" s="14"/>
      <c r="AH247" s="14"/>
      <c r="AI247" s="14"/>
      <c r="AJ247" s="14"/>
      <c r="AK247" s="14"/>
      <c r="AL247" s="14"/>
      <c r="AS247" s="14"/>
      <c r="AT247" s="14"/>
      <c r="AU247" s="14"/>
      <c r="AV247" s="14"/>
      <c r="AW247" s="14"/>
      <c r="AX247" s="14"/>
      <c r="AY247" s="14"/>
      <c r="BA247" s="14"/>
      <c r="BE247" s="16"/>
      <c r="BH247" s="14"/>
      <c r="BI247" s="14"/>
      <c r="BJ247" s="14"/>
      <c r="BK247" s="14"/>
      <c r="BL247" s="14"/>
      <c r="BM247" s="14"/>
      <c r="BN247" s="14"/>
      <c r="BO247" s="14"/>
      <c r="BP247" s="14"/>
      <c r="BQ247" s="14"/>
      <c r="BX247" s="14"/>
      <c r="BY247" s="14"/>
      <c r="BZ247" s="14"/>
      <c r="CA247" s="14"/>
      <c r="CB247" s="14"/>
      <c r="CC247" s="14"/>
      <c r="CD247" s="14"/>
      <c r="CF247" s="14"/>
      <c r="CJ247" s="16"/>
      <c r="CM247" s="14"/>
      <c r="CN247" s="14"/>
      <c r="CO247" s="14"/>
      <c r="CP247" s="14"/>
      <c r="CQ247" s="14"/>
      <c r="CR247" s="14"/>
      <c r="CS247" s="14"/>
      <c r="CT247" s="14"/>
      <c r="CU247" s="14"/>
      <c r="CV247" s="14"/>
    </row>
    <row r="248" spans="1:100" x14ac:dyDescent="0.2">
      <c r="A248" s="14"/>
      <c r="B248" s="14"/>
      <c r="C248" s="14"/>
      <c r="D248" s="14"/>
      <c r="E248" s="14"/>
      <c r="F248" s="14"/>
      <c r="G248" s="14"/>
      <c r="H248" s="14"/>
      <c r="I248" s="14"/>
      <c r="J248" s="14"/>
      <c r="K248" s="14"/>
      <c r="L248" s="15"/>
      <c r="M248" s="14"/>
      <c r="N248" s="14"/>
      <c r="O248" s="14"/>
      <c r="P248" s="14"/>
      <c r="Q248" s="16"/>
      <c r="R248" s="14"/>
      <c r="Z248" s="16"/>
      <c r="AC248" s="14"/>
      <c r="AD248" s="14"/>
      <c r="AE248" s="14"/>
      <c r="AF248" s="14"/>
      <c r="AG248" s="14"/>
      <c r="AH248" s="14"/>
      <c r="AI248" s="14"/>
      <c r="AJ248" s="14"/>
      <c r="AK248" s="14"/>
      <c r="AL248" s="14"/>
      <c r="AS248" s="14"/>
      <c r="AT248" s="14"/>
      <c r="AU248" s="14"/>
      <c r="AV248" s="14"/>
      <c r="AW248" s="14"/>
      <c r="AX248" s="14"/>
      <c r="AY248" s="14"/>
      <c r="BA248" s="14"/>
      <c r="BE248" s="16"/>
      <c r="BH248" s="14"/>
      <c r="BI248" s="14"/>
      <c r="BJ248" s="14"/>
      <c r="BK248" s="14"/>
      <c r="BL248" s="14"/>
      <c r="BM248" s="14"/>
      <c r="BN248" s="14"/>
      <c r="BO248" s="14"/>
      <c r="BP248" s="14"/>
      <c r="BQ248" s="14"/>
      <c r="BX248" s="14"/>
      <c r="BY248" s="14"/>
      <c r="BZ248" s="14"/>
      <c r="CA248" s="14"/>
      <c r="CB248" s="14"/>
      <c r="CC248" s="14"/>
      <c r="CD248" s="14"/>
      <c r="CF248" s="14"/>
      <c r="CJ248" s="16"/>
      <c r="CM248" s="14"/>
      <c r="CN248" s="14"/>
      <c r="CO248" s="14"/>
      <c r="CP248" s="14"/>
      <c r="CQ248" s="14"/>
      <c r="CR248" s="14"/>
      <c r="CS248" s="14"/>
      <c r="CT248" s="14"/>
      <c r="CU248" s="14"/>
      <c r="CV248" s="14"/>
    </row>
    <row r="249" spans="1:100" x14ac:dyDescent="0.2">
      <c r="A249" s="14"/>
      <c r="B249" s="14"/>
      <c r="C249" s="14"/>
      <c r="D249" s="14"/>
      <c r="E249" s="14"/>
      <c r="F249" s="14"/>
      <c r="G249" s="14"/>
      <c r="H249" s="14"/>
      <c r="I249" s="14"/>
      <c r="J249" s="14"/>
      <c r="K249" s="14"/>
      <c r="L249" s="15"/>
      <c r="M249" s="14"/>
      <c r="N249" s="14"/>
      <c r="O249" s="14"/>
      <c r="P249" s="14"/>
      <c r="Q249" s="16"/>
      <c r="R249" s="14"/>
      <c r="Z249" s="16"/>
      <c r="AC249" s="14"/>
      <c r="AD249" s="14"/>
      <c r="AE249" s="14"/>
      <c r="AF249" s="14"/>
      <c r="AG249" s="14"/>
      <c r="AH249" s="14"/>
      <c r="AI249" s="14"/>
      <c r="AJ249" s="14"/>
      <c r="AK249" s="14"/>
      <c r="AL249" s="14"/>
      <c r="AS249" s="14"/>
      <c r="AT249" s="14"/>
      <c r="AU249" s="14"/>
      <c r="AV249" s="14"/>
      <c r="AW249" s="14"/>
      <c r="AX249" s="14"/>
      <c r="AY249" s="14"/>
      <c r="BA249" s="14"/>
      <c r="BE249" s="16"/>
      <c r="BH249" s="14"/>
      <c r="BI249" s="14"/>
      <c r="BJ249" s="14"/>
      <c r="BK249" s="14"/>
      <c r="BL249" s="14"/>
      <c r="BM249" s="14"/>
      <c r="BN249" s="14"/>
      <c r="BO249" s="14"/>
      <c r="BP249" s="14"/>
      <c r="BQ249" s="14"/>
      <c r="BX249" s="14"/>
      <c r="BY249" s="14"/>
      <c r="BZ249" s="14"/>
      <c r="CA249" s="14"/>
      <c r="CB249" s="14"/>
      <c r="CC249" s="14"/>
      <c r="CD249" s="14"/>
      <c r="CF249" s="14"/>
      <c r="CJ249" s="16"/>
      <c r="CM249" s="14"/>
      <c r="CN249" s="14"/>
      <c r="CO249" s="14"/>
      <c r="CP249" s="14"/>
      <c r="CQ249" s="14"/>
      <c r="CR249" s="14"/>
      <c r="CS249" s="14"/>
      <c r="CT249" s="14"/>
      <c r="CU249" s="14"/>
      <c r="CV249" s="14"/>
    </row>
    <row r="250" spans="1:100" x14ac:dyDescent="0.2">
      <c r="A250" s="14"/>
      <c r="B250" s="14"/>
      <c r="C250" s="14"/>
      <c r="D250" s="14"/>
      <c r="E250" s="14"/>
      <c r="F250" s="14"/>
      <c r="G250" s="14"/>
      <c r="H250" s="14"/>
      <c r="I250" s="14"/>
      <c r="J250" s="14"/>
      <c r="K250" s="14"/>
      <c r="L250" s="15"/>
      <c r="M250" s="14"/>
      <c r="N250" s="14"/>
      <c r="O250" s="14"/>
      <c r="P250" s="14"/>
      <c r="Q250" s="16"/>
      <c r="R250" s="14"/>
      <c r="Z250" s="16"/>
      <c r="AC250" s="14"/>
      <c r="AD250" s="14"/>
      <c r="AE250" s="14"/>
      <c r="AF250" s="14"/>
      <c r="AG250" s="14"/>
      <c r="AH250" s="14"/>
      <c r="AI250" s="14"/>
      <c r="AJ250" s="14"/>
      <c r="AK250" s="14"/>
      <c r="AL250" s="14"/>
      <c r="AS250" s="14"/>
      <c r="AT250" s="14"/>
      <c r="AU250" s="14"/>
      <c r="AV250" s="14"/>
      <c r="AW250" s="14"/>
      <c r="AX250" s="14"/>
      <c r="AY250" s="14"/>
      <c r="BA250" s="14"/>
      <c r="BE250" s="16"/>
      <c r="BH250" s="14"/>
      <c r="BI250" s="14"/>
      <c r="BJ250" s="14"/>
      <c r="BK250" s="14"/>
      <c r="BL250" s="14"/>
      <c r="BM250" s="14"/>
      <c r="BN250" s="14"/>
      <c r="BO250" s="14"/>
      <c r="BP250" s="14"/>
      <c r="BQ250" s="14"/>
      <c r="BX250" s="14"/>
      <c r="BY250" s="14"/>
      <c r="BZ250" s="14"/>
      <c r="CA250" s="14"/>
      <c r="CB250" s="14"/>
      <c r="CC250" s="14"/>
      <c r="CD250" s="14"/>
      <c r="CF250" s="14"/>
      <c r="CJ250" s="16"/>
      <c r="CM250" s="14"/>
      <c r="CN250" s="14"/>
      <c r="CO250" s="14"/>
      <c r="CP250" s="14"/>
      <c r="CQ250" s="14"/>
      <c r="CR250" s="14"/>
      <c r="CS250" s="14"/>
      <c r="CT250" s="14"/>
      <c r="CU250" s="14"/>
      <c r="CV250" s="14"/>
    </row>
    <row r="251" spans="1:100" x14ac:dyDescent="0.2">
      <c r="A251" s="14"/>
      <c r="B251" s="14"/>
      <c r="C251" s="14"/>
      <c r="D251" s="14"/>
      <c r="E251" s="14"/>
      <c r="F251" s="14"/>
      <c r="G251" s="14"/>
      <c r="H251" s="14"/>
      <c r="I251" s="14"/>
      <c r="J251" s="14"/>
      <c r="K251" s="14"/>
      <c r="L251" s="15"/>
      <c r="M251" s="14"/>
      <c r="N251" s="14"/>
      <c r="O251" s="14"/>
      <c r="P251" s="14"/>
      <c r="Q251" s="16"/>
      <c r="R251" s="14"/>
      <c r="Z251" s="16"/>
      <c r="AC251" s="14"/>
      <c r="AD251" s="14"/>
      <c r="AE251" s="14"/>
      <c r="AF251" s="14"/>
      <c r="AG251" s="14"/>
      <c r="AH251" s="14"/>
      <c r="AI251" s="14"/>
      <c r="AJ251" s="14"/>
      <c r="AK251" s="14"/>
      <c r="AL251" s="14"/>
      <c r="AS251" s="14"/>
      <c r="AT251" s="14"/>
      <c r="AU251" s="14"/>
      <c r="AV251" s="14"/>
      <c r="AW251" s="14"/>
      <c r="AX251" s="14"/>
      <c r="AY251" s="14"/>
      <c r="BA251" s="14"/>
      <c r="BE251" s="16"/>
      <c r="BH251" s="14"/>
      <c r="BI251" s="14"/>
      <c r="BJ251" s="14"/>
      <c r="BK251" s="14"/>
      <c r="BL251" s="14"/>
      <c r="BM251" s="14"/>
      <c r="BN251" s="14"/>
      <c r="BO251" s="14"/>
      <c r="BP251" s="14"/>
      <c r="BQ251" s="14"/>
      <c r="BX251" s="14"/>
      <c r="BY251" s="14"/>
      <c r="BZ251" s="14"/>
      <c r="CA251" s="14"/>
      <c r="CB251" s="14"/>
      <c r="CC251" s="14"/>
      <c r="CD251" s="14"/>
      <c r="CF251" s="14"/>
      <c r="CJ251" s="16"/>
      <c r="CM251" s="14"/>
      <c r="CN251" s="14"/>
      <c r="CO251" s="14"/>
      <c r="CP251" s="14"/>
      <c r="CQ251" s="14"/>
      <c r="CR251" s="14"/>
      <c r="CS251" s="14"/>
      <c r="CT251" s="14"/>
      <c r="CU251" s="14"/>
      <c r="CV251" s="14"/>
    </row>
    <row r="252" spans="1:100" x14ac:dyDescent="0.2">
      <c r="A252" s="14"/>
      <c r="B252" s="14"/>
      <c r="C252" s="14"/>
      <c r="D252" s="14"/>
      <c r="E252" s="14"/>
      <c r="F252" s="14"/>
      <c r="G252" s="14"/>
      <c r="H252" s="14"/>
      <c r="I252" s="14"/>
      <c r="J252" s="14"/>
      <c r="K252" s="14"/>
      <c r="L252" s="15"/>
      <c r="M252" s="14"/>
      <c r="N252" s="14"/>
      <c r="O252" s="14"/>
      <c r="P252" s="14"/>
      <c r="Q252" s="16"/>
      <c r="R252" s="14"/>
      <c r="Z252" s="16"/>
      <c r="AC252" s="14"/>
      <c r="AD252" s="14"/>
      <c r="AE252" s="14"/>
      <c r="AF252" s="14"/>
      <c r="AG252" s="14"/>
      <c r="AH252" s="14"/>
      <c r="AI252" s="14"/>
      <c r="AJ252" s="14"/>
      <c r="AK252" s="14"/>
      <c r="AL252" s="14"/>
      <c r="AS252" s="14"/>
      <c r="AT252" s="14"/>
      <c r="AU252" s="14"/>
      <c r="AV252" s="14"/>
      <c r="AW252" s="14"/>
      <c r="AX252" s="14"/>
      <c r="AY252" s="14"/>
      <c r="BA252" s="14"/>
      <c r="BE252" s="16"/>
      <c r="BH252" s="14"/>
      <c r="BI252" s="14"/>
      <c r="BJ252" s="14"/>
      <c r="BK252" s="14"/>
      <c r="BL252" s="14"/>
      <c r="BM252" s="14"/>
      <c r="BN252" s="14"/>
      <c r="BO252" s="14"/>
      <c r="BP252" s="14"/>
      <c r="BQ252" s="14"/>
      <c r="BX252" s="14"/>
      <c r="BY252" s="14"/>
      <c r="BZ252" s="14"/>
      <c r="CA252" s="14"/>
      <c r="CB252" s="14"/>
      <c r="CC252" s="14"/>
      <c r="CD252" s="14"/>
      <c r="CF252" s="14"/>
      <c r="CJ252" s="16"/>
      <c r="CM252" s="14"/>
      <c r="CN252" s="14"/>
      <c r="CO252" s="14"/>
      <c r="CP252" s="14"/>
      <c r="CQ252" s="14"/>
      <c r="CR252" s="14"/>
      <c r="CS252" s="14"/>
      <c r="CT252" s="14"/>
      <c r="CU252" s="14"/>
      <c r="CV252" s="14"/>
    </row>
    <row r="253" spans="1:100" x14ac:dyDescent="0.2">
      <c r="A253" s="14"/>
      <c r="B253" s="14"/>
      <c r="C253" s="14"/>
      <c r="D253" s="14"/>
      <c r="E253" s="14"/>
      <c r="F253" s="14"/>
      <c r="G253" s="14"/>
      <c r="H253" s="14"/>
      <c r="I253" s="14"/>
      <c r="J253" s="14"/>
      <c r="K253" s="14"/>
      <c r="L253" s="15"/>
      <c r="M253" s="14"/>
      <c r="N253" s="14"/>
      <c r="O253" s="14"/>
      <c r="P253" s="14"/>
      <c r="Q253" s="16"/>
      <c r="R253" s="14"/>
      <c r="Z253" s="16"/>
      <c r="AC253" s="14"/>
      <c r="AD253" s="14"/>
      <c r="AE253" s="14"/>
      <c r="AF253" s="14"/>
      <c r="AG253" s="14"/>
      <c r="AH253" s="14"/>
      <c r="AI253" s="14"/>
      <c r="AJ253" s="14"/>
      <c r="AK253" s="14"/>
      <c r="AL253" s="14"/>
      <c r="AS253" s="14"/>
      <c r="AT253" s="14"/>
      <c r="AU253" s="14"/>
      <c r="AV253" s="14"/>
      <c r="AW253" s="14"/>
      <c r="AX253" s="14"/>
      <c r="AY253" s="14"/>
      <c r="BA253" s="14"/>
      <c r="BE253" s="16"/>
      <c r="BH253" s="14"/>
      <c r="BI253" s="14"/>
      <c r="BJ253" s="14"/>
      <c r="BK253" s="14"/>
      <c r="BL253" s="14"/>
      <c r="BM253" s="14"/>
      <c r="BN253" s="14"/>
      <c r="BO253" s="14"/>
      <c r="BP253" s="14"/>
      <c r="BQ253" s="14"/>
      <c r="BX253" s="14"/>
      <c r="BY253" s="14"/>
      <c r="BZ253" s="14"/>
      <c r="CA253" s="14"/>
      <c r="CB253" s="14"/>
      <c r="CC253" s="14"/>
      <c r="CD253" s="14"/>
      <c r="CF253" s="14"/>
      <c r="CJ253" s="16"/>
      <c r="CM253" s="14"/>
      <c r="CN253" s="14"/>
      <c r="CO253" s="14"/>
      <c r="CP253" s="14"/>
      <c r="CQ253" s="14"/>
      <c r="CR253" s="14"/>
      <c r="CS253" s="14"/>
      <c r="CT253" s="14"/>
      <c r="CU253" s="14"/>
      <c r="CV253" s="14"/>
    </row>
    <row r="254" spans="1:100" x14ac:dyDescent="0.2">
      <c r="A254" s="14"/>
      <c r="B254" s="14"/>
      <c r="C254" s="14"/>
      <c r="D254" s="14"/>
      <c r="E254" s="14"/>
      <c r="F254" s="14"/>
      <c r="G254" s="14"/>
      <c r="H254" s="14"/>
      <c r="I254" s="14"/>
      <c r="J254" s="14"/>
      <c r="K254" s="14"/>
      <c r="L254" s="15"/>
      <c r="M254" s="14"/>
      <c r="N254" s="14"/>
      <c r="O254" s="14"/>
      <c r="P254" s="14"/>
      <c r="Q254" s="16"/>
      <c r="R254" s="14"/>
      <c r="Z254" s="16"/>
      <c r="AC254" s="14"/>
      <c r="AD254" s="14"/>
      <c r="AE254" s="14"/>
      <c r="AF254" s="14"/>
      <c r="AG254" s="14"/>
      <c r="AH254" s="14"/>
      <c r="AI254" s="14"/>
      <c r="AJ254" s="14"/>
      <c r="AK254" s="14"/>
      <c r="AL254" s="14"/>
      <c r="AS254" s="14"/>
      <c r="AT254" s="14"/>
      <c r="AU254" s="14"/>
      <c r="AV254" s="14"/>
      <c r="AW254" s="14"/>
      <c r="AX254" s="14"/>
      <c r="AY254" s="14"/>
      <c r="BA254" s="14"/>
      <c r="BE254" s="16"/>
      <c r="BH254" s="14"/>
      <c r="BI254" s="14"/>
      <c r="BJ254" s="14"/>
      <c r="BK254" s="14"/>
      <c r="BL254" s="14"/>
      <c r="BM254" s="14"/>
      <c r="BN254" s="14"/>
      <c r="BO254" s="14"/>
      <c r="BP254" s="14"/>
      <c r="BQ254" s="14"/>
      <c r="BX254" s="14"/>
      <c r="BY254" s="14"/>
      <c r="BZ254" s="14"/>
      <c r="CA254" s="14"/>
      <c r="CB254" s="14"/>
      <c r="CC254" s="14"/>
      <c r="CD254" s="14"/>
      <c r="CF254" s="14"/>
      <c r="CJ254" s="16"/>
      <c r="CM254" s="14"/>
      <c r="CN254" s="14"/>
      <c r="CO254" s="14"/>
      <c r="CP254" s="14"/>
      <c r="CQ254" s="14"/>
      <c r="CR254" s="14"/>
      <c r="CS254" s="14"/>
      <c r="CT254" s="14"/>
      <c r="CU254" s="14"/>
      <c r="CV254" s="14"/>
    </row>
    <row r="255" spans="1:100" x14ac:dyDescent="0.2">
      <c r="A255" s="14"/>
      <c r="B255" s="14"/>
      <c r="C255" s="14"/>
      <c r="D255" s="14"/>
      <c r="E255" s="14"/>
      <c r="F255" s="14"/>
      <c r="G255" s="14"/>
      <c r="H255" s="14"/>
      <c r="I255" s="14"/>
      <c r="J255" s="14"/>
      <c r="K255" s="14"/>
      <c r="L255" s="15"/>
      <c r="M255" s="14"/>
      <c r="N255" s="14"/>
      <c r="O255" s="14"/>
      <c r="P255" s="14"/>
      <c r="Q255" s="16"/>
      <c r="R255" s="14"/>
      <c r="Z255" s="16"/>
      <c r="AC255" s="14"/>
      <c r="AD255" s="14"/>
      <c r="AE255" s="14"/>
      <c r="AF255" s="14"/>
      <c r="AG255" s="14"/>
      <c r="AH255" s="14"/>
      <c r="AI255" s="14"/>
      <c r="AJ255" s="14"/>
      <c r="AK255" s="14"/>
      <c r="AL255" s="14"/>
      <c r="AS255" s="14"/>
      <c r="AT255" s="14"/>
      <c r="AU255" s="14"/>
      <c r="AV255" s="14"/>
      <c r="AW255" s="14"/>
      <c r="AX255" s="14"/>
      <c r="AY255" s="14"/>
      <c r="BA255" s="14"/>
      <c r="BE255" s="16"/>
      <c r="BH255" s="14"/>
      <c r="BI255" s="14"/>
      <c r="BJ255" s="14"/>
      <c r="BK255" s="14"/>
      <c r="BL255" s="14"/>
      <c r="BM255" s="14"/>
      <c r="BN255" s="14"/>
      <c r="BO255" s="14"/>
      <c r="BP255" s="14"/>
      <c r="BQ255" s="14"/>
      <c r="BX255" s="14"/>
      <c r="BY255" s="14"/>
      <c r="BZ255" s="14"/>
      <c r="CA255" s="14"/>
      <c r="CB255" s="14"/>
      <c r="CC255" s="14"/>
      <c r="CD255" s="14"/>
      <c r="CF255" s="14"/>
      <c r="CJ255" s="16"/>
      <c r="CM255" s="14"/>
      <c r="CN255" s="14"/>
      <c r="CO255" s="14"/>
      <c r="CP255" s="14"/>
      <c r="CQ255" s="14"/>
      <c r="CR255" s="14"/>
      <c r="CS255" s="14"/>
      <c r="CT255" s="14"/>
      <c r="CU255" s="14"/>
      <c r="CV255" s="14"/>
    </row>
    <row r="256" spans="1:100" x14ac:dyDescent="0.2">
      <c r="A256" s="14"/>
      <c r="B256" s="14"/>
      <c r="C256" s="14"/>
      <c r="D256" s="14"/>
      <c r="E256" s="14"/>
      <c r="F256" s="14"/>
      <c r="G256" s="14"/>
      <c r="H256" s="14"/>
      <c r="I256" s="14"/>
      <c r="J256" s="14"/>
      <c r="K256" s="14"/>
      <c r="L256" s="15"/>
      <c r="M256" s="14"/>
      <c r="N256" s="14"/>
      <c r="O256" s="14"/>
      <c r="P256" s="14"/>
      <c r="Q256" s="16"/>
      <c r="R256" s="14"/>
      <c r="Z256" s="16"/>
      <c r="AC256" s="14"/>
      <c r="AD256" s="14"/>
      <c r="AE256" s="14"/>
      <c r="AF256" s="14"/>
      <c r="AG256" s="14"/>
      <c r="AH256" s="14"/>
      <c r="AI256" s="14"/>
      <c r="AJ256" s="14"/>
      <c r="AK256" s="14"/>
      <c r="AL256" s="14"/>
      <c r="AS256" s="14"/>
      <c r="AT256" s="14"/>
      <c r="AU256" s="14"/>
      <c r="AV256" s="14"/>
      <c r="AW256" s="14"/>
      <c r="AX256" s="14"/>
      <c r="AY256" s="14"/>
      <c r="BA256" s="14"/>
      <c r="BE256" s="16"/>
      <c r="BH256" s="14"/>
      <c r="BI256" s="14"/>
      <c r="BJ256" s="14"/>
      <c r="BK256" s="14"/>
      <c r="BL256" s="14"/>
      <c r="BM256" s="14"/>
      <c r="BN256" s="14"/>
      <c r="BO256" s="14"/>
      <c r="BP256" s="14"/>
      <c r="BQ256" s="14"/>
      <c r="BX256" s="14"/>
      <c r="BY256" s="14"/>
      <c r="BZ256" s="14"/>
      <c r="CA256" s="14"/>
      <c r="CB256" s="14"/>
      <c r="CC256" s="14"/>
      <c r="CD256" s="14"/>
      <c r="CF256" s="14"/>
      <c r="CJ256" s="16"/>
      <c r="CM256" s="14"/>
      <c r="CN256" s="14"/>
      <c r="CO256" s="14"/>
      <c r="CP256" s="14"/>
      <c r="CQ256" s="14"/>
      <c r="CR256" s="14"/>
      <c r="CS256" s="14"/>
      <c r="CT256" s="14"/>
      <c r="CU256" s="14"/>
      <c r="CV256" s="14"/>
    </row>
    <row r="257" spans="1:100" x14ac:dyDescent="0.2">
      <c r="A257" s="14"/>
      <c r="B257" s="14"/>
      <c r="C257" s="14"/>
      <c r="D257" s="14"/>
      <c r="E257" s="14"/>
      <c r="F257" s="14"/>
      <c r="G257" s="14"/>
      <c r="H257" s="14"/>
      <c r="I257" s="14"/>
      <c r="J257" s="14"/>
      <c r="K257" s="14"/>
      <c r="L257" s="15"/>
      <c r="M257" s="14"/>
      <c r="N257" s="14"/>
      <c r="O257" s="14"/>
      <c r="P257" s="14"/>
      <c r="Q257" s="16"/>
      <c r="R257" s="14"/>
      <c r="Z257" s="16"/>
      <c r="AC257" s="14"/>
      <c r="AD257" s="14"/>
      <c r="AE257" s="14"/>
      <c r="AF257" s="14"/>
      <c r="AG257" s="14"/>
      <c r="AH257" s="14"/>
      <c r="AI257" s="14"/>
      <c r="AJ257" s="14"/>
      <c r="AK257" s="14"/>
      <c r="AL257" s="14"/>
      <c r="AS257" s="14"/>
      <c r="AT257" s="14"/>
      <c r="AU257" s="14"/>
      <c r="AV257" s="14"/>
      <c r="AW257" s="14"/>
      <c r="AX257" s="14"/>
      <c r="AY257" s="14"/>
      <c r="BA257" s="14"/>
      <c r="BE257" s="16"/>
      <c r="BH257" s="14"/>
      <c r="BI257" s="14"/>
      <c r="BJ257" s="14"/>
      <c r="BK257" s="14"/>
      <c r="BL257" s="14"/>
      <c r="BM257" s="14"/>
      <c r="BN257" s="14"/>
      <c r="BO257" s="14"/>
      <c r="BP257" s="14"/>
      <c r="BQ257" s="14"/>
      <c r="BX257" s="14"/>
      <c r="BY257" s="14"/>
      <c r="BZ257" s="14"/>
      <c r="CA257" s="14"/>
      <c r="CB257" s="14"/>
      <c r="CC257" s="14"/>
      <c r="CD257" s="14"/>
      <c r="CF257" s="14"/>
      <c r="CJ257" s="16"/>
      <c r="CM257" s="14"/>
      <c r="CN257" s="14"/>
      <c r="CO257" s="14"/>
      <c r="CP257" s="14"/>
      <c r="CQ257" s="14"/>
      <c r="CR257" s="14"/>
      <c r="CS257" s="14"/>
      <c r="CT257" s="14"/>
      <c r="CU257" s="14"/>
      <c r="CV257" s="14"/>
    </row>
    <row r="258" spans="1:100" x14ac:dyDescent="0.2">
      <c r="A258" s="14"/>
      <c r="B258" s="14"/>
      <c r="C258" s="14"/>
      <c r="D258" s="14"/>
      <c r="E258" s="14"/>
      <c r="F258" s="14"/>
      <c r="G258" s="14"/>
      <c r="H258" s="14"/>
      <c r="I258" s="14"/>
      <c r="J258" s="14"/>
      <c r="K258" s="14"/>
      <c r="L258" s="15"/>
      <c r="M258" s="14"/>
      <c r="N258" s="14"/>
      <c r="O258" s="14"/>
      <c r="P258" s="14"/>
      <c r="Q258" s="16"/>
      <c r="R258" s="14"/>
      <c r="Z258" s="16"/>
      <c r="AC258" s="14"/>
      <c r="AD258" s="14"/>
      <c r="AE258" s="14"/>
      <c r="AF258" s="14"/>
      <c r="AG258" s="14"/>
      <c r="AH258" s="14"/>
      <c r="AI258" s="14"/>
      <c r="AJ258" s="14"/>
      <c r="AK258" s="14"/>
      <c r="AL258" s="14"/>
      <c r="AS258" s="14"/>
      <c r="AT258" s="14"/>
      <c r="AU258" s="14"/>
      <c r="AV258" s="14"/>
      <c r="AW258" s="14"/>
      <c r="AX258" s="14"/>
      <c r="AY258" s="14"/>
      <c r="BA258" s="14"/>
      <c r="BE258" s="16"/>
      <c r="BH258" s="14"/>
      <c r="BI258" s="14"/>
      <c r="BJ258" s="14"/>
      <c r="BK258" s="14"/>
      <c r="BL258" s="14"/>
      <c r="BM258" s="14"/>
      <c r="BN258" s="14"/>
      <c r="BO258" s="14"/>
      <c r="BP258" s="14"/>
      <c r="BQ258" s="14"/>
      <c r="BX258" s="14"/>
      <c r="BY258" s="14"/>
      <c r="BZ258" s="14"/>
      <c r="CA258" s="14"/>
      <c r="CB258" s="14"/>
      <c r="CC258" s="14"/>
      <c r="CD258" s="14"/>
      <c r="CF258" s="14"/>
      <c r="CJ258" s="16"/>
      <c r="CM258" s="14"/>
      <c r="CN258" s="14"/>
      <c r="CO258" s="14"/>
      <c r="CP258" s="14"/>
      <c r="CQ258" s="14"/>
      <c r="CR258" s="14"/>
      <c r="CS258" s="14"/>
      <c r="CT258" s="14"/>
      <c r="CU258" s="14"/>
      <c r="CV258" s="14"/>
    </row>
    <row r="259" spans="1:100" x14ac:dyDescent="0.2">
      <c r="A259" s="14"/>
      <c r="B259" s="14"/>
      <c r="C259" s="14"/>
      <c r="D259" s="14"/>
      <c r="E259" s="14"/>
      <c r="F259" s="14"/>
      <c r="G259" s="14"/>
      <c r="H259" s="14"/>
      <c r="I259" s="14"/>
      <c r="J259" s="14"/>
      <c r="K259" s="14"/>
      <c r="L259" s="15"/>
      <c r="M259" s="14"/>
      <c r="N259" s="14"/>
      <c r="O259" s="14"/>
      <c r="P259" s="14"/>
      <c r="Q259" s="16"/>
      <c r="R259" s="14"/>
      <c r="Z259" s="16"/>
      <c r="AC259" s="14"/>
      <c r="AD259" s="14"/>
      <c r="AE259" s="14"/>
      <c r="AF259" s="14"/>
      <c r="AG259" s="14"/>
      <c r="AH259" s="14"/>
      <c r="AI259" s="14"/>
      <c r="AJ259" s="14"/>
      <c r="AK259" s="14"/>
      <c r="AL259" s="14"/>
      <c r="AS259" s="14"/>
      <c r="AT259" s="14"/>
      <c r="AU259" s="14"/>
      <c r="AV259" s="14"/>
      <c r="AW259" s="14"/>
      <c r="AX259" s="14"/>
      <c r="AY259" s="14"/>
      <c r="BA259" s="14"/>
      <c r="BE259" s="16"/>
      <c r="BH259" s="14"/>
      <c r="BI259" s="14"/>
      <c r="BJ259" s="14"/>
      <c r="BK259" s="14"/>
      <c r="BL259" s="14"/>
      <c r="BM259" s="14"/>
      <c r="BN259" s="14"/>
      <c r="BO259" s="14"/>
      <c r="BP259" s="14"/>
      <c r="BQ259" s="14"/>
      <c r="BX259" s="14"/>
      <c r="BY259" s="14"/>
      <c r="BZ259" s="14"/>
      <c r="CA259" s="14"/>
      <c r="CB259" s="14"/>
      <c r="CC259" s="14"/>
      <c r="CD259" s="14"/>
      <c r="CF259" s="14"/>
      <c r="CJ259" s="16"/>
      <c r="CM259" s="14"/>
      <c r="CN259" s="14"/>
      <c r="CO259" s="14"/>
      <c r="CP259" s="14"/>
      <c r="CQ259" s="14"/>
      <c r="CR259" s="14"/>
      <c r="CS259" s="14"/>
      <c r="CT259" s="14"/>
      <c r="CU259" s="14"/>
      <c r="CV259" s="14"/>
    </row>
    <row r="260" spans="1:100" x14ac:dyDescent="0.2">
      <c r="A260" s="14"/>
      <c r="B260" s="14"/>
      <c r="C260" s="14"/>
      <c r="D260" s="14"/>
      <c r="E260" s="14"/>
      <c r="F260" s="14"/>
      <c r="G260" s="14"/>
      <c r="H260" s="14"/>
      <c r="I260" s="14"/>
      <c r="J260" s="14"/>
      <c r="K260" s="14"/>
      <c r="L260" s="15"/>
      <c r="M260" s="14"/>
      <c r="N260" s="14"/>
      <c r="O260" s="14"/>
      <c r="P260" s="14"/>
      <c r="Q260" s="16"/>
      <c r="R260" s="14"/>
      <c r="Z260" s="16"/>
      <c r="AC260" s="14"/>
      <c r="AD260" s="14"/>
      <c r="AE260" s="14"/>
      <c r="AF260" s="14"/>
      <c r="AG260" s="14"/>
      <c r="AH260" s="14"/>
      <c r="AI260" s="14"/>
      <c r="AJ260" s="14"/>
      <c r="AK260" s="14"/>
      <c r="AL260" s="14"/>
      <c r="AS260" s="14"/>
      <c r="AT260" s="14"/>
      <c r="AU260" s="14"/>
      <c r="AV260" s="14"/>
      <c r="AW260" s="14"/>
      <c r="AX260" s="14"/>
      <c r="AY260" s="14"/>
      <c r="BA260" s="14"/>
      <c r="BE260" s="16"/>
      <c r="BH260" s="14"/>
      <c r="BI260" s="14"/>
      <c r="BJ260" s="14"/>
      <c r="BK260" s="14"/>
      <c r="BL260" s="14"/>
      <c r="BM260" s="14"/>
      <c r="BN260" s="14"/>
      <c r="BO260" s="14"/>
      <c r="BP260" s="14"/>
      <c r="BQ260" s="14"/>
      <c r="BX260" s="14"/>
      <c r="BY260" s="14"/>
      <c r="BZ260" s="14"/>
      <c r="CA260" s="14"/>
      <c r="CB260" s="14"/>
      <c r="CC260" s="14"/>
      <c r="CD260" s="14"/>
      <c r="CF260" s="14"/>
      <c r="CJ260" s="16"/>
      <c r="CM260" s="14"/>
      <c r="CN260" s="14"/>
      <c r="CO260" s="14"/>
      <c r="CP260" s="14"/>
      <c r="CQ260" s="14"/>
      <c r="CR260" s="14"/>
      <c r="CS260" s="14"/>
      <c r="CT260" s="14"/>
      <c r="CU260" s="14"/>
      <c r="CV260" s="14"/>
    </row>
    <row r="261" spans="1:100" x14ac:dyDescent="0.2">
      <c r="A261" s="14"/>
      <c r="B261" s="14"/>
      <c r="C261" s="14"/>
      <c r="D261" s="14"/>
      <c r="E261" s="14"/>
      <c r="F261" s="14"/>
      <c r="G261" s="14"/>
      <c r="H261" s="14"/>
      <c r="I261" s="14"/>
      <c r="J261" s="14"/>
      <c r="K261" s="14"/>
      <c r="L261" s="15"/>
      <c r="M261" s="14"/>
      <c r="N261" s="14"/>
      <c r="O261" s="14"/>
      <c r="P261" s="14"/>
      <c r="Q261" s="16"/>
      <c r="R261" s="14"/>
      <c r="Z261" s="16"/>
      <c r="AC261" s="14"/>
      <c r="AD261" s="14"/>
      <c r="AE261" s="14"/>
      <c r="AF261" s="14"/>
      <c r="AG261" s="14"/>
      <c r="AH261" s="14"/>
      <c r="AI261" s="14"/>
      <c r="AJ261" s="14"/>
      <c r="AK261" s="14"/>
      <c r="AL261" s="14"/>
      <c r="AS261" s="14"/>
      <c r="AT261" s="14"/>
      <c r="AU261" s="14"/>
      <c r="AV261" s="14"/>
      <c r="AW261" s="14"/>
      <c r="AX261" s="14"/>
      <c r="AY261" s="14"/>
      <c r="BA261" s="14"/>
      <c r="BE261" s="16"/>
      <c r="BH261" s="14"/>
      <c r="BI261" s="14"/>
      <c r="BJ261" s="14"/>
      <c r="BK261" s="14"/>
      <c r="BL261" s="14"/>
      <c r="BM261" s="14"/>
      <c r="BN261" s="14"/>
      <c r="BO261" s="14"/>
      <c r="BP261" s="14"/>
      <c r="BQ261" s="14"/>
      <c r="BX261" s="14"/>
      <c r="BY261" s="14"/>
      <c r="BZ261" s="14"/>
      <c r="CA261" s="14"/>
      <c r="CB261" s="14"/>
      <c r="CC261" s="14"/>
      <c r="CD261" s="14"/>
      <c r="CF261" s="14"/>
      <c r="CJ261" s="16"/>
      <c r="CM261" s="14"/>
      <c r="CN261" s="14"/>
      <c r="CO261" s="14"/>
      <c r="CP261" s="14"/>
      <c r="CQ261" s="14"/>
      <c r="CR261" s="14"/>
      <c r="CS261" s="14"/>
      <c r="CT261" s="14"/>
      <c r="CU261" s="14"/>
      <c r="CV261" s="14"/>
    </row>
    <row r="262" spans="1:100" x14ac:dyDescent="0.2">
      <c r="A262" s="14"/>
      <c r="B262" s="14"/>
      <c r="C262" s="14"/>
      <c r="D262" s="14"/>
      <c r="E262" s="14"/>
      <c r="F262" s="14"/>
      <c r="G262" s="14"/>
      <c r="H262" s="14"/>
      <c r="I262" s="14"/>
      <c r="J262" s="14"/>
      <c r="K262" s="14"/>
      <c r="L262" s="15"/>
      <c r="M262" s="14"/>
      <c r="N262" s="14"/>
      <c r="O262" s="14"/>
      <c r="P262" s="14"/>
      <c r="Q262" s="16"/>
      <c r="R262" s="14"/>
      <c r="Z262" s="16"/>
      <c r="AC262" s="14"/>
      <c r="AD262" s="14"/>
      <c r="AE262" s="14"/>
      <c r="AF262" s="14"/>
      <c r="AG262" s="14"/>
      <c r="AH262" s="14"/>
      <c r="AI262" s="14"/>
      <c r="AJ262" s="14"/>
      <c r="AK262" s="14"/>
      <c r="AL262" s="14"/>
      <c r="AS262" s="14"/>
      <c r="AT262" s="14"/>
      <c r="AU262" s="14"/>
      <c r="AV262" s="14"/>
      <c r="AW262" s="14"/>
      <c r="AX262" s="14"/>
      <c r="AY262" s="14"/>
      <c r="BA262" s="14"/>
      <c r="BE262" s="16"/>
      <c r="BH262" s="14"/>
      <c r="BI262" s="14"/>
      <c r="BJ262" s="14"/>
      <c r="BK262" s="14"/>
      <c r="BL262" s="14"/>
      <c r="BM262" s="14"/>
      <c r="BN262" s="14"/>
      <c r="BO262" s="14"/>
      <c r="BP262" s="14"/>
      <c r="BQ262" s="14"/>
      <c r="BX262" s="14"/>
      <c r="BY262" s="14"/>
      <c r="BZ262" s="14"/>
      <c r="CA262" s="14"/>
      <c r="CB262" s="14"/>
      <c r="CC262" s="14"/>
      <c r="CD262" s="14"/>
      <c r="CF262" s="14"/>
      <c r="CJ262" s="16"/>
      <c r="CM262" s="14"/>
      <c r="CN262" s="14"/>
      <c r="CO262" s="14"/>
      <c r="CP262" s="14"/>
      <c r="CQ262" s="14"/>
      <c r="CR262" s="14"/>
      <c r="CS262" s="14"/>
      <c r="CT262" s="14"/>
      <c r="CU262" s="14"/>
      <c r="CV262" s="14"/>
    </row>
    <row r="263" spans="1:100" x14ac:dyDescent="0.2">
      <c r="A263" s="14"/>
      <c r="B263" s="14"/>
      <c r="C263" s="14"/>
      <c r="D263" s="14"/>
      <c r="E263" s="14"/>
      <c r="F263" s="14"/>
      <c r="G263" s="14"/>
      <c r="H263" s="14"/>
      <c r="I263" s="14"/>
      <c r="J263" s="14"/>
      <c r="K263" s="14"/>
      <c r="L263" s="15"/>
      <c r="M263" s="14"/>
      <c r="N263" s="14"/>
      <c r="O263" s="14"/>
      <c r="P263" s="14"/>
      <c r="Q263" s="16"/>
      <c r="R263" s="14"/>
      <c r="Z263" s="16"/>
      <c r="AC263" s="14"/>
      <c r="AD263" s="14"/>
      <c r="AE263" s="14"/>
      <c r="AF263" s="14"/>
      <c r="AG263" s="14"/>
      <c r="AH263" s="14"/>
      <c r="AI263" s="14"/>
      <c r="AJ263" s="14"/>
      <c r="AK263" s="14"/>
      <c r="AL263" s="14"/>
      <c r="AS263" s="14"/>
      <c r="AT263" s="14"/>
      <c r="AU263" s="14"/>
      <c r="AV263" s="14"/>
      <c r="AW263" s="14"/>
      <c r="AX263" s="14"/>
      <c r="AY263" s="14"/>
      <c r="BA263" s="14"/>
      <c r="BE263" s="16"/>
      <c r="BH263" s="14"/>
      <c r="BI263" s="14"/>
      <c r="BJ263" s="14"/>
      <c r="BK263" s="14"/>
      <c r="BL263" s="14"/>
      <c r="BM263" s="14"/>
      <c r="BN263" s="14"/>
      <c r="BO263" s="14"/>
      <c r="BP263" s="14"/>
      <c r="BQ263" s="14"/>
      <c r="BX263" s="14"/>
      <c r="BY263" s="14"/>
      <c r="BZ263" s="14"/>
      <c r="CA263" s="14"/>
      <c r="CB263" s="14"/>
      <c r="CC263" s="14"/>
      <c r="CD263" s="14"/>
      <c r="CF263" s="14"/>
      <c r="CJ263" s="16"/>
      <c r="CM263" s="14"/>
      <c r="CN263" s="14"/>
      <c r="CO263" s="14"/>
      <c r="CP263" s="14"/>
      <c r="CQ263" s="14"/>
      <c r="CR263" s="14"/>
      <c r="CS263" s="14"/>
      <c r="CT263" s="14"/>
      <c r="CU263" s="14"/>
      <c r="CV263" s="14"/>
    </row>
    <row r="264" spans="1:100" x14ac:dyDescent="0.2">
      <c r="A264" s="14"/>
      <c r="B264" s="14"/>
      <c r="C264" s="14"/>
      <c r="D264" s="14"/>
      <c r="E264" s="14"/>
      <c r="F264" s="14"/>
      <c r="G264" s="14"/>
      <c r="H264" s="14"/>
      <c r="I264" s="14"/>
      <c r="J264" s="14"/>
      <c r="K264" s="14"/>
      <c r="L264" s="15"/>
      <c r="M264" s="14"/>
      <c r="N264" s="14"/>
      <c r="O264" s="14"/>
      <c r="P264" s="14"/>
      <c r="Q264" s="16"/>
      <c r="R264" s="14"/>
      <c r="Z264" s="16"/>
      <c r="AC264" s="14"/>
      <c r="AD264" s="14"/>
      <c r="AE264" s="14"/>
      <c r="AF264" s="14"/>
      <c r="AG264" s="14"/>
      <c r="AH264" s="14"/>
      <c r="AI264" s="14"/>
      <c r="AJ264" s="14"/>
      <c r="AK264" s="14"/>
      <c r="AL264" s="14"/>
      <c r="AS264" s="14"/>
      <c r="AT264" s="14"/>
      <c r="AU264" s="14"/>
      <c r="AV264" s="14"/>
      <c r="AW264" s="14"/>
      <c r="AX264" s="14"/>
      <c r="AY264" s="14"/>
      <c r="BA264" s="14"/>
      <c r="BE264" s="16"/>
      <c r="BH264" s="14"/>
      <c r="BI264" s="14"/>
      <c r="BJ264" s="14"/>
      <c r="BK264" s="14"/>
      <c r="BL264" s="14"/>
      <c r="BM264" s="14"/>
      <c r="BN264" s="14"/>
      <c r="BO264" s="14"/>
      <c r="BP264" s="14"/>
      <c r="BQ264" s="14"/>
      <c r="BX264" s="14"/>
      <c r="BY264" s="14"/>
      <c r="BZ264" s="14"/>
      <c r="CA264" s="14"/>
      <c r="CB264" s="14"/>
      <c r="CC264" s="14"/>
      <c r="CD264" s="14"/>
      <c r="CF264" s="14"/>
      <c r="CJ264" s="16"/>
      <c r="CM264" s="14"/>
      <c r="CN264" s="14"/>
      <c r="CO264" s="14"/>
      <c r="CP264" s="14"/>
      <c r="CQ264" s="14"/>
      <c r="CR264" s="14"/>
      <c r="CS264" s="14"/>
      <c r="CT264" s="14"/>
      <c r="CU264" s="14"/>
      <c r="CV264" s="14"/>
    </row>
    <row r="265" spans="1:100" x14ac:dyDescent="0.2">
      <c r="A265" s="14"/>
      <c r="B265" s="14"/>
      <c r="C265" s="14"/>
      <c r="D265" s="14"/>
      <c r="E265" s="14"/>
      <c r="F265" s="14"/>
      <c r="G265" s="14"/>
      <c r="H265" s="14"/>
      <c r="I265" s="14"/>
      <c r="J265" s="14"/>
      <c r="K265" s="14"/>
      <c r="L265" s="15"/>
      <c r="M265" s="14"/>
      <c r="N265" s="14"/>
      <c r="O265" s="14"/>
      <c r="P265" s="14"/>
      <c r="Q265" s="16"/>
      <c r="R265" s="14"/>
      <c r="Z265" s="16"/>
      <c r="AC265" s="14"/>
      <c r="AD265" s="14"/>
      <c r="AE265" s="14"/>
      <c r="AF265" s="14"/>
      <c r="AG265" s="14"/>
      <c r="AH265" s="14"/>
      <c r="AI265" s="14"/>
      <c r="AJ265" s="14"/>
      <c r="AK265" s="14"/>
      <c r="AL265" s="14"/>
      <c r="AS265" s="14"/>
      <c r="AT265" s="14"/>
      <c r="AU265" s="14"/>
      <c r="AV265" s="14"/>
      <c r="AW265" s="14"/>
      <c r="AX265" s="14"/>
      <c r="AY265" s="14"/>
      <c r="BA265" s="14"/>
      <c r="BE265" s="16"/>
      <c r="BH265" s="14"/>
      <c r="BI265" s="14"/>
      <c r="BJ265" s="14"/>
      <c r="BK265" s="14"/>
      <c r="BL265" s="14"/>
      <c r="BM265" s="14"/>
      <c r="BN265" s="14"/>
      <c r="BO265" s="14"/>
      <c r="BP265" s="14"/>
      <c r="BQ265" s="14"/>
      <c r="BX265" s="14"/>
      <c r="BY265" s="14"/>
      <c r="BZ265" s="14"/>
      <c r="CA265" s="14"/>
      <c r="CB265" s="14"/>
      <c r="CC265" s="14"/>
      <c r="CD265" s="14"/>
      <c r="CF265" s="14"/>
      <c r="CJ265" s="16"/>
      <c r="CM265" s="14"/>
      <c r="CN265" s="14"/>
      <c r="CO265" s="14"/>
      <c r="CP265" s="14"/>
      <c r="CQ265" s="14"/>
      <c r="CR265" s="14"/>
      <c r="CS265" s="14"/>
      <c r="CT265" s="14"/>
      <c r="CU265" s="14"/>
      <c r="CV265" s="14"/>
    </row>
    <row r="266" spans="1:100" x14ac:dyDescent="0.2">
      <c r="A266" s="14"/>
      <c r="B266" s="14"/>
      <c r="C266" s="14"/>
      <c r="D266" s="14"/>
      <c r="E266" s="14"/>
      <c r="F266" s="14"/>
      <c r="G266" s="14"/>
      <c r="H266" s="14"/>
      <c r="I266" s="14"/>
      <c r="J266" s="14"/>
      <c r="K266" s="14"/>
      <c r="L266" s="15"/>
      <c r="M266" s="14"/>
      <c r="N266" s="14"/>
      <c r="O266" s="14"/>
      <c r="P266" s="14"/>
      <c r="Q266" s="16"/>
      <c r="R266" s="14"/>
      <c r="Z266" s="16"/>
      <c r="AC266" s="14"/>
      <c r="AD266" s="14"/>
      <c r="AE266" s="14"/>
      <c r="AF266" s="14"/>
      <c r="AG266" s="14"/>
      <c r="AH266" s="14"/>
      <c r="AI266" s="14"/>
      <c r="AJ266" s="14"/>
      <c r="AK266" s="14"/>
      <c r="AL266" s="14"/>
      <c r="AS266" s="14"/>
      <c r="AT266" s="14"/>
      <c r="AU266" s="14"/>
      <c r="AV266" s="14"/>
      <c r="AW266" s="14"/>
      <c r="AX266" s="14"/>
      <c r="AY266" s="14"/>
      <c r="BA266" s="14"/>
      <c r="BE266" s="16"/>
      <c r="BH266" s="14"/>
      <c r="BI266" s="14"/>
      <c r="BJ266" s="14"/>
      <c r="BK266" s="14"/>
      <c r="BL266" s="14"/>
      <c r="BM266" s="14"/>
      <c r="BN266" s="14"/>
      <c r="BO266" s="14"/>
      <c r="BP266" s="14"/>
      <c r="BQ266" s="14"/>
      <c r="BX266" s="14"/>
      <c r="BY266" s="14"/>
      <c r="BZ266" s="14"/>
      <c r="CA266" s="14"/>
      <c r="CB266" s="14"/>
      <c r="CC266" s="14"/>
      <c r="CD266" s="14"/>
      <c r="CF266" s="14"/>
      <c r="CJ266" s="16"/>
      <c r="CM266" s="14"/>
      <c r="CN266" s="14"/>
      <c r="CO266" s="14"/>
      <c r="CP266" s="14"/>
      <c r="CQ266" s="14"/>
      <c r="CR266" s="14"/>
      <c r="CS266" s="14"/>
      <c r="CT266" s="14"/>
      <c r="CU266" s="14"/>
      <c r="CV266" s="14"/>
    </row>
    <row r="267" spans="1:100" x14ac:dyDescent="0.2">
      <c r="A267" s="14"/>
      <c r="B267" s="14"/>
      <c r="C267" s="14"/>
      <c r="D267" s="14"/>
      <c r="E267" s="14"/>
      <c r="F267" s="14"/>
      <c r="G267" s="14"/>
      <c r="H267" s="14"/>
      <c r="I267" s="14"/>
      <c r="J267" s="14"/>
      <c r="K267" s="14"/>
      <c r="L267" s="15"/>
      <c r="M267" s="14"/>
      <c r="N267" s="14"/>
      <c r="O267" s="14"/>
      <c r="P267" s="14"/>
      <c r="Q267" s="16"/>
      <c r="R267" s="14"/>
      <c r="Z267" s="16"/>
      <c r="AC267" s="14"/>
      <c r="AD267" s="14"/>
      <c r="AE267" s="14"/>
      <c r="AF267" s="14"/>
      <c r="AG267" s="14"/>
      <c r="AH267" s="14"/>
      <c r="AI267" s="14"/>
      <c r="AJ267" s="14"/>
      <c r="AK267" s="14"/>
      <c r="AL267" s="14"/>
      <c r="AS267" s="14"/>
      <c r="AT267" s="14"/>
      <c r="AU267" s="14"/>
      <c r="AV267" s="14"/>
      <c r="AW267" s="14"/>
      <c r="AX267" s="14"/>
      <c r="AY267" s="14"/>
      <c r="BA267" s="14"/>
      <c r="BE267" s="16"/>
      <c r="BH267" s="14"/>
      <c r="BI267" s="14"/>
      <c r="BJ267" s="14"/>
      <c r="BK267" s="14"/>
      <c r="BL267" s="14"/>
      <c r="BM267" s="14"/>
      <c r="BN267" s="14"/>
      <c r="BO267" s="14"/>
      <c r="BP267" s="14"/>
      <c r="BQ267" s="14"/>
      <c r="BX267" s="14"/>
      <c r="BY267" s="14"/>
      <c r="BZ267" s="14"/>
      <c r="CA267" s="14"/>
      <c r="CB267" s="14"/>
      <c r="CC267" s="14"/>
      <c r="CD267" s="14"/>
      <c r="CF267" s="14"/>
      <c r="CJ267" s="16"/>
      <c r="CM267" s="14"/>
      <c r="CN267" s="14"/>
      <c r="CO267" s="14"/>
      <c r="CP267" s="14"/>
      <c r="CQ267" s="14"/>
      <c r="CR267" s="14"/>
      <c r="CS267" s="14"/>
      <c r="CT267" s="14"/>
      <c r="CU267" s="14"/>
      <c r="CV267" s="14"/>
    </row>
    <row r="268" spans="1:100" x14ac:dyDescent="0.2">
      <c r="A268" s="14"/>
      <c r="B268" s="14"/>
      <c r="C268" s="14"/>
      <c r="D268" s="14"/>
      <c r="E268" s="14"/>
      <c r="F268" s="14"/>
      <c r="G268" s="14"/>
      <c r="H268" s="14"/>
      <c r="I268" s="14"/>
      <c r="J268" s="14"/>
      <c r="K268" s="14"/>
      <c r="L268" s="15"/>
      <c r="M268" s="14"/>
      <c r="N268" s="14"/>
      <c r="O268" s="14"/>
      <c r="P268" s="14"/>
      <c r="Q268" s="16"/>
      <c r="R268" s="14"/>
      <c r="Z268" s="16"/>
      <c r="AC268" s="14"/>
      <c r="AD268" s="14"/>
      <c r="AE268" s="14"/>
      <c r="AF268" s="14"/>
      <c r="AG268" s="14"/>
      <c r="AH268" s="14"/>
      <c r="AI268" s="14"/>
      <c r="AJ268" s="14"/>
      <c r="AK268" s="14"/>
      <c r="AL268" s="14"/>
      <c r="AS268" s="14"/>
      <c r="AT268" s="14"/>
      <c r="AU268" s="14"/>
      <c r="AV268" s="14"/>
      <c r="AW268" s="14"/>
      <c r="AX268" s="14"/>
      <c r="AY268" s="14"/>
      <c r="BA268" s="14"/>
      <c r="BE268" s="16"/>
      <c r="BH268" s="14"/>
      <c r="BI268" s="14"/>
      <c r="BJ268" s="14"/>
      <c r="BK268" s="14"/>
      <c r="BL268" s="14"/>
      <c r="BM268" s="14"/>
      <c r="BN268" s="14"/>
      <c r="BO268" s="14"/>
      <c r="BP268" s="14"/>
      <c r="BQ268" s="14"/>
      <c r="BX268" s="14"/>
      <c r="BY268" s="14"/>
      <c r="BZ268" s="14"/>
      <c r="CA268" s="14"/>
      <c r="CB268" s="14"/>
      <c r="CC268" s="14"/>
      <c r="CD268" s="14"/>
      <c r="CF268" s="14"/>
      <c r="CJ268" s="16"/>
      <c r="CM268" s="14"/>
      <c r="CN268" s="14"/>
      <c r="CO268" s="14"/>
      <c r="CP268" s="14"/>
      <c r="CQ268" s="14"/>
      <c r="CR268" s="14"/>
      <c r="CS268" s="14"/>
      <c r="CT268" s="14"/>
      <c r="CU268" s="14"/>
      <c r="CV268" s="14"/>
    </row>
    <row r="269" spans="1:100" x14ac:dyDescent="0.2">
      <c r="A269" s="14"/>
      <c r="B269" s="14"/>
      <c r="C269" s="14"/>
      <c r="D269" s="14"/>
      <c r="E269" s="14"/>
      <c r="F269" s="14"/>
      <c r="G269" s="14"/>
      <c r="H269" s="14"/>
      <c r="I269" s="14"/>
      <c r="J269" s="14"/>
      <c r="K269" s="14"/>
      <c r="L269" s="15"/>
      <c r="M269" s="14"/>
      <c r="N269" s="14"/>
      <c r="O269" s="14"/>
      <c r="P269" s="14"/>
      <c r="Q269" s="16"/>
      <c r="R269" s="14"/>
      <c r="Z269" s="16"/>
      <c r="AC269" s="14"/>
      <c r="AD269" s="14"/>
      <c r="AE269" s="14"/>
      <c r="AF269" s="14"/>
      <c r="AG269" s="14"/>
      <c r="AH269" s="14"/>
      <c r="AI269" s="14"/>
      <c r="AJ269" s="14"/>
      <c r="AK269" s="14"/>
      <c r="AL269" s="14"/>
      <c r="AS269" s="14"/>
      <c r="AT269" s="14"/>
      <c r="AU269" s="14"/>
      <c r="AV269" s="14"/>
      <c r="AW269" s="14"/>
      <c r="AX269" s="14"/>
      <c r="AY269" s="14"/>
      <c r="BA269" s="14"/>
      <c r="BE269" s="16"/>
      <c r="BH269" s="14"/>
      <c r="BI269" s="14"/>
      <c r="BJ269" s="14"/>
      <c r="BK269" s="14"/>
      <c r="BL269" s="14"/>
      <c r="BM269" s="14"/>
      <c r="BN269" s="14"/>
      <c r="BO269" s="14"/>
      <c r="BP269" s="14"/>
      <c r="BQ269" s="14"/>
      <c r="BX269" s="14"/>
      <c r="BY269" s="14"/>
      <c r="BZ269" s="14"/>
      <c r="CA269" s="14"/>
      <c r="CB269" s="14"/>
      <c r="CC269" s="14"/>
      <c r="CD269" s="14"/>
      <c r="CF269" s="14"/>
      <c r="CJ269" s="16"/>
      <c r="CM269" s="14"/>
      <c r="CN269" s="14"/>
      <c r="CO269" s="14"/>
      <c r="CP269" s="14"/>
      <c r="CQ269" s="14"/>
      <c r="CR269" s="14"/>
      <c r="CS269" s="14"/>
      <c r="CT269" s="14"/>
      <c r="CU269" s="14"/>
      <c r="CV269" s="14"/>
    </row>
    <row r="270" spans="1:100" x14ac:dyDescent="0.2">
      <c r="A270" s="14"/>
      <c r="B270" s="14"/>
      <c r="C270" s="14"/>
      <c r="D270" s="14"/>
      <c r="E270" s="14"/>
      <c r="F270" s="14"/>
      <c r="G270" s="14"/>
      <c r="H270" s="14"/>
      <c r="I270" s="14"/>
      <c r="J270" s="14"/>
      <c r="K270" s="14"/>
      <c r="L270" s="15"/>
      <c r="M270" s="14"/>
      <c r="N270" s="14"/>
      <c r="O270" s="14"/>
      <c r="P270" s="14"/>
      <c r="Q270" s="16"/>
      <c r="R270" s="14"/>
      <c r="Z270" s="16"/>
      <c r="AC270" s="14"/>
      <c r="AD270" s="14"/>
      <c r="AE270" s="14"/>
      <c r="AF270" s="14"/>
      <c r="AG270" s="14"/>
      <c r="AH270" s="14"/>
      <c r="AI270" s="14"/>
      <c r="AJ270" s="14"/>
      <c r="AK270" s="14"/>
      <c r="AL270" s="14"/>
      <c r="AS270" s="14"/>
      <c r="AT270" s="14"/>
      <c r="AU270" s="14"/>
      <c r="AV270" s="14"/>
      <c r="AW270" s="14"/>
      <c r="AX270" s="14"/>
      <c r="AY270" s="14"/>
      <c r="BA270" s="14"/>
      <c r="BE270" s="16"/>
      <c r="BH270" s="14"/>
      <c r="BI270" s="14"/>
      <c r="BJ270" s="14"/>
      <c r="BK270" s="14"/>
      <c r="BL270" s="14"/>
      <c r="BM270" s="14"/>
      <c r="BN270" s="14"/>
      <c r="BO270" s="14"/>
      <c r="BP270" s="14"/>
      <c r="BQ270" s="14"/>
      <c r="BX270" s="14"/>
      <c r="BY270" s="14"/>
      <c r="BZ270" s="14"/>
      <c r="CA270" s="14"/>
      <c r="CB270" s="14"/>
      <c r="CC270" s="14"/>
      <c r="CD270" s="14"/>
      <c r="CF270" s="14"/>
      <c r="CJ270" s="16"/>
      <c r="CM270" s="14"/>
      <c r="CN270" s="14"/>
      <c r="CO270" s="14"/>
      <c r="CP270" s="14"/>
      <c r="CQ270" s="14"/>
      <c r="CR270" s="14"/>
      <c r="CS270" s="14"/>
      <c r="CT270" s="14"/>
      <c r="CU270" s="14"/>
      <c r="CV270" s="14"/>
    </row>
    <row r="271" spans="1:100" x14ac:dyDescent="0.2">
      <c r="A271" s="14"/>
      <c r="B271" s="14"/>
      <c r="C271" s="14"/>
      <c r="D271" s="14"/>
      <c r="E271" s="14"/>
      <c r="F271" s="14"/>
      <c r="G271" s="14"/>
      <c r="H271" s="14"/>
      <c r="I271" s="14"/>
      <c r="J271" s="14"/>
      <c r="K271" s="14"/>
      <c r="L271" s="15"/>
      <c r="M271" s="14"/>
      <c r="N271" s="14"/>
      <c r="O271" s="14"/>
      <c r="P271" s="14"/>
      <c r="Q271" s="16"/>
      <c r="R271" s="14"/>
      <c r="Z271" s="16"/>
      <c r="AC271" s="14"/>
      <c r="AD271" s="14"/>
      <c r="AE271" s="14"/>
      <c r="AF271" s="14"/>
      <c r="AG271" s="14"/>
      <c r="AH271" s="14"/>
      <c r="AI271" s="14"/>
      <c r="AJ271" s="14"/>
      <c r="AK271" s="14"/>
      <c r="AL271" s="14"/>
      <c r="AS271" s="14"/>
      <c r="AT271" s="14"/>
      <c r="AU271" s="14"/>
      <c r="AV271" s="14"/>
      <c r="AW271" s="14"/>
      <c r="AX271" s="14"/>
      <c r="AY271" s="14"/>
      <c r="BA271" s="14"/>
      <c r="BE271" s="16"/>
      <c r="BH271" s="14"/>
      <c r="BI271" s="14"/>
      <c r="BJ271" s="14"/>
      <c r="BK271" s="14"/>
      <c r="BL271" s="14"/>
      <c r="BM271" s="14"/>
      <c r="BN271" s="14"/>
      <c r="BO271" s="14"/>
      <c r="BP271" s="14"/>
      <c r="BQ271" s="14"/>
      <c r="BX271" s="14"/>
      <c r="BY271" s="14"/>
      <c r="BZ271" s="14"/>
      <c r="CA271" s="14"/>
      <c r="CB271" s="14"/>
      <c r="CC271" s="14"/>
      <c r="CD271" s="14"/>
      <c r="CF271" s="14"/>
      <c r="CJ271" s="16"/>
      <c r="CM271" s="14"/>
      <c r="CN271" s="14"/>
      <c r="CO271" s="14"/>
      <c r="CP271" s="14"/>
      <c r="CQ271" s="14"/>
      <c r="CR271" s="14"/>
      <c r="CS271" s="14"/>
      <c r="CT271" s="14"/>
      <c r="CU271" s="14"/>
      <c r="CV271" s="14"/>
    </row>
    <row r="272" spans="1:100" x14ac:dyDescent="0.2">
      <c r="A272" s="14"/>
      <c r="B272" s="14"/>
      <c r="C272" s="14"/>
      <c r="D272" s="14"/>
      <c r="E272" s="14"/>
      <c r="F272" s="14"/>
      <c r="G272" s="14"/>
      <c r="H272" s="14"/>
      <c r="I272" s="14"/>
      <c r="J272" s="14"/>
      <c r="K272" s="14"/>
      <c r="L272" s="15"/>
      <c r="M272" s="14"/>
      <c r="N272" s="14"/>
      <c r="O272" s="14"/>
      <c r="P272" s="14"/>
      <c r="Q272" s="16"/>
      <c r="R272" s="14"/>
      <c r="Z272" s="16"/>
      <c r="AC272" s="14"/>
      <c r="AD272" s="14"/>
      <c r="AE272" s="14"/>
      <c r="AF272" s="14"/>
      <c r="AG272" s="14"/>
      <c r="AH272" s="14"/>
      <c r="AI272" s="14"/>
      <c r="AJ272" s="14"/>
      <c r="AK272" s="14"/>
      <c r="AL272" s="14"/>
      <c r="AS272" s="14"/>
      <c r="AT272" s="14"/>
      <c r="AU272" s="14"/>
      <c r="AV272" s="14"/>
      <c r="AW272" s="14"/>
      <c r="AX272" s="14"/>
      <c r="AY272" s="14"/>
      <c r="BA272" s="14"/>
      <c r="BE272" s="16"/>
      <c r="BH272" s="14"/>
      <c r="BI272" s="14"/>
      <c r="BJ272" s="14"/>
      <c r="BK272" s="14"/>
      <c r="BL272" s="14"/>
      <c r="BM272" s="14"/>
      <c r="BN272" s="14"/>
      <c r="BO272" s="14"/>
      <c r="BP272" s="14"/>
      <c r="BQ272" s="14"/>
      <c r="BX272" s="14"/>
      <c r="BY272" s="14"/>
      <c r="BZ272" s="14"/>
      <c r="CA272" s="14"/>
      <c r="CB272" s="14"/>
      <c r="CC272" s="14"/>
      <c r="CD272" s="14"/>
      <c r="CF272" s="14"/>
      <c r="CJ272" s="16"/>
      <c r="CM272" s="14"/>
      <c r="CN272" s="14"/>
      <c r="CO272" s="14"/>
      <c r="CP272" s="14"/>
      <c r="CQ272" s="14"/>
      <c r="CR272" s="14"/>
      <c r="CS272" s="14"/>
      <c r="CT272" s="14"/>
      <c r="CU272" s="14"/>
      <c r="CV272" s="14"/>
    </row>
    <row r="273" spans="1:100" x14ac:dyDescent="0.2">
      <c r="A273" s="14"/>
      <c r="B273" s="14"/>
      <c r="C273" s="14"/>
      <c r="D273" s="14"/>
      <c r="E273" s="14"/>
      <c r="F273" s="14"/>
      <c r="G273" s="14"/>
      <c r="H273" s="14"/>
      <c r="I273" s="14"/>
      <c r="J273" s="14"/>
      <c r="K273" s="14"/>
      <c r="L273" s="15"/>
      <c r="M273" s="14"/>
      <c r="N273" s="14"/>
      <c r="O273" s="14"/>
      <c r="P273" s="14"/>
      <c r="Q273" s="16"/>
      <c r="R273" s="14"/>
      <c r="Z273" s="16"/>
      <c r="AC273" s="14"/>
      <c r="AD273" s="14"/>
      <c r="AE273" s="14"/>
      <c r="AF273" s="14"/>
      <c r="AG273" s="14"/>
      <c r="AH273" s="14"/>
      <c r="AI273" s="14"/>
      <c r="AJ273" s="14"/>
      <c r="AK273" s="14"/>
      <c r="AL273" s="14"/>
      <c r="AS273" s="14"/>
      <c r="AT273" s="14"/>
      <c r="AU273" s="14"/>
      <c r="AV273" s="14"/>
      <c r="AW273" s="14"/>
      <c r="AX273" s="14"/>
      <c r="AY273" s="14"/>
      <c r="BA273" s="14"/>
      <c r="BE273" s="16"/>
      <c r="BH273" s="14"/>
      <c r="BI273" s="14"/>
      <c r="BJ273" s="14"/>
      <c r="BK273" s="14"/>
      <c r="BL273" s="14"/>
      <c r="BM273" s="14"/>
      <c r="BN273" s="14"/>
      <c r="BO273" s="14"/>
      <c r="BP273" s="14"/>
      <c r="BQ273" s="14"/>
      <c r="BX273" s="14"/>
      <c r="BY273" s="14"/>
      <c r="BZ273" s="14"/>
      <c r="CA273" s="14"/>
      <c r="CB273" s="14"/>
      <c r="CC273" s="14"/>
      <c r="CD273" s="14"/>
      <c r="CF273" s="14"/>
      <c r="CJ273" s="16"/>
      <c r="CM273" s="14"/>
      <c r="CN273" s="14"/>
      <c r="CO273" s="14"/>
      <c r="CP273" s="14"/>
      <c r="CQ273" s="14"/>
      <c r="CR273" s="14"/>
      <c r="CS273" s="14"/>
      <c r="CT273" s="14"/>
      <c r="CU273" s="14"/>
      <c r="CV273" s="14"/>
    </row>
    <row r="274" spans="1:100" x14ac:dyDescent="0.2">
      <c r="A274" s="14"/>
      <c r="B274" s="14"/>
      <c r="C274" s="14"/>
      <c r="D274" s="14"/>
      <c r="E274" s="14"/>
      <c r="F274" s="14"/>
      <c r="G274" s="14"/>
      <c r="H274" s="14"/>
      <c r="I274" s="14"/>
      <c r="J274" s="14"/>
      <c r="K274" s="14"/>
      <c r="L274" s="15"/>
      <c r="M274" s="14"/>
      <c r="N274" s="14"/>
      <c r="O274" s="14"/>
      <c r="P274" s="14"/>
      <c r="Q274" s="16"/>
      <c r="R274" s="14"/>
      <c r="Z274" s="16"/>
      <c r="AC274" s="14"/>
      <c r="AD274" s="14"/>
      <c r="AE274" s="14"/>
      <c r="AF274" s="14"/>
      <c r="AG274" s="14"/>
      <c r="AH274" s="14"/>
      <c r="AI274" s="14"/>
      <c r="AJ274" s="14"/>
      <c r="AK274" s="14"/>
      <c r="AL274" s="14"/>
      <c r="AS274" s="14"/>
      <c r="AT274" s="14"/>
      <c r="AU274" s="14"/>
      <c r="AV274" s="14"/>
      <c r="AW274" s="14"/>
      <c r="AX274" s="14"/>
      <c r="AY274" s="14"/>
      <c r="BA274" s="14"/>
      <c r="BE274" s="16"/>
      <c r="BH274" s="14"/>
      <c r="BI274" s="14"/>
      <c r="BJ274" s="14"/>
      <c r="BK274" s="14"/>
      <c r="BL274" s="14"/>
      <c r="BM274" s="14"/>
      <c r="BN274" s="14"/>
      <c r="BO274" s="14"/>
      <c r="BP274" s="14"/>
      <c r="BQ274" s="14"/>
      <c r="BX274" s="14"/>
      <c r="BY274" s="14"/>
      <c r="BZ274" s="14"/>
      <c r="CA274" s="14"/>
      <c r="CB274" s="14"/>
      <c r="CC274" s="14"/>
      <c r="CD274" s="14"/>
      <c r="CF274" s="14"/>
      <c r="CJ274" s="16"/>
      <c r="CM274" s="14"/>
      <c r="CN274" s="14"/>
      <c r="CO274" s="14"/>
      <c r="CP274" s="14"/>
      <c r="CQ274" s="14"/>
      <c r="CR274" s="14"/>
      <c r="CS274" s="14"/>
      <c r="CT274" s="14"/>
      <c r="CU274" s="14"/>
      <c r="CV274" s="14"/>
    </row>
    <row r="275" spans="1:100" x14ac:dyDescent="0.2">
      <c r="A275" s="14"/>
      <c r="B275" s="14"/>
      <c r="C275" s="14"/>
      <c r="D275" s="14"/>
      <c r="E275" s="14"/>
      <c r="F275" s="14"/>
      <c r="G275" s="14"/>
      <c r="H275" s="14"/>
      <c r="I275" s="14"/>
      <c r="J275" s="14"/>
      <c r="K275" s="14"/>
      <c r="L275" s="15"/>
      <c r="M275" s="14"/>
      <c r="N275" s="14"/>
      <c r="O275" s="14"/>
      <c r="P275" s="14"/>
      <c r="Q275" s="16"/>
      <c r="R275" s="14"/>
      <c r="Z275" s="16"/>
      <c r="AC275" s="14"/>
      <c r="AD275" s="14"/>
      <c r="AE275" s="14"/>
      <c r="AF275" s="14"/>
      <c r="AG275" s="14"/>
      <c r="AH275" s="14"/>
      <c r="AI275" s="14"/>
      <c r="AJ275" s="14"/>
      <c r="AK275" s="14"/>
      <c r="AL275" s="14"/>
      <c r="AS275" s="14"/>
      <c r="AT275" s="14"/>
      <c r="AU275" s="14"/>
      <c r="AV275" s="14"/>
      <c r="AW275" s="14"/>
      <c r="AX275" s="14"/>
      <c r="AY275" s="14"/>
      <c r="BA275" s="14"/>
      <c r="BE275" s="16"/>
      <c r="BH275" s="14"/>
      <c r="BI275" s="14"/>
      <c r="BJ275" s="14"/>
      <c r="BK275" s="14"/>
      <c r="BL275" s="14"/>
      <c r="BM275" s="14"/>
      <c r="BN275" s="14"/>
      <c r="BO275" s="14"/>
      <c r="BP275" s="14"/>
      <c r="BQ275" s="14"/>
      <c r="BX275" s="14"/>
      <c r="BY275" s="14"/>
      <c r="BZ275" s="14"/>
      <c r="CA275" s="14"/>
      <c r="CB275" s="14"/>
      <c r="CC275" s="14"/>
      <c r="CD275" s="14"/>
      <c r="CF275" s="14"/>
      <c r="CJ275" s="16"/>
      <c r="CM275" s="14"/>
      <c r="CN275" s="14"/>
      <c r="CO275" s="14"/>
      <c r="CP275" s="14"/>
      <c r="CQ275" s="14"/>
      <c r="CR275" s="14"/>
      <c r="CS275" s="14"/>
      <c r="CT275" s="14"/>
      <c r="CU275" s="14"/>
      <c r="CV275" s="14"/>
    </row>
    <row r="276" spans="1:100" x14ac:dyDescent="0.2">
      <c r="A276" s="14"/>
      <c r="B276" s="14"/>
      <c r="C276" s="14"/>
      <c r="D276" s="14"/>
      <c r="E276" s="14"/>
      <c r="F276" s="14"/>
      <c r="G276" s="14"/>
      <c r="H276" s="14"/>
      <c r="I276" s="14"/>
      <c r="J276" s="14"/>
      <c r="K276" s="14"/>
      <c r="L276" s="15"/>
      <c r="M276" s="14"/>
      <c r="N276" s="14"/>
      <c r="O276" s="14"/>
      <c r="P276" s="14"/>
      <c r="Q276" s="16"/>
      <c r="R276" s="14"/>
      <c r="Z276" s="16"/>
      <c r="AC276" s="14"/>
      <c r="AD276" s="14"/>
      <c r="AE276" s="14"/>
      <c r="AF276" s="14"/>
      <c r="AG276" s="14"/>
      <c r="AH276" s="14"/>
      <c r="AI276" s="14"/>
      <c r="AJ276" s="14"/>
      <c r="AK276" s="14"/>
      <c r="AL276" s="14"/>
      <c r="AS276" s="14"/>
      <c r="AT276" s="14"/>
      <c r="AU276" s="14"/>
      <c r="AV276" s="14"/>
      <c r="AW276" s="14"/>
      <c r="AX276" s="14"/>
      <c r="AY276" s="14"/>
      <c r="BA276" s="14"/>
      <c r="BE276" s="16"/>
      <c r="BH276" s="14"/>
      <c r="BI276" s="14"/>
      <c r="BJ276" s="14"/>
      <c r="BK276" s="14"/>
      <c r="BL276" s="14"/>
      <c r="BM276" s="14"/>
      <c r="BN276" s="14"/>
      <c r="BO276" s="14"/>
      <c r="BP276" s="14"/>
      <c r="BQ276" s="14"/>
      <c r="BX276" s="14"/>
      <c r="BY276" s="14"/>
      <c r="BZ276" s="14"/>
      <c r="CA276" s="14"/>
      <c r="CB276" s="14"/>
      <c r="CC276" s="14"/>
      <c r="CD276" s="14"/>
      <c r="CF276" s="14"/>
      <c r="CJ276" s="16"/>
      <c r="CM276" s="14"/>
      <c r="CN276" s="14"/>
      <c r="CO276" s="14"/>
      <c r="CP276" s="14"/>
      <c r="CQ276" s="14"/>
      <c r="CR276" s="14"/>
      <c r="CS276" s="14"/>
      <c r="CT276" s="14"/>
      <c r="CU276" s="14"/>
      <c r="CV276" s="14"/>
    </row>
    <row r="277" spans="1:100" x14ac:dyDescent="0.2">
      <c r="A277" s="14"/>
      <c r="B277" s="14"/>
      <c r="C277" s="14"/>
      <c r="D277" s="14"/>
      <c r="E277" s="14"/>
      <c r="F277" s="14"/>
      <c r="G277" s="14"/>
      <c r="H277" s="14"/>
      <c r="I277" s="14"/>
      <c r="J277" s="14"/>
      <c r="K277" s="14"/>
      <c r="L277" s="15"/>
      <c r="M277" s="14"/>
      <c r="N277" s="14"/>
      <c r="O277" s="14"/>
      <c r="P277" s="14"/>
      <c r="Q277" s="16"/>
      <c r="R277" s="14"/>
      <c r="Z277" s="16"/>
      <c r="AC277" s="14"/>
      <c r="AD277" s="14"/>
      <c r="AE277" s="14"/>
      <c r="AF277" s="14"/>
      <c r="AG277" s="14"/>
      <c r="AH277" s="14"/>
      <c r="AI277" s="14"/>
      <c r="AJ277" s="14"/>
      <c r="AK277" s="14"/>
      <c r="AL277" s="14"/>
      <c r="AS277" s="14"/>
      <c r="AT277" s="14"/>
      <c r="AU277" s="14"/>
      <c r="AV277" s="14"/>
      <c r="AW277" s="14"/>
      <c r="AX277" s="14"/>
      <c r="AY277" s="14"/>
      <c r="BA277" s="14"/>
      <c r="BE277" s="16"/>
      <c r="BH277" s="14"/>
      <c r="BI277" s="14"/>
      <c r="BJ277" s="14"/>
      <c r="BK277" s="14"/>
      <c r="BL277" s="14"/>
      <c r="BM277" s="14"/>
      <c r="BN277" s="14"/>
      <c r="BO277" s="14"/>
      <c r="BP277" s="14"/>
      <c r="BQ277" s="14"/>
      <c r="BX277" s="14"/>
      <c r="BY277" s="14"/>
      <c r="BZ277" s="14"/>
      <c r="CA277" s="14"/>
      <c r="CB277" s="14"/>
      <c r="CC277" s="14"/>
      <c r="CD277" s="14"/>
      <c r="CF277" s="14"/>
      <c r="CJ277" s="16"/>
      <c r="CM277" s="14"/>
      <c r="CN277" s="14"/>
      <c r="CO277" s="14"/>
      <c r="CP277" s="14"/>
      <c r="CQ277" s="14"/>
      <c r="CR277" s="14"/>
      <c r="CS277" s="14"/>
      <c r="CT277" s="14"/>
      <c r="CU277" s="14"/>
      <c r="CV277" s="14"/>
    </row>
    <row r="278" spans="1:100" x14ac:dyDescent="0.2">
      <c r="A278" s="14"/>
      <c r="B278" s="14"/>
      <c r="C278" s="14"/>
      <c r="D278" s="14"/>
      <c r="E278" s="14"/>
      <c r="F278" s="14"/>
      <c r="G278" s="14"/>
      <c r="H278" s="14"/>
      <c r="I278" s="14"/>
      <c r="J278" s="14"/>
      <c r="K278" s="14"/>
      <c r="L278" s="15"/>
      <c r="M278" s="14"/>
      <c r="N278" s="14"/>
      <c r="O278" s="14"/>
      <c r="P278" s="14"/>
      <c r="Q278" s="16"/>
      <c r="R278" s="14"/>
      <c r="Z278" s="16"/>
      <c r="AC278" s="14"/>
      <c r="AD278" s="14"/>
      <c r="AE278" s="14"/>
      <c r="AF278" s="14"/>
      <c r="AG278" s="14"/>
      <c r="AH278" s="14"/>
      <c r="AI278" s="14"/>
      <c r="AJ278" s="14"/>
      <c r="AK278" s="14"/>
      <c r="AL278" s="14"/>
      <c r="AS278" s="14"/>
      <c r="AT278" s="14"/>
      <c r="AU278" s="14"/>
      <c r="AV278" s="14"/>
      <c r="AW278" s="14"/>
      <c r="AX278" s="14"/>
      <c r="AY278" s="14"/>
      <c r="BA278" s="14"/>
      <c r="BE278" s="16"/>
      <c r="BH278" s="14"/>
      <c r="BI278" s="14"/>
      <c r="BJ278" s="14"/>
      <c r="BK278" s="14"/>
      <c r="BL278" s="14"/>
      <c r="BM278" s="14"/>
      <c r="BN278" s="14"/>
      <c r="BO278" s="14"/>
      <c r="BP278" s="14"/>
      <c r="BQ278" s="14"/>
      <c r="BX278" s="14"/>
      <c r="BY278" s="14"/>
      <c r="BZ278" s="14"/>
      <c r="CA278" s="14"/>
      <c r="CB278" s="14"/>
      <c r="CC278" s="14"/>
      <c r="CD278" s="14"/>
      <c r="CF278" s="14"/>
      <c r="CJ278" s="16"/>
      <c r="CM278" s="14"/>
      <c r="CN278" s="14"/>
      <c r="CO278" s="14"/>
      <c r="CP278" s="14"/>
      <c r="CQ278" s="14"/>
      <c r="CR278" s="14"/>
      <c r="CS278" s="14"/>
      <c r="CT278" s="14"/>
      <c r="CU278" s="14"/>
      <c r="CV278" s="14"/>
    </row>
    <row r="279" spans="1:100" x14ac:dyDescent="0.2">
      <c r="A279" s="14"/>
      <c r="B279" s="14"/>
      <c r="C279" s="14"/>
      <c r="D279" s="14"/>
      <c r="E279" s="14"/>
      <c r="F279" s="14"/>
      <c r="G279" s="14"/>
      <c r="H279" s="14"/>
      <c r="I279" s="14"/>
      <c r="J279" s="14"/>
      <c r="K279" s="14"/>
      <c r="L279" s="15"/>
      <c r="M279" s="14"/>
      <c r="N279" s="14"/>
      <c r="O279" s="14"/>
      <c r="P279" s="14"/>
      <c r="Q279" s="16"/>
      <c r="R279" s="14"/>
      <c r="Z279" s="16"/>
      <c r="AC279" s="14"/>
      <c r="AD279" s="14"/>
      <c r="AE279" s="14"/>
      <c r="AF279" s="14"/>
      <c r="AG279" s="14"/>
      <c r="AH279" s="14"/>
      <c r="AI279" s="14"/>
      <c r="AJ279" s="14"/>
      <c r="AK279" s="14"/>
      <c r="AL279" s="14"/>
      <c r="AS279" s="14"/>
      <c r="AT279" s="14"/>
      <c r="AU279" s="14"/>
      <c r="AV279" s="14"/>
      <c r="AW279" s="14"/>
      <c r="AX279" s="14"/>
      <c r="AY279" s="14"/>
      <c r="BA279" s="14"/>
      <c r="BE279" s="16"/>
      <c r="BH279" s="14"/>
      <c r="BI279" s="14"/>
      <c r="BJ279" s="14"/>
      <c r="BK279" s="14"/>
      <c r="BL279" s="14"/>
      <c r="BM279" s="14"/>
      <c r="BN279" s="14"/>
      <c r="BO279" s="14"/>
      <c r="BP279" s="14"/>
      <c r="BQ279" s="14"/>
      <c r="BX279" s="14"/>
      <c r="BY279" s="14"/>
      <c r="BZ279" s="14"/>
      <c r="CA279" s="14"/>
      <c r="CB279" s="14"/>
      <c r="CC279" s="14"/>
      <c r="CD279" s="14"/>
      <c r="CF279" s="14"/>
      <c r="CJ279" s="16"/>
      <c r="CM279" s="14"/>
      <c r="CN279" s="14"/>
      <c r="CO279" s="14"/>
      <c r="CP279" s="14"/>
      <c r="CQ279" s="14"/>
      <c r="CR279" s="14"/>
      <c r="CS279" s="14"/>
      <c r="CT279" s="14"/>
      <c r="CU279" s="14"/>
      <c r="CV279" s="14"/>
    </row>
    <row r="280" spans="1:100" x14ac:dyDescent="0.2">
      <c r="A280" s="14"/>
      <c r="B280" s="14"/>
      <c r="C280" s="14"/>
      <c r="D280" s="14"/>
      <c r="E280" s="14"/>
      <c r="F280" s="14"/>
      <c r="G280" s="14"/>
      <c r="H280" s="14"/>
      <c r="I280" s="14"/>
      <c r="J280" s="14"/>
      <c r="K280" s="14"/>
      <c r="L280" s="15"/>
      <c r="M280" s="14"/>
      <c r="N280" s="14"/>
      <c r="O280" s="14"/>
      <c r="P280" s="14"/>
      <c r="Q280" s="16"/>
      <c r="R280" s="14"/>
      <c r="Z280" s="16"/>
      <c r="AC280" s="14"/>
      <c r="AD280" s="14"/>
      <c r="AE280" s="14"/>
      <c r="AF280" s="14"/>
      <c r="AG280" s="14"/>
      <c r="AH280" s="14"/>
      <c r="AI280" s="14"/>
      <c r="AJ280" s="14"/>
      <c r="AK280" s="14"/>
      <c r="AL280" s="14"/>
      <c r="AS280" s="14"/>
      <c r="AT280" s="14"/>
      <c r="AU280" s="14"/>
      <c r="AV280" s="14"/>
      <c r="AW280" s="14"/>
      <c r="AX280" s="14"/>
      <c r="AY280" s="14"/>
      <c r="BA280" s="14"/>
      <c r="BE280" s="16"/>
      <c r="BH280" s="14"/>
      <c r="BI280" s="14"/>
      <c r="BJ280" s="14"/>
      <c r="BK280" s="14"/>
      <c r="BL280" s="14"/>
      <c r="BM280" s="14"/>
      <c r="BN280" s="14"/>
      <c r="BO280" s="14"/>
      <c r="BP280" s="14"/>
      <c r="BQ280" s="14"/>
      <c r="BX280" s="14"/>
      <c r="BY280" s="14"/>
      <c r="BZ280" s="14"/>
      <c r="CA280" s="14"/>
      <c r="CB280" s="14"/>
      <c r="CC280" s="14"/>
      <c r="CD280" s="14"/>
      <c r="CF280" s="14"/>
      <c r="CJ280" s="16"/>
      <c r="CM280" s="14"/>
      <c r="CN280" s="14"/>
      <c r="CO280" s="14"/>
      <c r="CP280" s="14"/>
      <c r="CQ280" s="14"/>
      <c r="CR280" s="14"/>
      <c r="CS280" s="14"/>
      <c r="CT280" s="14"/>
      <c r="CU280" s="14"/>
      <c r="CV280" s="14"/>
    </row>
    <row r="281" spans="1:100" x14ac:dyDescent="0.2">
      <c r="A281" s="14"/>
      <c r="B281" s="14"/>
      <c r="C281" s="14"/>
      <c r="D281" s="14"/>
      <c r="E281" s="14"/>
      <c r="F281" s="14"/>
      <c r="G281" s="14"/>
      <c r="H281" s="14"/>
      <c r="I281" s="14"/>
      <c r="J281" s="14"/>
      <c r="K281" s="14"/>
      <c r="L281" s="15"/>
      <c r="M281" s="14"/>
      <c r="N281" s="14"/>
      <c r="O281" s="14"/>
      <c r="P281" s="14"/>
      <c r="Q281" s="16"/>
      <c r="R281" s="14"/>
      <c r="Z281" s="16"/>
      <c r="AC281" s="14"/>
      <c r="AD281" s="14"/>
      <c r="AE281" s="14"/>
      <c r="AF281" s="14"/>
      <c r="AG281" s="14"/>
      <c r="AH281" s="14"/>
      <c r="AI281" s="14"/>
      <c r="AJ281" s="14"/>
      <c r="AK281" s="14"/>
      <c r="AL281" s="14"/>
      <c r="AS281" s="14"/>
      <c r="AT281" s="14"/>
      <c r="AU281" s="14"/>
      <c r="AV281" s="14"/>
      <c r="AW281" s="14"/>
      <c r="AX281" s="14"/>
      <c r="AY281" s="14"/>
      <c r="BA281" s="14"/>
      <c r="BE281" s="16"/>
      <c r="BH281" s="14"/>
      <c r="BI281" s="14"/>
      <c r="BJ281" s="14"/>
      <c r="BK281" s="14"/>
      <c r="BL281" s="14"/>
      <c r="BM281" s="14"/>
      <c r="BN281" s="14"/>
      <c r="BO281" s="14"/>
      <c r="BP281" s="14"/>
      <c r="BQ281" s="14"/>
      <c r="BX281" s="14"/>
      <c r="BY281" s="14"/>
      <c r="BZ281" s="14"/>
      <c r="CA281" s="14"/>
      <c r="CB281" s="14"/>
      <c r="CC281" s="14"/>
      <c r="CD281" s="14"/>
      <c r="CF281" s="14"/>
      <c r="CJ281" s="16"/>
      <c r="CM281" s="14"/>
      <c r="CN281" s="14"/>
      <c r="CO281" s="14"/>
      <c r="CP281" s="14"/>
      <c r="CQ281" s="14"/>
      <c r="CR281" s="14"/>
      <c r="CS281" s="14"/>
      <c r="CT281" s="14"/>
      <c r="CU281" s="14"/>
      <c r="CV281" s="14"/>
    </row>
    <row r="282" spans="1:100" x14ac:dyDescent="0.2">
      <c r="A282" s="14"/>
      <c r="B282" s="14"/>
      <c r="C282" s="14"/>
      <c r="D282" s="14"/>
      <c r="E282" s="14"/>
      <c r="F282" s="14"/>
      <c r="G282" s="14"/>
      <c r="H282" s="14"/>
      <c r="I282" s="14"/>
      <c r="J282" s="14"/>
      <c r="K282" s="14"/>
      <c r="L282" s="15"/>
      <c r="M282" s="14"/>
      <c r="N282" s="14"/>
      <c r="O282" s="14"/>
      <c r="P282" s="14"/>
      <c r="Q282" s="16"/>
      <c r="R282" s="14"/>
      <c r="Z282" s="16"/>
      <c r="AC282" s="14"/>
      <c r="AD282" s="14"/>
      <c r="AE282" s="14"/>
      <c r="AF282" s="14"/>
      <c r="AG282" s="14"/>
      <c r="AH282" s="14"/>
      <c r="AI282" s="14"/>
      <c r="AJ282" s="14"/>
      <c r="AK282" s="14"/>
      <c r="AL282" s="14"/>
      <c r="AS282" s="14"/>
      <c r="AT282" s="14"/>
      <c r="AU282" s="14"/>
      <c r="AV282" s="14"/>
      <c r="AW282" s="14"/>
      <c r="AX282" s="14"/>
      <c r="AY282" s="14"/>
      <c r="BA282" s="14"/>
      <c r="BE282" s="16"/>
      <c r="BH282" s="14"/>
      <c r="BI282" s="14"/>
      <c r="BJ282" s="14"/>
      <c r="BK282" s="14"/>
      <c r="BL282" s="14"/>
      <c r="BM282" s="14"/>
      <c r="BN282" s="14"/>
      <c r="BO282" s="14"/>
      <c r="BP282" s="14"/>
      <c r="BQ282" s="14"/>
      <c r="BX282" s="14"/>
      <c r="BY282" s="14"/>
      <c r="BZ282" s="14"/>
      <c r="CA282" s="14"/>
      <c r="CB282" s="14"/>
      <c r="CC282" s="14"/>
      <c r="CD282" s="14"/>
      <c r="CF282" s="14"/>
      <c r="CJ282" s="16"/>
      <c r="CM282" s="14"/>
      <c r="CN282" s="14"/>
      <c r="CO282" s="14"/>
      <c r="CP282" s="14"/>
      <c r="CQ282" s="14"/>
      <c r="CR282" s="14"/>
      <c r="CS282" s="14"/>
      <c r="CT282" s="14"/>
      <c r="CU282" s="14"/>
      <c r="CV282" s="14"/>
    </row>
    <row r="283" spans="1:100" x14ac:dyDescent="0.2">
      <c r="A283" s="14"/>
      <c r="B283" s="14"/>
      <c r="C283" s="14"/>
      <c r="D283" s="14"/>
      <c r="E283" s="14"/>
      <c r="F283" s="14"/>
      <c r="G283" s="14"/>
      <c r="H283" s="14"/>
      <c r="I283" s="14"/>
      <c r="J283" s="14"/>
      <c r="K283" s="14"/>
      <c r="L283" s="15"/>
      <c r="M283" s="14"/>
      <c r="N283" s="14"/>
      <c r="O283" s="14"/>
      <c r="P283" s="14"/>
      <c r="Q283" s="16"/>
      <c r="R283" s="14"/>
      <c r="Z283" s="16"/>
      <c r="AC283" s="14"/>
      <c r="AD283" s="14"/>
      <c r="AE283" s="14"/>
      <c r="AF283" s="14"/>
      <c r="AG283" s="14"/>
      <c r="AH283" s="14"/>
      <c r="AI283" s="14"/>
      <c r="AJ283" s="14"/>
      <c r="AK283" s="14"/>
      <c r="AL283" s="14"/>
      <c r="AS283" s="14"/>
      <c r="AT283" s="14"/>
      <c r="AU283" s="14"/>
      <c r="AV283" s="14"/>
      <c r="AW283" s="14"/>
      <c r="AX283" s="14"/>
      <c r="AY283" s="14"/>
      <c r="BA283" s="14"/>
      <c r="BE283" s="16"/>
      <c r="BH283" s="14"/>
      <c r="BI283" s="14"/>
      <c r="BJ283" s="14"/>
      <c r="BK283" s="14"/>
      <c r="BL283" s="14"/>
      <c r="BM283" s="14"/>
      <c r="BN283" s="14"/>
      <c r="BO283" s="14"/>
      <c r="BP283" s="14"/>
      <c r="BQ283" s="14"/>
      <c r="BX283" s="14"/>
      <c r="BY283" s="14"/>
      <c r="BZ283" s="14"/>
      <c r="CA283" s="14"/>
      <c r="CB283" s="14"/>
      <c r="CC283" s="14"/>
      <c r="CD283" s="14"/>
      <c r="CF283" s="14"/>
      <c r="CJ283" s="16"/>
      <c r="CM283" s="14"/>
      <c r="CN283" s="14"/>
      <c r="CO283" s="14"/>
      <c r="CP283" s="14"/>
      <c r="CQ283" s="14"/>
      <c r="CR283" s="14"/>
      <c r="CS283" s="14"/>
      <c r="CT283" s="14"/>
      <c r="CU283" s="14"/>
      <c r="CV283" s="14"/>
    </row>
    <row r="284" spans="1:100" x14ac:dyDescent="0.2">
      <c r="A284" s="14"/>
      <c r="B284" s="14"/>
      <c r="C284" s="14"/>
      <c r="D284" s="14"/>
      <c r="E284" s="14"/>
      <c r="F284" s="14"/>
      <c r="G284" s="14"/>
      <c r="H284" s="14"/>
      <c r="I284" s="14"/>
      <c r="J284" s="14"/>
      <c r="K284" s="14"/>
      <c r="L284" s="15"/>
      <c r="M284" s="14"/>
      <c r="N284" s="14"/>
      <c r="O284" s="14"/>
      <c r="P284" s="14"/>
      <c r="Q284" s="16"/>
      <c r="R284" s="14"/>
      <c r="Z284" s="16"/>
      <c r="AC284" s="14"/>
      <c r="AD284" s="14"/>
      <c r="AE284" s="14"/>
      <c r="AF284" s="14"/>
      <c r="AG284" s="14"/>
      <c r="AH284" s="14"/>
      <c r="AI284" s="14"/>
      <c r="AJ284" s="14"/>
      <c r="AK284" s="14"/>
      <c r="AL284" s="14"/>
      <c r="AS284" s="14"/>
      <c r="AT284" s="14"/>
      <c r="AU284" s="14"/>
      <c r="AV284" s="14"/>
      <c r="AW284" s="14"/>
      <c r="AX284" s="14"/>
      <c r="AY284" s="14"/>
      <c r="BA284" s="14"/>
      <c r="BE284" s="16"/>
      <c r="BH284" s="14"/>
      <c r="BI284" s="14"/>
      <c r="BJ284" s="14"/>
      <c r="BK284" s="14"/>
      <c r="BL284" s="14"/>
      <c r="BM284" s="14"/>
      <c r="BN284" s="14"/>
      <c r="BO284" s="14"/>
      <c r="BP284" s="14"/>
      <c r="BQ284" s="14"/>
      <c r="BX284" s="14"/>
      <c r="BY284" s="14"/>
      <c r="BZ284" s="14"/>
      <c r="CA284" s="14"/>
      <c r="CB284" s="14"/>
      <c r="CC284" s="14"/>
      <c r="CD284" s="14"/>
      <c r="CF284" s="14"/>
      <c r="CJ284" s="16"/>
      <c r="CM284" s="14"/>
      <c r="CN284" s="14"/>
      <c r="CO284" s="14"/>
      <c r="CP284" s="14"/>
      <c r="CQ284" s="14"/>
      <c r="CR284" s="14"/>
      <c r="CS284" s="14"/>
      <c r="CT284" s="14"/>
      <c r="CU284" s="14"/>
      <c r="CV284" s="14"/>
    </row>
    <row r="285" spans="1:100" x14ac:dyDescent="0.2">
      <c r="A285" s="14"/>
      <c r="B285" s="14"/>
      <c r="C285" s="14"/>
      <c r="D285" s="14"/>
      <c r="E285" s="14"/>
      <c r="F285" s="14"/>
      <c r="G285" s="14"/>
      <c r="H285" s="14"/>
      <c r="I285" s="14"/>
      <c r="J285" s="14"/>
      <c r="K285" s="14"/>
      <c r="L285" s="15"/>
      <c r="M285" s="14"/>
      <c r="N285" s="14"/>
      <c r="O285" s="14"/>
      <c r="P285" s="14"/>
      <c r="Q285" s="16"/>
      <c r="R285" s="14"/>
      <c r="Z285" s="16"/>
      <c r="AC285" s="14"/>
      <c r="AD285" s="14"/>
      <c r="AE285" s="14"/>
      <c r="AF285" s="14"/>
      <c r="AG285" s="14"/>
      <c r="AH285" s="14"/>
      <c r="AI285" s="14"/>
      <c r="AJ285" s="14"/>
      <c r="AK285" s="14"/>
      <c r="AL285" s="14"/>
      <c r="AS285" s="14"/>
      <c r="AT285" s="14"/>
      <c r="AU285" s="14"/>
      <c r="AV285" s="14"/>
      <c r="AW285" s="14"/>
      <c r="AX285" s="14"/>
      <c r="AY285" s="14"/>
      <c r="BA285" s="14"/>
      <c r="BE285" s="16"/>
      <c r="BH285" s="14"/>
      <c r="BI285" s="14"/>
      <c r="BJ285" s="14"/>
      <c r="BK285" s="14"/>
      <c r="BL285" s="14"/>
      <c r="BM285" s="14"/>
      <c r="BN285" s="14"/>
      <c r="BO285" s="14"/>
      <c r="BP285" s="14"/>
      <c r="BQ285" s="14"/>
      <c r="BX285" s="14"/>
      <c r="BY285" s="14"/>
      <c r="BZ285" s="14"/>
      <c r="CA285" s="14"/>
      <c r="CB285" s="14"/>
      <c r="CC285" s="14"/>
      <c r="CD285" s="14"/>
      <c r="CF285" s="14"/>
      <c r="CJ285" s="16"/>
      <c r="CM285" s="14"/>
      <c r="CN285" s="14"/>
      <c r="CO285" s="14"/>
      <c r="CP285" s="14"/>
      <c r="CQ285" s="14"/>
      <c r="CR285" s="14"/>
      <c r="CS285" s="14"/>
      <c r="CT285" s="14"/>
      <c r="CU285" s="14"/>
      <c r="CV285" s="14"/>
    </row>
    <row r="286" spans="1:100" x14ac:dyDescent="0.2">
      <c r="A286" s="14"/>
      <c r="B286" s="14"/>
      <c r="C286" s="14"/>
      <c r="D286" s="14"/>
      <c r="E286" s="14"/>
      <c r="F286" s="14"/>
      <c r="G286" s="14"/>
      <c r="H286" s="14"/>
      <c r="I286" s="14"/>
      <c r="J286" s="14"/>
      <c r="K286" s="14"/>
      <c r="L286" s="15"/>
      <c r="M286" s="14"/>
      <c r="N286" s="14"/>
      <c r="O286" s="14"/>
      <c r="P286" s="14"/>
      <c r="Q286" s="16"/>
      <c r="R286" s="14"/>
      <c r="Z286" s="16"/>
      <c r="AC286" s="14"/>
      <c r="AD286" s="14"/>
      <c r="AE286" s="14"/>
      <c r="AF286" s="14"/>
      <c r="AG286" s="14"/>
      <c r="AH286" s="14"/>
      <c r="AI286" s="14"/>
      <c r="AJ286" s="14"/>
      <c r="AK286" s="14"/>
      <c r="AL286" s="14"/>
      <c r="AS286" s="14"/>
      <c r="AT286" s="14"/>
      <c r="AU286" s="14"/>
      <c r="AV286" s="14"/>
      <c r="AW286" s="14"/>
      <c r="AX286" s="14"/>
      <c r="AY286" s="14"/>
      <c r="BA286" s="14"/>
      <c r="BE286" s="16"/>
      <c r="BH286" s="14"/>
      <c r="BI286" s="14"/>
      <c r="BJ286" s="14"/>
      <c r="BK286" s="14"/>
      <c r="BL286" s="14"/>
      <c r="BM286" s="14"/>
      <c r="BN286" s="14"/>
      <c r="BO286" s="14"/>
      <c r="BP286" s="14"/>
      <c r="BQ286" s="14"/>
      <c r="BX286" s="14"/>
      <c r="BY286" s="14"/>
      <c r="BZ286" s="14"/>
      <c r="CA286" s="14"/>
      <c r="CB286" s="14"/>
      <c r="CC286" s="14"/>
      <c r="CD286" s="14"/>
      <c r="CF286" s="14"/>
      <c r="CJ286" s="16"/>
      <c r="CM286" s="14"/>
      <c r="CN286" s="14"/>
      <c r="CO286" s="14"/>
      <c r="CP286" s="14"/>
      <c r="CQ286" s="14"/>
      <c r="CR286" s="14"/>
      <c r="CS286" s="14"/>
      <c r="CT286" s="14"/>
      <c r="CU286" s="14"/>
      <c r="CV286" s="14"/>
    </row>
    <row r="287" spans="1:100" x14ac:dyDescent="0.2">
      <c r="A287" s="14"/>
      <c r="B287" s="14"/>
      <c r="C287" s="14"/>
      <c r="D287" s="14"/>
      <c r="E287" s="14"/>
      <c r="F287" s="14"/>
      <c r="G287" s="14"/>
      <c r="H287" s="14"/>
      <c r="I287" s="14"/>
      <c r="J287" s="14"/>
      <c r="K287" s="14"/>
      <c r="L287" s="15"/>
      <c r="M287" s="14"/>
      <c r="N287" s="14"/>
      <c r="O287" s="14"/>
      <c r="P287" s="14"/>
      <c r="Q287" s="16"/>
      <c r="R287" s="14"/>
      <c r="Z287" s="16"/>
      <c r="AC287" s="14"/>
      <c r="AD287" s="14"/>
      <c r="AE287" s="14"/>
      <c r="AF287" s="14"/>
      <c r="AG287" s="14"/>
      <c r="AH287" s="14"/>
      <c r="AI287" s="14"/>
      <c r="AJ287" s="14"/>
      <c r="AK287" s="14"/>
      <c r="AL287" s="14"/>
      <c r="AS287" s="14"/>
      <c r="AT287" s="14"/>
      <c r="AU287" s="14"/>
      <c r="AV287" s="14"/>
      <c r="AW287" s="14"/>
      <c r="AX287" s="14"/>
      <c r="AY287" s="14"/>
      <c r="BA287" s="14"/>
      <c r="BE287" s="16"/>
      <c r="BH287" s="14"/>
      <c r="BI287" s="14"/>
      <c r="BJ287" s="14"/>
      <c r="BK287" s="14"/>
      <c r="BL287" s="14"/>
      <c r="BM287" s="14"/>
      <c r="BN287" s="14"/>
      <c r="BO287" s="14"/>
      <c r="BP287" s="14"/>
      <c r="BQ287" s="14"/>
      <c r="BX287" s="14"/>
      <c r="BY287" s="14"/>
      <c r="BZ287" s="14"/>
      <c r="CA287" s="14"/>
      <c r="CB287" s="14"/>
      <c r="CC287" s="14"/>
      <c r="CD287" s="14"/>
      <c r="CF287" s="14"/>
      <c r="CJ287" s="16"/>
      <c r="CM287" s="14"/>
      <c r="CN287" s="14"/>
      <c r="CO287" s="14"/>
      <c r="CP287" s="14"/>
      <c r="CQ287" s="14"/>
      <c r="CR287" s="14"/>
      <c r="CS287" s="14"/>
      <c r="CT287" s="14"/>
      <c r="CU287" s="14"/>
      <c r="CV287" s="14"/>
    </row>
    <row r="288" spans="1:100" x14ac:dyDescent="0.2">
      <c r="A288" s="14"/>
      <c r="B288" s="14"/>
      <c r="C288" s="14"/>
      <c r="D288" s="14"/>
      <c r="E288" s="14"/>
      <c r="F288" s="14"/>
      <c r="G288" s="14"/>
      <c r="H288" s="14"/>
      <c r="I288" s="14"/>
      <c r="J288" s="14"/>
      <c r="K288" s="14"/>
      <c r="L288" s="15"/>
      <c r="M288" s="14"/>
      <c r="N288" s="14"/>
      <c r="O288" s="14"/>
      <c r="P288" s="14"/>
      <c r="Q288" s="16"/>
      <c r="R288" s="14"/>
      <c r="Z288" s="16"/>
      <c r="AC288" s="14"/>
      <c r="AD288" s="14"/>
      <c r="AE288" s="14"/>
      <c r="AF288" s="14"/>
      <c r="AG288" s="14"/>
      <c r="AH288" s="14"/>
      <c r="AI288" s="14"/>
      <c r="AJ288" s="14"/>
      <c r="AK288" s="14"/>
      <c r="AL288" s="14"/>
      <c r="AS288" s="14"/>
      <c r="AT288" s="14"/>
      <c r="AU288" s="14"/>
      <c r="AV288" s="14"/>
      <c r="AW288" s="14"/>
      <c r="AX288" s="14"/>
      <c r="AY288" s="14"/>
      <c r="BA288" s="14"/>
      <c r="BE288" s="16"/>
      <c r="BH288" s="14"/>
      <c r="BI288" s="14"/>
      <c r="BJ288" s="14"/>
      <c r="BK288" s="14"/>
      <c r="BL288" s="14"/>
      <c r="BM288" s="14"/>
      <c r="BN288" s="14"/>
      <c r="BO288" s="14"/>
      <c r="BP288" s="14"/>
      <c r="BQ288" s="14"/>
      <c r="BX288" s="14"/>
      <c r="BY288" s="14"/>
      <c r="BZ288" s="14"/>
      <c r="CA288" s="14"/>
      <c r="CB288" s="14"/>
      <c r="CC288" s="14"/>
      <c r="CD288" s="14"/>
      <c r="CF288" s="14"/>
      <c r="CJ288" s="16"/>
      <c r="CM288" s="14"/>
      <c r="CN288" s="14"/>
      <c r="CO288" s="14"/>
      <c r="CP288" s="14"/>
      <c r="CQ288" s="14"/>
      <c r="CR288" s="14"/>
      <c r="CS288" s="14"/>
      <c r="CT288" s="14"/>
      <c r="CU288" s="14"/>
      <c r="CV288" s="14"/>
    </row>
    <row r="289" spans="1:100" x14ac:dyDescent="0.2">
      <c r="A289" s="14"/>
      <c r="B289" s="14"/>
      <c r="C289" s="14"/>
      <c r="D289" s="14"/>
      <c r="E289" s="14"/>
      <c r="F289" s="14"/>
      <c r="G289" s="14"/>
      <c r="H289" s="14"/>
      <c r="I289" s="14"/>
      <c r="J289" s="14"/>
      <c r="K289" s="14"/>
      <c r="L289" s="15"/>
      <c r="M289" s="14"/>
      <c r="N289" s="14"/>
      <c r="O289" s="14"/>
      <c r="P289" s="14"/>
      <c r="Q289" s="16"/>
      <c r="R289" s="14"/>
      <c r="Z289" s="16"/>
      <c r="AC289" s="14"/>
      <c r="AD289" s="14"/>
      <c r="AE289" s="14"/>
      <c r="AF289" s="14"/>
      <c r="AG289" s="14"/>
      <c r="AH289" s="14"/>
      <c r="AI289" s="14"/>
      <c r="AJ289" s="14"/>
      <c r="AK289" s="14"/>
      <c r="AL289" s="14"/>
      <c r="AS289" s="14"/>
      <c r="AT289" s="14"/>
      <c r="AU289" s="14"/>
      <c r="AV289" s="14"/>
      <c r="AW289" s="14"/>
      <c r="AX289" s="14"/>
      <c r="AY289" s="14"/>
      <c r="BA289" s="14"/>
      <c r="BE289" s="16"/>
      <c r="BH289" s="14"/>
      <c r="BI289" s="14"/>
      <c r="BJ289" s="14"/>
      <c r="BK289" s="14"/>
      <c r="BL289" s="14"/>
      <c r="BM289" s="14"/>
      <c r="BN289" s="14"/>
      <c r="BO289" s="14"/>
      <c r="BP289" s="14"/>
      <c r="BQ289" s="14"/>
      <c r="BX289" s="14"/>
      <c r="BY289" s="14"/>
      <c r="BZ289" s="14"/>
      <c r="CA289" s="14"/>
      <c r="CB289" s="14"/>
      <c r="CC289" s="14"/>
      <c r="CD289" s="14"/>
      <c r="CF289" s="14"/>
      <c r="CJ289" s="16"/>
      <c r="CM289" s="14"/>
      <c r="CN289" s="14"/>
      <c r="CO289" s="14"/>
      <c r="CP289" s="14"/>
      <c r="CQ289" s="14"/>
      <c r="CR289" s="14"/>
      <c r="CS289" s="14"/>
      <c r="CT289" s="14"/>
      <c r="CU289" s="14"/>
      <c r="CV289" s="14"/>
    </row>
    <row r="290" spans="1:100" x14ac:dyDescent="0.2">
      <c r="A290" s="14"/>
      <c r="B290" s="14"/>
      <c r="C290" s="14"/>
      <c r="D290" s="14"/>
      <c r="E290" s="14"/>
      <c r="F290" s="14"/>
      <c r="G290" s="14"/>
      <c r="H290" s="14"/>
      <c r="I290" s="14"/>
      <c r="J290" s="14"/>
      <c r="K290" s="14"/>
      <c r="L290" s="15"/>
      <c r="M290" s="14"/>
      <c r="N290" s="14"/>
      <c r="O290" s="14"/>
      <c r="P290" s="14"/>
      <c r="Q290" s="16"/>
      <c r="R290" s="14"/>
      <c r="Z290" s="16"/>
      <c r="AC290" s="14"/>
      <c r="AD290" s="14"/>
      <c r="AE290" s="14"/>
      <c r="AF290" s="14"/>
      <c r="AG290" s="14"/>
      <c r="AH290" s="14"/>
      <c r="AI290" s="14"/>
      <c r="AJ290" s="14"/>
      <c r="AK290" s="14"/>
      <c r="AL290" s="14"/>
      <c r="AS290" s="14"/>
      <c r="AT290" s="14"/>
      <c r="AU290" s="14"/>
      <c r="AV290" s="14"/>
      <c r="AW290" s="14"/>
      <c r="AX290" s="14"/>
      <c r="AY290" s="14"/>
      <c r="BA290" s="14"/>
      <c r="BE290" s="16"/>
      <c r="BH290" s="14"/>
      <c r="BI290" s="14"/>
      <c r="BJ290" s="14"/>
      <c r="BK290" s="14"/>
      <c r="BL290" s="14"/>
      <c r="BM290" s="14"/>
      <c r="BN290" s="14"/>
      <c r="BO290" s="14"/>
      <c r="BP290" s="14"/>
      <c r="BQ290" s="14"/>
      <c r="BX290" s="14"/>
      <c r="BY290" s="14"/>
      <c r="BZ290" s="14"/>
      <c r="CA290" s="14"/>
      <c r="CB290" s="14"/>
      <c r="CC290" s="14"/>
      <c r="CD290" s="14"/>
      <c r="CF290" s="14"/>
      <c r="CJ290" s="16"/>
      <c r="CM290" s="14"/>
      <c r="CN290" s="14"/>
      <c r="CO290" s="14"/>
      <c r="CP290" s="14"/>
      <c r="CQ290" s="14"/>
      <c r="CR290" s="14"/>
      <c r="CS290" s="14"/>
      <c r="CT290" s="14"/>
      <c r="CU290" s="14"/>
      <c r="CV290" s="14"/>
    </row>
    <row r="291" spans="1:100" x14ac:dyDescent="0.2">
      <c r="A291" s="14"/>
      <c r="B291" s="14"/>
      <c r="C291" s="14"/>
      <c r="D291" s="14"/>
      <c r="E291" s="14"/>
      <c r="F291" s="14"/>
      <c r="G291" s="14"/>
      <c r="H291" s="14"/>
      <c r="I291" s="14"/>
      <c r="J291" s="14"/>
      <c r="K291" s="14"/>
      <c r="L291" s="15"/>
      <c r="M291" s="14"/>
      <c r="N291" s="14"/>
      <c r="O291" s="14"/>
      <c r="P291" s="14"/>
      <c r="Q291" s="16"/>
      <c r="R291" s="14"/>
      <c r="Z291" s="16"/>
      <c r="AC291" s="14"/>
      <c r="AD291" s="14"/>
      <c r="AE291" s="14"/>
      <c r="AF291" s="14"/>
      <c r="AG291" s="14"/>
      <c r="AH291" s="14"/>
      <c r="AI291" s="14"/>
      <c r="AJ291" s="14"/>
      <c r="AK291" s="14"/>
      <c r="AL291" s="14"/>
      <c r="AS291" s="14"/>
      <c r="AT291" s="14"/>
      <c r="AU291" s="14"/>
      <c r="AV291" s="14"/>
      <c r="AW291" s="14"/>
      <c r="AX291" s="14"/>
      <c r="AY291" s="14"/>
      <c r="BA291" s="14"/>
      <c r="BE291" s="16"/>
      <c r="BH291" s="14"/>
      <c r="BI291" s="14"/>
      <c r="BJ291" s="14"/>
      <c r="BK291" s="14"/>
      <c r="BL291" s="14"/>
      <c r="BM291" s="14"/>
      <c r="BN291" s="14"/>
      <c r="BO291" s="14"/>
      <c r="BP291" s="14"/>
      <c r="BQ291" s="14"/>
      <c r="BX291" s="14"/>
      <c r="BY291" s="14"/>
      <c r="BZ291" s="14"/>
      <c r="CA291" s="14"/>
      <c r="CB291" s="14"/>
      <c r="CC291" s="14"/>
      <c r="CD291" s="14"/>
      <c r="CF291" s="14"/>
      <c r="CJ291" s="16"/>
      <c r="CM291" s="14"/>
      <c r="CN291" s="14"/>
      <c r="CO291" s="14"/>
      <c r="CP291" s="14"/>
      <c r="CQ291" s="14"/>
      <c r="CR291" s="14"/>
      <c r="CS291" s="14"/>
      <c r="CT291" s="14"/>
      <c r="CU291" s="14"/>
      <c r="CV291" s="14"/>
    </row>
    <row r="292" spans="1:100" x14ac:dyDescent="0.2">
      <c r="A292" s="14"/>
      <c r="B292" s="14"/>
      <c r="C292" s="14"/>
      <c r="D292" s="14"/>
      <c r="E292" s="14"/>
      <c r="F292" s="14"/>
      <c r="G292" s="14"/>
      <c r="H292" s="14"/>
      <c r="I292" s="14"/>
      <c r="J292" s="14"/>
      <c r="K292" s="14"/>
      <c r="L292" s="15"/>
      <c r="M292" s="14"/>
      <c r="N292" s="14"/>
      <c r="O292" s="14"/>
      <c r="P292" s="14"/>
      <c r="Q292" s="16"/>
      <c r="R292" s="14"/>
      <c r="Z292" s="16"/>
      <c r="AC292" s="14"/>
      <c r="AD292" s="14"/>
      <c r="AE292" s="14"/>
      <c r="AF292" s="14"/>
      <c r="AG292" s="14"/>
      <c r="AH292" s="14"/>
      <c r="AI292" s="14"/>
      <c r="AJ292" s="14"/>
      <c r="AK292" s="14"/>
      <c r="AL292" s="14"/>
      <c r="AS292" s="14"/>
      <c r="AT292" s="14"/>
      <c r="AU292" s="14"/>
      <c r="AV292" s="14"/>
      <c r="AW292" s="14"/>
      <c r="AX292" s="14"/>
      <c r="AY292" s="14"/>
      <c r="BA292" s="14"/>
      <c r="BE292" s="16"/>
      <c r="BH292" s="14"/>
      <c r="BI292" s="14"/>
      <c r="BJ292" s="14"/>
      <c r="BK292" s="14"/>
      <c r="BL292" s="14"/>
      <c r="BM292" s="14"/>
      <c r="BN292" s="14"/>
      <c r="BO292" s="14"/>
      <c r="BP292" s="14"/>
      <c r="BQ292" s="14"/>
      <c r="BX292" s="14"/>
      <c r="BY292" s="14"/>
      <c r="BZ292" s="14"/>
      <c r="CA292" s="14"/>
      <c r="CB292" s="14"/>
      <c r="CC292" s="14"/>
      <c r="CD292" s="14"/>
      <c r="CF292" s="14"/>
      <c r="CJ292" s="16"/>
      <c r="CM292" s="14"/>
      <c r="CN292" s="14"/>
      <c r="CO292" s="14"/>
      <c r="CP292" s="14"/>
      <c r="CQ292" s="14"/>
      <c r="CR292" s="14"/>
      <c r="CS292" s="14"/>
      <c r="CT292" s="14"/>
      <c r="CU292" s="14"/>
      <c r="CV292" s="14"/>
    </row>
    <row r="293" spans="1:100" x14ac:dyDescent="0.2">
      <c r="A293" s="14"/>
      <c r="B293" s="14"/>
      <c r="C293" s="14"/>
      <c r="D293" s="14"/>
      <c r="E293" s="14"/>
      <c r="F293" s="14"/>
      <c r="G293" s="14"/>
      <c r="H293" s="14"/>
      <c r="I293" s="14"/>
      <c r="J293" s="14"/>
      <c r="K293" s="14"/>
      <c r="L293" s="15"/>
      <c r="M293" s="14"/>
      <c r="N293" s="14"/>
      <c r="O293" s="14"/>
      <c r="P293" s="14"/>
      <c r="Q293" s="16"/>
      <c r="R293" s="14"/>
      <c r="Z293" s="16"/>
      <c r="AC293" s="14"/>
      <c r="AD293" s="14"/>
      <c r="AE293" s="14"/>
      <c r="AF293" s="14"/>
      <c r="AG293" s="14"/>
      <c r="AH293" s="14"/>
      <c r="AI293" s="14"/>
      <c r="AJ293" s="14"/>
      <c r="AK293" s="14"/>
      <c r="AL293" s="14"/>
      <c r="AS293" s="14"/>
      <c r="AT293" s="14"/>
      <c r="AU293" s="14"/>
      <c r="AV293" s="14"/>
      <c r="AW293" s="14"/>
      <c r="AX293" s="14"/>
      <c r="AY293" s="14"/>
      <c r="BA293" s="14"/>
      <c r="BE293" s="16"/>
      <c r="BH293" s="14"/>
      <c r="BI293" s="14"/>
      <c r="BJ293" s="14"/>
      <c r="BK293" s="14"/>
      <c r="BL293" s="14"/>
      <c r="BM293" s="14"/>
      <c r="BN293" s="14"/>
      <c r="BO293" s="14"/>
      <c r="BP293" s="14"/>
      <c r="BQ293" s="14"/>
      <c r="BX293" s="14"/>
      <c r="BY293" s="14"/>
      <c r="BZ293" s="14"/>
      <c r="CA293" s="14"/>
      <c r="CB293" s="14"/>
      <c r="CC293" s="14"/>
      <c r="CD293" s="14"/>
      <c r="CF293" s="14"/>
      <c r="CJ293" s="16"/>
      <c r="CM293" s="14"/>
      <c r="CN293" s="14"/>
      <c r="CO293" s="14"/>
      <c r="CP293" s="14"/>
      <c r="CQ293" s="14"/>
      <c r="CR293" s="14"/>
      <c r="CS293" s="14"/>
      <c r="CT293" s="14"/>
      <c r="CU293" s="14"/>
      <c r="CV293" s="14"/>
    </row>
    <row r="294" spans="1:100" x14ac:dyDescent="0.2">
      <c r="A294" s="14"/>
      <c r="B294" s="14"/>
      <c r="C294" s="14"/>
      <c r="D294" s="14"/>
      <c r="E294" s="14"/>
      <c r="F294" s="14"/>
      <c r="G294" s="14"/>
      <c r="H294" s="14"/>
      <c r="I294" s="14"/>
      <c r="J294" s="14"/>
      <c r="K294" s="14"/>
      <c r="L294" s="15"/>
      <c r="M294" s="14"/>
      <c r="N294" s="14"/>
      <c r="O294" s="14"/>
      <c r="P294" s="14"/>
      <c r="Q294" s="16"/>
      <c r="R294" s="14"/>
      <c r="Z294" s="16"/>
      <c r="AC294" s="14"/>
      <c r="AD294" s="14"/>
      <c r="AE294" s="14"/>
      <c r="AF294" s="14"/>
      <c r="AG294" s="14"/>
      <c r="AH294" s="14"/>
      <c r="AI294" s="14"/>
      <c r="AJ294" s="14"/>
      <c r="AK294" s="14"/>
      <c r="AL294" s="14"/>
      <c r="AS294" s="14"/>
      <c r="AT294" s="14"/>
      <c r="AU294" s="14"/>
      <c r="AV294" s="14"/>
      <c r="AW294" s="14"/>
      <c r="AX294" s="14"/>
      <c r="AY294" s="14"/>
      <c r="BA294" s="14"/>
      <c r="BE294" s="16"/>
      <c r="BH294" s="14"/>
      <c r="BI294" s="14"/>
      <c r="BJ294" s="14"/>
      <c r="BK294" s="14"/>
      <c r="BL294" s="14"/>
      <c r="BM294" s="14"/>
      <c r="BN294" s="14"/>
      <c r="BO294" s="14"/>
      <c r="BP294" s="14"/>
      <c r="BQ294" s="14"/>
      <c r="BX294" s="14"/>
      <c r="BY294" s="14"/>
      <c r="BZ294" s="14"/>
      <c r="CA294" s="14"/>
      <c r="CB294" s="14"/>
      <c r="CC294" s="14"/>
      <c r="CD294" s="14"/>
      <c r="CF294" s="14"/>
      <c r="CJ294" s="16"/>
      <c r="CM294" s="14"/>
      <c r="CN294" s="14"/>
      <c r="CO294" s="14"/>
      <c r="CP294" s="14"/>
      <c r="CQ294" s="14"/>
      <c r="CR294" s="14"/>
      <c r="CS294" s="14"/>
      <c r="CT294" s="14"/>
      <c r="CU294" s="14"/>
      <c r="CV294" s="14"/>
    </row>
    <row r="295" spans="1:100" x14ac:dyDescent="0.2">
      <c r="A295" s="14"/>
      <c r="B295" s="14"/>
      <c r="C295" s="14"/>
      <c r="D295" s="14"/>
      <c r="E295" s="14"/>
      <c r="F295" s="14"/>
      <c r="G295" s="14"/>
      <c r="H295" s="14"/>
      <c r="I295" s="14"/>
      <c r="J295" s="14"/>
      <c r="K295" s="14"/>
      <c r="L295" s="15"/>
      <c r="M295" s="14"/>
      <c r="N295" s="14"/>
      <c r="O295" s="14"/>
      <c r="P295" s="14"/>
      <c r="Q295" s="16"/>
      <c r="R295" s="14"/>
      <c r="Z295" s="16"/>
      <c r="AC295" s="14"/>
      <c r="AD295" s="14"/>
      <c r="AE295" s="14"/>
      <c r="AF295" s="14"/>
      <c r="AG295" s="14"/>
      <c r="AH295" s="14"/>
      <c r="AI295" s="14"/>
      <c r="AJ295" s="14"/>
      <c r="AK295" s="14"/>
      <c r="AL295" s="14"/>
      <c r="AS295" s="14"/>
      <c r="AT295" s="14"/>
      <c r="AU295" s="14"/>
      <c r="AV295" s="14"/>
      <c r="AW295" s="14"/>
      <c r="AX295" s="14"/>
      <c r="AY295" s="14"/>
      <c r="BA295" s="14"/>
      <c r="BE295" s="16"/>
      <c r="BH295" s="14"/>
      <c r="BI295" s="14"/>
      <c r="BJ295" s="14"/>
      <c r="BK295" s="14"/>
      <c r="BL295" s="14"/>
      <c r="BM295" s="14"/>
      <c r="BN295" s="14"/>
      <c r="BO295" s="14"/>
      <c r="BP295" s="14"/>
      <c r="BQ295" s="14"/>
      <c r="BX295" s="14"/>
      <c r="BY295" s="14"/>
      <c r="BZ295" s="14"/>
      <c r="CA295" s="14"/>
      <c r="CB295" s="14"/>
      <c r="CC295" s="14"/>
      <c r="CD295" s="14"/>
      <c r="CF295" s="14"/>
      <c r="CJ295" s="16"/>
      <c r="CM295" s="14"/>
      <c r="CN295" s="14"/>
      <c r="CO295" s="14"/>
      <c r="CP295" s="14"/>
      <c r="CQ295" s="14"/>
      <c r="CR295" s="14"/>
      <c r="CS295" s="14"/>
      <c r="CT295" s="14"/>
      <c r="CU295" s="14"/>
      <c r="CV295" s="14"/>
    </row>
    <row r="296" spans="1:100" x14ac:dyDescent="0.2">
      <c r="A296" s="14"/>
      <c r="B296" s="14"/>
      <c r="C296" s="14"/>
      <c r="D296" s="14"/>
      <c r="E296" s="14"/>
      <c r="F296" s="14"/>
      <c r="G296" s="14"/>
      <c r="H296" s="14"/>
      <c r="I296" s="14"/>
      <c r="J296" s="14"/>
      <c r="K296" s="14"/>
      <c r="L296" s="15"/>
      <c r="M296" s="14"/>
      <c r="N296" s="14"/>
      <c r="O296" s="14"/>
      <c r="P296" s="14"/>
      <c r="Q296" s="16"/>
      <c r="R296" s="14"/>
      <c r="Z296" s="16"/>
      <c r="AC296" s="14"/>
      <c r="AD296" s="14"/>
      <c r="AE296" s="14"/>
      <c r="AF296" s="14"/>
      <c r="AG296" s="14"/>
      <c r="AH296" s="14"/>
      <c r="AI296" s="14"/>
      <c r="AJ296" s="14"/>
      <c r="AK296" s="14"/>
      <c r="AL296" s="14"/>
      <c r="AS296" s="14"/>
      <c r="AT296" s="14"/>
      <c r="AU296" s="14"/>
      <c r="AV296" s="14"/>
      <c r="AW296" s="14"/>
      <c r="AX296" s="14"/>
      <c r="AY296" s="14"/>
      <c r="BA296" s="14"/>
      <c r="BE296" s="16"/>
      <c r="BH296" s="14"/>
      <c r="BI296" s="14"/>
      <c r="BJ296" s="14"/>
      <c r="BK296" s="14"/>
      <c r="BL296" s="14"/>
      <c r="BM296" s="14"/>
      <c r="BN296" s="14"/>
      <c r="BO296" s="14"/>
      <c r="BP296" s="14"/>
      <c r="BQ296" s="14"/>
      <c r="BX296" s="14"/>
      <c r="BY296" s="14"/>
      <c r="BZ296" s="14"/>
      <c r="CA296" s="14"/>
      <c r="CB296" s="14"/>
      <c r="CC296" s="14"/>
      <c r="CD296" s="14"/>
      <c r="CF296" s="14"/>
      <c r="CJ296" s="16"/>
      <c r="CM296" s="14"/>
      <c r="CN296" s="14"/>
      <c r="CO296" s="14"/>
      <c r="CP296" s="14"/>
      <c r="CQ296" s="14"/>
      <c r="CR296" s="14"/>
      <c r="CS296" s="14"/>
      <c r="CT296" s="14"/>
      <c r="CU296" s="14"/>
      <c r="CV296" s="14"/>
    </row>
    <row r="297" spans="1:100" x14ac:dyDescent="0.2">
      <c r="A297" s="14"/>
      <c r="B297" s="14"/>
      <c r="C297" s="14"/>
      <c r="D297" s="14"/>
      <c r="E297" s="14"/>
      <c r="F297" s="14"/>
      <c r="G297" s="14"/>
      <c r="H297" s="14"/>
      <c r="I297" s="14"/>
      <c r="J297" s="14"/>
      <c r="K297" s="14"/>
      <c r="L297" s="15"/>
      <c r="M297" s="14"/>
      <c r="N297" s="14"/>
      <c r="O297" s="14"/>
      <c r="P297" s="14"/>
      <c r="Q297" s="16"/>
      <c r="R297" s="14"/>
      <c r="Z297" s="16"/>
      <c r="AC297" s="14"/>
      <c r="AD297" s="14"/>
      <c r="AE297" s="14"/>
      <c r="AF297" s="14"/>
      <c r="AG297" s="14"/>
      <c r="AH297" s="14"/>
      <c r="AI297" s="14"/>
      <c r="AJ297" s="14"/>
      <c r="AK297" s="14"/>
      <c r="AL297" s="14"/>
      <c r="AS297" s="14"/>
      <c r="AT297" s="14"/>
      <c r="AU297" s="14"/>
      <c r="AV297" s="14"/>
      <c r="AW297" s="14"/>
      <c r="AX297" s="14"/>
      <c r="AY297" s="14"/>
      <c r="BA297" s="14"/>
      <c r="BE297" s="16"/>
      <c r="BH297" s="14"/>
      <c r="BI297" s="14"/>
      <c r="BJ297" s="14"/>
      <c r="BK297" s="14"/>
      <c r="BL297" s="14"/>
      <c r="BM297" s="14"/>
      <c r="BN297" s="14"/>
      <c r="BO297" s="14"/>
      <c r="BP297" s="14"/>
      <c r="BQ297" s="14"/>
      <c r="BX297" s="14"/>
      <c r="BY297" s="14"/>
      <c r="BZ297" s="14"/>
      <c r="CA297" s="14"/>
      <c r="CB297" s="14"/>
      <c r="CC297" s="14"/>
      <c r="CD297" s="14"/>
      <c r="CF297" s="14"/>
      <c r="CJ297" s="16"/>
      <c r="CM297" s="14"/>
      <c r="CN297" s="14"/>
      <c r="CO297" s="14"/>
      <c r="CP297" s="14"/>
      <c r="CQ297" s="14"/>
      <c r="CR297" s="14"/>
      <c r="CS297" s="14"/>
      <c r="CT297" s="14"/>
      <c r="CU297" s="14"/>
      <c r="CV297" s="14"/>
    </row>
    <row r="298" spans="1:100" x14ac:dyDescent="0.2">
      <c r="A298" s="14"/>
      <c r="B298" s="14"/>
      <c r="C298" s="14"/>
      <c r="D298" s="14"/>
      <c r="E298" s="14"/>
      <c r="F298" s="14"/>
      <c r="G298" s="14"/>
      <c r="H298" s="14"/>
      <c r="I298" s="14"/>
      <c r="J298" s="14"/>
      <c r="K298" s="14"/>
      <c r="L298" s="15"/>
      <c r="M298" s="14"/>
      <c r="N298" s="14"/>
      <c r="O298" s="14"/>
      <c r="P298" s="14"/>
      <c r="Q298" s="16"/>
      <c r="R298" s="14"/>
      <c r="Z298" s="16"/>
      <c r="AC298" s="14"/>
      <c r="AD298" s="14"/>
      <c r="AE298" s="14"/>
      <c r="AF298" s="14"/>
      <c r="AG298" s="14"/>
      <c r="AH298" s="14"/>
      <c r="AI298" s="14"/>
      <c r="AJ298" s="14"/>
      <c r="AK298" s="14"/>
      <c r="AL298" s="14"/>
      <c r="AS298" s="14"/>
      <c r="AT298" s="14"/>
      <c r="AU298" s="14"/>
      <c r="AV298" s="14"/>
      <c r="AW298" s="14"/>
      <c r="AX298" s="14"/>
      <c r="AY298" s="14"/>
      <c r="BA298" s="14"/>
      <c r="BE298" s="16"/>
      <c r="BH298" s="14"/>
      <c r="BI298" s="14"/>
      <c r="BJ298" s="14"/>
      <c r="BK298" s="14"/>
      <c r="BL298" s="14"/>
      <c r="BM298" s="14"/>
      <c r="BN298" s="14"/>
      <c r="BO298" s="14"/>
      <c r="BP298" s="14"/>
      <c r="BQ298" s="14"/>
      <c r="BX298" s="14"/>
      <c r="BY298" s="14"/>
      <c r="BZ298" s="14"/>
      <c r="CA298" s="14"/>
      <c r="CB298" s="14"/>
      <c r="CC298" s="14"/>
      <c r="CD298" s="14"/>
      <c r="CF298" s="14"/>
      <c r="CJ298" s="16"/>
      <c r="CM298" s="14"/>
      <c r="CN298" s="14"/>
      <c r="CO298" s="14"/>
      <c r="CP298" s="14"/>
      <c r="CQ298" s="14"/>
      <c r="CR298" s="14"/>
      <c r="CS298" s="14"/>
      <c r="CT298" s="14"/>
      <c r="CU298" s="14"/>
      <c r="CV298" s="14"/>
    </row>
    <row r="299" spans="1:100" x14ac:dyDescent="0.2">
      <c r="A299" s="14"/>
      <c r="B299" s="14"/>
      <c r="C299" s="14"/>
      <c r="D299" s="14"/>
      <c r="E299" s="14"/>
      <c r="F299" s="14"/>
      <c r="G299" s="14"/>
      <c r="H299" s="14"/>
      <c r="I299" s="14"/>
      <c r="J299" s="14"/>
      <c r="K299" s="14"/>
      <c r="L299" s="15"/>
      <c r="M299" s="14"/>
      <c r="N299" s="14"/>
      <c r="O299" s="14"/>
      <c r="P299" s="14"/>
      <c r="Q299" s="16"/>
      <c r="R299" s="14"/>
      <c r="Z299" s="16"/>
      <c r="AC299" s="14"/>
      <c r="AD299" s="14"/>
      <c r="AE299" s="14"/>
      <c r="AF299" s="14"/>
      <c r="AG299" s="14"/>
      <c r="AH299" s="14"/>
      <c r="AI299" s="14"/>
      <c r="AJ299" s="14"/>
      <c r="AK299" s="14"/>
      <c r="AL299" s="14"/>
      <c r="AS299" s="14"/>
      <c r="AT299" s="14"/>
      <c r="AU299" s="14"/>
      <c r="AV299" s="14"/>
      <c r="AW299" s="14"/>
      <c r="AX299" s="14"/>
      <c r="AY299" s="14"/>
      <c r="BA299" s="14"/>
      <c r="BE299" s="16"/>
      <c r="BH299" s="14"/>
      <c r="BI299" s="14"/>
      <c r="BJ299" s="14"/>
      <c r="BK299" s="14"/>
      <c r="BL299" s="14"/>
      <c r="BM299" s="14"/>
      <c r="BN299" s="14"/>
      <c r="BO299" s="14"/>
      <c r="BP299" s="14"/>
      <c r="BQ299" s="14"/>
      <c r="BX299" s="14"/>
      <c r="BY299" s="14"/>
      <c r="BZ299" s="14"/>
      <c r="CA299" s="14"/>
      <c r="CB299" s="14"/>
      <c r="CC299" s="14"/>
      <c r="CD299" s="14"/>
      <c r="CF299" s="14"/>
      <c r="CJ299" s="16"/>
      <c r="CM299" s="14"/>
      <c r="CN299" s="14"/>
      <c r="CO299" s="14"/>
      <c r="CP299" s="14"/>
      <c r="CQ299" s="14"/>
      <c r="CR299" s="14"/>
      <c r="CS299" s="14"/>
      <c r="CT299" s="14"/>
      <c r="CU299" s="14"/>
      <c r="CV299" s="14"/>
    </row>
    <row r="300" spans="1:100" x14ac:dyDescent="0.2">
      <c r="A300" s="14"/>
      <c r="B300" s="14"/>
      <c r="C300" s="14"/>
      <c r="D300" s="14"/>
      <c r="E300" s="14"/>
      <c r="F300" s="14"/>
      <c r="G300" s="14"/>
      <c r="H300" s="14"/>
      <c r="I300" s="14"/>
      <c r="J300" s="14"/>
      <c r="K300" s="14"/>
      <c r="L300" s="15"/>
      <c r="M300" s="14"/>
      <c r="N300" s="14"/>
      <c r="O300" s="14"/>
      <c r="P300" s="14"/>
      <c r="Q300" s="16"/>
      <c r="R300" s="14"/>
      <c r="Z300" s="16"/>
      <c r="AC300" s="14"/>
      <c r="AD300" s="14"/>
      <c r="AE300" s="14"/>
      <c r="AF300" s="14"/>
      <c r="AG300" s="14"/>
      <c r="AH300" s="14"/>
      <c r="AI300" s="14"/>
      <c r="AJ300" s="14"/>
      <c r="AK300" s="14"/>
      <c r="AL300" s="14"/>
      <c r="AS300" s="14"/>
      <c r="AT300" s="14"/>
      <c r="AU300" s="14"/>
      <c r="AV300" s="14"/>
      <c r="AW300" s="14"/>
      <c r="AX300" s="14"/>
      <c r="AY300" s="14"/>
      <c r="BA300" s="14"/>
      <c r="BE300" s="16"/>
      <c r="BH300" s="14"/>
      <c r="BI300" s="14"/>
      <c r="BJ300" s="14"/>
      <c r="BK300" s="14"/>
      <c r="BL300" s="14"/>
      <c r="BM300" s="14"/>
      <c r="BN300" s="14"/>
      <c r="BO300" s="14"/>
      <c r="BP300" s="14"/>
      <c r="BQ300" s="14"/>
      <c r="BX300" s="14"/>
      <c r="BY300" s="14"/>
      <c r="BZ300" s="14"/>
      <c r="CA300" s="14"/>
      <c r="CB300" s="14"/>
      <c r="CC300" s="14"/>
      <c r="CD300" s="14"/>
      <c r="CF300" s="14"/>
      <c r="CJ300" s="16"/>
      <c r="CM300" s="14"/>
      <c r="CN300" s="14"/>
      <c r="CO300" s="14"/>
      <c r="CP300" s="14"/>
      <c r="CQ300" s="14"/>
      <c r="CR300" s="14"/>
      <c r="CS300" s="14"/>
      <c r="CT300" s="14"/>
      <c r="CU300" s="14"/>
      <c r="CV300" s="14"/>
    </row>
    <row r="301" spans="1:100" x14ac:dyDescent="0.2">
      <c r="A301" s="14"/>
      <c r="B301" s="14"/>
      <c r="C301" s="14"/>
      <c r="D301" s="14"/>
      <c r="E301" s="14"/>
      <c r="F301" s="14"/>
      <c r="G301" s="14"/>
      <c r="H301" s="14"/>
      <c r="I301" s="14"/>
      <c r="J301" s="14"/>
      <c r="K301" s="14"/>
      <c r="L301" s="15"/>
      <c r="M301" s="14"/>
      <c r="N301" s="14"/>
      <c r="O301" s="14"/>
      <c r="P301" s="14"/>
      <c r="Q301" s="16"/>
      <c r="R301" s="14"/>
      <c r="Z301" s="16"/>
      <c r="AC301" s="14"/>
      <c r="AD301" s="14"/>
      <c r="AE301" s="14"/>
      <c r="AF301" s="14"/>
      <c r="AG301" s="14"/>
      <c r="AH301" s="14"/>
      <c r="AI301" s="14"/>
      <c r="AJ301" s="14"/>
      <c r="AK301" s="14"/>
      <c r="AL301" s="14"/>
      <c r="AS301" s="14"/>
      <c r="AT301" s="14"/>
      <c r="AU301" s="14"/>
      <c r="AV301" s="14"/>
      <c r="AW301" s="14"/>
      <c r="AX301" s="14"/>
      <c r="AY301" s="14"/>
      <c r="BA301" s="14"/>
      <c r="BE301" s="16"/>
      <c r="BH301" s="14"/>
      <c r="BI301" s="14"/>
      <c r="BJ301" s="14"/>
      <c r="BK301" s="14"/>
      <c r="BL301" s="14"/>
      <c r="BM301" s="14"/>
      <c r="BN301" s="14"/>
      <c r="BO301" s="14"/>
      <c r="BP301" s="14"/>
      <c r="BQ301" s="14"/>
      <c r="BX301" s="14"/>
      <c r="BY301" s="14"/>
      <c r="BZ301" s="14"/>
      <c r="CA301" s="14"/>
      <c r="CB301" s="14"/>
      <c r="CC301" s="14"/>
      <c r="CD301" s="14"/>
      <c r="CF301" s="14"/>
      <c r="CJ301" s="16"/>
      <c r="CM301" s="14"/>
      <c r="CN301" s="14"/>
      <c r="CO301" s="14"/>
      <c r="CP301" s="14"/>
      <c r="CQ301" s="14"/>
      <c r="CR301" s="14"/>
      <c r="CS301" s="14"/>
      <c r="CT301" s="14"/>
      <c r="CU301" s="14"/>
      <c r="CV301" s="14"/>
    </row>
    <row r="302" spans="1:100" x14ac:dyDescent="0.2">
      <c r="A302" s="14"/>
      <c r="B302" s="14"/>
      <c r="C302" s="14"/>
      <c r="D302" s="14"/>
      <c r="E302" s="14"/>
      <c r="F302" s="14"/>
      <c r="G302" s="14"/>
      <c r="H302" s="14"/>
      <c r="I302" s="14"/>
      <c r="J302" s="14"/>
      <c r="K302" s="14"/>
      <c r="L302" s="15"/>
      <c r="M302" s="14"/>
      <c r="N302" s="14"/>
      <c r="O302" s="14"/>
      <c r="P302" s="14"/>
      <c r="Q302" s="16"/>
      <c r="R302" s="14"/>
      <c r="Z302" s="16"/>
      <c r="AC302" s="14"/>
      <c r="AD302" s="14"/>
      <c r="AE302" s="14"/>
      <c r="AF302" s="14"/>
      <c r="AG302" s="14"/>
      <c r="AH302" s="14"/>
      <c r="AI302" s="14"/>
      <c r="AJ302" s="14"/>
      <c r="AK302" s="14"/>
      <c r="AL302" s="14"/>
      <c r="AS302" s="14"/>
      <c r="AT302" s="14"/>
      <c r="AU302" s="14"/>
      <c r="AV302" s="14"/>
      <c r="AW302" s="14"/>
      <c r="AX302" s="14"/>
      <c r="AY302" s="14"/>
      <c r="BA302" s="14"/>
      <c r="BE302" s="16"/>
      <c r="BH302" s="14"/>
      <c r="BI302" s="14"/>
      <c r="BJ302" s="14"/>
      <c r="BK302" s="14"/>
      <c r="BL302" s="14"/>
      <c r="BM302" s="14"/>
      <c r="BN302" s="14"/>
      <c r="BO302" s="14"/>
      <c r="BP302" s="14"/>
      <c r="BQ302" s="14"/>
      <c r="BX302" s="14"/>
      <c r="BY302" s="14"/>
      <c r="BZ302" s="14"/>
      <c r="CA302" s="14"/>
      <c r="CB302" s="14"/>
      <c r="CC302" s="14"/>
      <c r="CD302" s="14"/>
      <c r="CF302" s="14"/>
      <c r="CJ302" s="16"/>
      <c r="CM302" s="14"/>
      <c r="CN302" s="14"/>
      <c r="CO302" s="14"/>
      <c r="CP302" s="14"/>
      <c r="CQ302" s="14"/>
      <c r="CR302" s="14"/>
      <c r="CS302" s="14"/>
      <c r="CT302" s="14"/>
      <c r="CU302" s="14"/>
      <c r="CV302" s="14"/>
    </row>
    <row r="303" spans="1:100" x14ac:dyDescent="0.2">
      <c r="A303" s="14"/>
      <c r="B303" s="14"/>
      <c r="C303" s="14"/>
      <c r="D303" s="14"/>
      <c r="E303" s="14"/>
      <c r="F303" s="14"/>
      <c r="G303" s="14"/>
      <c r="H303" s="14"/>
      <c r="I303" s="14"/>
      <c r="J303" s="14"/>
      <c r="K303" s="14"/>
      <c r="L303" s="15"/>
      <c r="M303" s="14"/>
      <c r="N303" s="14"/>
      <c r="O303" s="14"/>
      <c r="P303" s="14"/>
      <c r="Q303" s="16"/>
      <c r="R303" s="14"/>
      <c r="Z303" s="16"/>
      <c r="AC303" s="14"/>
      <c r="AD303" s="14"/>
      <c r="AE303" s="14"/>
      <c r="AF303" s="14"/>
      <c r="AG303" s="14"/>
      <c r="AH303" s="14"/>
      <c r="AI303" s="14"/>
      <c r="AJ303" s="14"/>
      <c r="AK303" s="14"/>
      <c r="AL303" s="14"/>
      <c r="AS303" s="14"/>
      <c r="AT303" s="14"/>
      <c r="AU303" s="14"/>
      <c r="AV303" s="14"/>
      <c r="AW303" s="14"/>
      <c r="AX303" s="14"/>
      <c r="AY303" s="14"/>
      <c r="BA303" s="14"/>
      <c r="BE303" s="16"/>
      <c r="BH303" s="14"/>
      <c r="BI303" s="14"/>
      <c r="BJ303" s="14"/>
      <c r="BK303" s="14"/>
      <c r="BL303" s="14"/>
      <c r="BM303" s="14"/>
      <c r="BN303" s="14"/>
      <c r="BO303" s="14"/>
      <c r="BP303" s="14"/>
      <c r="BQ303" s="14"/>
      <c r="BX303" s="14"/>
      <c r="BY303" s="14"/>
      <c r="BZ303" s="14"/>
      <c r="CA303" s="14"/>
      <c r="CB303" s="14"/>
      <c r="CC303" s="14"/>
      <c r="CD303" s="14"/>
      <c r="CF303" s="14"/>
      <c r="CJ303" s="16"/>
      <c r="CM303" s="14"/>
      <c r="CN303" s="14"/>
      <c r="CO303" s="14"/>
      <c r="CP303" s="14"/>
      <c r="CQ303" s="14"/>
      <c r="CR303" s="14"/>
      <c r="CS303" s="14"/>
      <c r="CT303" s="14"/>
      <c r="CU303" s="14"/>
      <c r="CV303" s="14"/>
    </row>
    <row r="304" spans="1:100" x14ac:dyDescent="0.2">
      <c r="A304" s="14"/>
      <c r="B304" s="14"/>
      <c r="C304" s="14"/>
      <c r="D304" s="14"/>
      <c r="E304" s="14"/>
      <c r="F304" s="14"/>
      <c r="G304" s="14"/>
      <c r="H304" s="14"/>
      <c r="I304" s="14"/>
      <c r="J304" s="14"/>
      <c r="K304" s="14"/>
      <c r="L304" s="15"/>
      <c r="M304" s="14"/>
      <c r="N304" s="14"/>
      <c r="O304" s="14"/>
      <c r="P304" s="14"/>
      <c r="Q304" s="16"/>
      <c r="R304" s="14"/>
      <c r="Z304" s="16"/>
      <c r="AC304" s="14"/>
      <c r="AD304" s="14"/>
      <c r="AE304" s="14"/>
      <c r="AF304" s="14"/>
      <c r="AG304" s="14"/>
      <c r="AH304" s="14"/>
      <c r="AI304" s="14"/>
      <c r="AJ304" s="14"/>
      <c r="AK304" s="14"/>
      <c r="AL304" s="14"/>
      <c r="AS304" s="14"/>
      <c r="AT304" s="14"/>
      <c r="AU304" s="14"/>
      <c r="AV304" s="14"/>
      <c r="AW304" s="14"/>
      <c r="AX304" s="14"/>
      <c r="AY304" s="14"/>
      <c r="BA304" s="14"/>
      <c r="BE304" s="16"/>
      <c r="BH304" s="14"/>
      <c r="BI304" s="14"/>
      <c r="BJ304" s="14"/>
      <c r="BK304" s="14"/>
      <c r="BL304" s="14"/>
      <c r="BM304" s="14"/>
      <c r="BN304" s="14"/>
      <c r="BO304" s="14"/>
      <c r="BP304" s="14"/>
      <c r="BQ304" s="14"/>
      <c r="BX304" s="14"/>
      <c r="BY304" s="14"/>
      <c r="BZ304" s="14"/>
      <c r="CA304" s="14"/>
      <c r="CB304" s="14"/>
      <c r="CC304" s="14"/>
      <c r="CD304" s="14"/>
      <c r="CF304" s="14"/>
      <c r="CJ304" s="16"/>
      <c r="CM304" s="14"/>
      <c r="CN304" s="14"/>
      <c r="CO304" s="14"/>
      <c r="CP304" s="14"/>
      <c r="CQ304" s="14"/>
      <c r="CR304" s="14"/>
      <c r="CS304" s="14"/>
      <c r="CT304" s="14"/>
      <c r="CU304" s="14"/>
      <c r="CV304" s="14"/>
    </row>
    <row r="305" spans="1:100" x14ac:dyDescent="0.2">
      <c r="A305" s="14"/>
      <c r="B305" s="14"/>
      <c r="C305" s="14"/>
      <c r="D305" s="14"/>
      <c r="E305" s="14"/>
      <c r="F305" s="14"/>
      <c r="G305" s="14"/>
      <c r="H305" s="14"/>
      <c r="I305" s="14"/>
      <c r="J305" s="14"/>
      <c r="K305" s="14"/>
      <c r="L305" s="15"/>
      <c r="M305" s="14"/>
      <c r="N305" s="14"/>
      <c r="O305" s="14"/>
      <c r="P305" s="14"/>
      <c r="Q305" s="16"/>
      <c r="R305" s="14"/>
      <c r="Z305" s="16"/>
      <c r="AC305" s="14"/>
      <c r="AD305" s="14"/>
      <c r="AE305" s="14"/>
      <c r="AF305" s="14"/>
      <c r="AG305" s="14"/>
      <c r="AH305" s="14"/>
      <c r="AI305" s="14"/>
      <c r="AJ305" s="14"/>
      <c r="AK305" s="14"/>
      <c r="AL305" s="14"/>
      <c r="AS305" s="14"/>
      <c r="AT305" s="14"/>
      <c r="AU305" s="14"/>
      <c r="AV305" s="14"/>
      <c r="AW305" s="14"/>
      <c r="AX305" s="14"/>
      <c r="AY305" s="14"/>
      <c r="BA305" s="14"/>
      <c r="BE305" s="16"/>
      <c r="BH305" s="14"/>
      <c r="BI305" s="14"/>
      <c r="BJ305" s="14"/>
      <c r="BK305" s="14"/>
      <c r="BL305" s="14"/>
      <c r="BM305" s="14"/>
      <c r="BN305" s="14"/>
      <c r="BO305" s="14"/>
      <c r="BP305" s="14"/>
      <c r="BQ305" s="14"/>
      <c r="BX305" s="14"/>
      <c r="BY305" s="14"/>
      <c r="BZ305" s="14"/>
      <c r="CA305" s="14"/>
      <c r="CB305" s="14"/>
      <c r="CC305" s="14"/>
      <c r="CD305" s="14"/>
      <c r="CF305" s="14"/>
      <c r="CJ305" s="16"/>
      <c r="CM305" s="14"/>
      <c r="CN305" s="14"/>
      <c r="CO305" s="14"/>
      <c r="CP305" s="14"/>
      <c r="CQ305" s="14"/>
      <c r="CR305" s="14"/>
      <c r="CS305" s="14"/>
      <c r="CT305" s="14"/>
      <c r="CU305" s="14"/>
      <c r="CV305" s="14"/>
    </row>
    <row r="306" spans="1:100" x14ac:dyDescent="0.2">
      <c r="A306" s="14"/>
      <c r="B306" s="14"/>
      <c r="C306" s="14"/>
      <c r="D306" s="14"/>
      <c r="E306" s="14"/>
      <c r="F306" s="14"/>
      <c r="G306" s="14"/>
      <c r="H306" s="14"/>
      <c r="I306" s="14"/>
      <c r="J306" s="14"/>
      <c r="K306" s="14"/>
      <c r="L306" s="15"/>
      <c r="M306" s="14"/>
      <c r="N306" s="14"/>
      <c r="O306" s="14"/>
      <c r="P306" s="14"/>
      <c r="Q306" s="16"/>
      <c r="R306" s="14"/>
      <c r="Z306" s="16"/>
      <c r="AC306" s="14"/>
      <c r="AD306" s="14"/>
      <c r="AE306" s="14"/>
      <c r="AF306" s="14"/>
      <c r="AG306" s="14"/>
      <c r="AH306" s="14"/>
      <c r="AI306" s="14"/>
      <c r="AJ306" s="14"/>
      <c r="AK306" s="14"/>
      <c r="AL306" s="14"/>
      <c r="AS306" s="14"/>
      <c r="AT306" s="14"/>
      <c r="AU306" s="14"/>
      <c r="AV306" s="14"/>
      <c r="AW306" s="14"/>
      <c r="AX306" s="14"/>
      <c r="AY306" s="14"/>
      <c r="BA306" s="14"/>
      <c r="BE306" s="16"/>
      <c r="BH306" s="14"/>
      <c r="BI306" s="14"/>
      <c r="BJ306" s="14"/>
      <c r="BK306" s="14"/>
      <c r="BL306" s="14"/>
      <c r="BM306" s="14"/>
      <c r="BN306" s="14"/>
      <c r="BO306" s="14"/>
      <c r="BP306" s="14"/>
      <c r="BQ306" s="14"/>
      <c r="BX306" s="14"/>
      <c r="BY306" s="14"/>
      <c r="BZ306" s="14"/>
      <c r="CA306" s="14"/>
      <c r="CB306" s="14"/>
      <c r="CC306" s="14"/>
      <c r="CD306" s="14"/>
      <c r="CF306" s="14"/>
      <c r="CJ306" s="16"/>
      <c r="CM306" s="14"/>
      <c r="CN306" s="14"/>
      <c r="CO306" s="14"/>
      <c r="CP306" s="14"/>
      <c r="CQ306" s="14"/>
      <c r="CR306" s="14"/>
      <c r="CS306" s="14"/>
      <c r="CT306" s="14"/>
      <c r="CU306" s="14"/>
      <c r="CV306" s="14"/>
    </row>
    <row r="307" spans="1:100" x14ac:dyDescent="0.2">
      <c r="A307" s="14"/>
      <c r="B307" s="14"/>
      <c r="C307" s="14"/>
      <c r="D307" s="14"/>
      <c r="E307" s="14"/>
      <c r="F307" s="14"/>
      <c r="G307" s="14"/>
      <c r="H307" s="14"/>
      <c r="I307" s="14"/>
      <c r="J307" s="14"/>
      <c r="K307" s="14"/>
      <c r="L307" s="15"/>
      <c r="M307" s="14"/>
      <c r="N307" s="14"/>
      <c r="O307" s="14"/>
      <c r="P307" s="14"/>
      <c r="Q307" s="16"/>
      <c r="R307" s="14"/>
      <c r="Z307" s="16"/>
      <c r="AC307" s="14"/>
      <c r="AD307" s="14"/>
      <c r="AE307" s="14"/>
      <c r="AF307" s="14"/>
      <c r="AG307" s="14"/>
      <c r="AH307" s="14"/>
      <c r="AI307" s="14"/>
      <c r="AJ307" s="14"/>
      <c r="AK307" s="14"/>
      <c r="AL307" s="14"/>
      <c r="AS307" s="14"/>
      <c r="AT307" s="14"/>
      <c r="AU307" s="14"/>
      <c r="AV307" s="14"/>
      <c r="AW307" s="14"/>
      <c r="AX307" s="14"/>
      <c r="AY307" s="14"/>
      <c r="BA307" s="14"/>
      <c r="BE307" s="16"/>
      <c r="BH307" s="14"/>
      <c r="BI307" s="14"/>
      <c r="BJ307" s="14"/>
      <c r="BK307" s="14"/>
      <c r="BL307" s="14"/>
      <c r="BM307" s="14"/>
      <c r="BN307" s="14"/>
      <c r="BO307" s="14"/>
      <c r="BP307" s="14"/>
      <c r="BQ307" s="14"/>
      <c r="BX307" s="14"/>
      <c r="BY307" s="14"/>
      <c r="BZ307" s="14"/>
      <c r="CA307" s="14"/>
      <c r="CB307" s="14"/>
      <c r="CC307" s="14"/>
      <c r="CD307" s="14"/>
      <c r="CF307" s="14"/>
      <c r="CJ307" s="16"/>
      <c r="CM307" s="14"/>
      <c r="CN307" s="14"/>
      <c r="CO307" s="14"/>
      <c r="CP307" s="14"/>
      <c r="CQ307" s="14"/>
      <c r="CR307" s="14"/>
      <c r="CS307" s="14"/>
      <c r="CT307" s="14"/>
      <c r="CU307" s="14"/>
      <c r="CV307" s="14"/>
    </row>
    <row r="308" spans="1:100" x14ac:dyDescent="0.2">
      <c r="A308" s="14"/>
      <c r="B308" s="14"/>
      <c r="C308" s="14"/>
      <c r="D308" s="14"/>
      <c r="E308" s="14"/>
      <c r="F308" s="14"/>
      <c r="G308" s="14"/>
      <c r="H308" s="14"/>
      <c r="I308" s="14"/>
      <c r="J308" s="14"/>
      <c r="K308" s="14"/>
      <c r="L308" s="15"/>
      <c r="M308" s="14"/>
      <c r="N308" s="14"/>
      <c r="O308" s="14"/>
      <c r="P308" s="14"/>
      <c r="Q308" s="16"/>
      <c r="R308" s="14"/>
      <c r="Z308" s="16"/>
      <c r="AC308" s="14"/>
      <c r="AD308" s="14"/>
      <c r="AE308" s="14"/>
      <c r="AF308" s="14"/>
      <c r="AG308" s="14"/>
      <c r="AH308" s="14"/>
      <c r="AI308" s="14"/>
      <c r="AJ308" s="14"/>
      <c r="AK308" s="14"/>
      <c r="AL308" s="14"/>
      <c r="AS308" s="14"/>
      <c r="AT308" s="14"/>
      <c r="AU308" s="14"/>
      <c r="AV308" s="14"/>
      <c r="AW308" s="14"/>
      <c r="AX308" s="14"/>
      <c r="AY308" s="14"/>
      <c r="BA308" s="14"/>
      <c r="BE308" s="16"/>
      <c r="BH308" s="14"/>
      <c r="BI308" s="14"/>
      <c r="BJ308" s="14"/>
      <c r="BK308" s="14"/>
      <c r="BL308" s="14"/>
      <c r="BM308" s="14"/>
      <c r="BN308" s="14"/>
      <c r="BO308" s="14"/>
      <c r="BP308" s="14"/>
      <c r="BQ308" s="14"/>
      <c r="BX308" s="14"/>
      <c r="BY308" s="14"/>
      <c r="BZ308" s="14"/>
      <c r="CA308" s="14"/>
      <c r="CB308" s="14"/>
      <c r="CC308" s="14"/>
      <c r="CD308" s="14"/>
      <c r="CF308" s="14"/>
      <c r="CJ308" s="16"/>
      <c r="CM308" s="14"/>
      <c r="CN308" s="14"/>
      <c r="CO308" s="14"/>
      <c r="CP308" s="14"/>
      <c r="CQ308" s="14"/>
      <c r="CR308" s="14"/>
      <c r="CS308" s="14"/>
      <c r="CT308" s="14"/>
      <c r="CU308" s="14"/>
      <c r="CV308" s="14"/>
    </row>
    <row r="309" spans="1:100" x14ac:dyDescent="0.2">
      <c r="A309" s="14"/>
      <c r="B309" s="14"/>
      <c r="C309" s="14"/>
      <c r="D309" s="14"/>
      <c r="E309" s="14"/>
      <c r="F309" s="14"/>
      <c r="G309" s="14"/>
      <c r="H309" s="14"/>
      <c r="I309" s="14"/>
      <c r="J309" s="14"/>
      <c r="K309" s="14"/>
      <c r="L309" s="15"/>
      <c r="M309" s="14"/>
      <c r="N309" s="14"/>
      <c r="O309" s="14"/>
      <c r="P309" s="14"/>
      <c r="Q309" s="16"/>
      <c r="R309" s="14"/>
      <c r="Z309" s="16"/>
      <c r="AC309" s="14"/>
      <c r="AD309" s="14"/>
      <c r="AE309" s="14"/>
      <c r="AF309" s="14"/>
      <c r="AG309" s="14"/>
      <c r="AH309" s="14"/>
      <c r="AI309" s="14"/>
      <c r="AJ309" s="14"/>
      <c r="AK309" s="14"/>
      <c r="AL309" s="14"/>
      <c r="AS309" s="14"/>
      <c r="AT309" s="14"/>
      <c r="AU309" s="14"/>
      <c r="AV309" s="14"/>
      <c r="AW309" s="14"/>
      <c r="AX309" s="14"/>
      <c r="AY309" s="14"/>
      <c r="BA309" s="14"/>
      <c r="BE309" s="16"/>
      <c r="BH309" s="14"/>
      <c r="BI309" s="14"/>
      <c r="BJ309" s="14"/>
      <c r="BK309" s="14"/>
      <c r="BL309" s="14"/>
      <c r="BM309" s="14"/>
      <c r="BN309" s="14"/>
      <c r="BO309" s="14"/>
      <c r="BP309" s="14"/>
      <c r="BQ309" s="14"/>
      <c r="BX309" s="14"/>
      <c r="BY309" s="14"/>
      <c r="BZ309" s="14"/>
      <c r="CA309" s="14"/>
      <c r="CB309" s="14"/>
      <c r="CC309" s="14"/>
      <c r="CD309" s="14"/>
      <c r="CF309" s="14"/>
      <c r="CJ309" s="16"/>
      <c r="CM309" s="14"/>
      <c r="CN309" s="14"/>
      <c r="CO309" s="14"/>
      <c r="CP309" s="14"/>
      <c r="CQ309" s="14"/>
      <c r="CR309" s="14"/>
      <c r="CS309" s="14"/>
      <c r="CT309" s="14"/>
      <c r="CU309" s="14"/>
      <c r="CV309" s="14"/>
    </row>
    <row r="310" spans="1:100" x14ac:dyDescent="0.2">
      <c r="A310" s="14"/>
      <c r="B310" s="14"/>
      <c r="C310" s="14"/>
      <c r="D310" s="14"/>
      <c r="E310" s="14"/>
      <c r="F310" s="14"/>
      <c r="G310" s="14"/>
      <c r="H310" s="14"/>
      <c r="I310" s="14"/>
      <c r="J310" s="14"/>
      <c r="K310" s="14"/>
      <c r="L310" s="15"/>
      <c r="M310" s="14"/>
      <c r="N310" s="14"/>
      <c r="O310" s="14"/>
      <c r="P310" s="14"/>
      <c r="Q310" s="16"/>
      <c r="R310" s="14"/>
      <c r="Z310" s="16"/>
      <c r="AC310" s="14"/>
      <c r="AD310" s="14"/>
      <c r="AE310" s="14"/>
      <c r="AF310" s="14"/>
      <c r="AG310" s="14"/>
      <c r="AH310" s="14"/>
      <c r="AI310" s="14"/>
      <c r="AJ310" s="14"/>
      <c r="AK310" s="14"/>
      <c r="AL310" s="14"/>
      <c r="AS310" s="14"/>
      <c r="AT310" s="14"/>
      <c r="AU310" s="14"/>
      <c r="AV310" s="14"/>
      <c r="AW310" s="14"/>
      <c r="AX310" s="14"/>
      <c r="AY310" s="14"/>
      <c r="BA310" s="14"/>
      <c r="BE310" s="16"/>
      <c r="BH310" s="14"/>
      <c r="BI310" s="14"/>
      <c r="BJ310" s="14"/>
      <c r="BK310" s="14"/>
      <c r="BL310" s="14"/>
      <c r="BM310" s="14"/>
      <c r="BN310" s="14"/>
      <c r="BO310" s="14"/>
      <c r="BP310" s="14"/>
      <c r="BQ310" s="14"/>
      <c r="BX310" s="14"/>
      <c r="BY310" s="14"/>
      <c r="BZ310" s="14"/>
      <c r="CA310" s="14"/>
      <c r="CB310" s="14"/>
      <c r="CC310" s="14"/>
      <c r="CD310" s="14"/>
      <c r="CF310" s="14"/>
      <c r="CJ310" s="16"/>
      <c r="CM310" s="14"/>
      <c r="CN310" s="14"/>
      <c r="CO310" s="14"/>
      <c r="CP310" s="14"/>
      <c r="CQ310" s="14"/>
      <c r="CR310" s="14"/>
      <c r="CS310" s="14"/>
      <c r="CT310" s="14"/>
      <c r="CU310" s="14"/>
      <c r="CV310" s="14"/>
    </row>
    <row r="311" spans="1:100" x14ac:dyDescent="0.2">
      <c r="A311" s="14"/>
      <c r="B311" s="14"/>
      <c r="C311" s="14"/>
      <c r="D311" s="14"/>
      <c r="E311" s="14"/>
      <c r="F311" s="14"/>
      <c r="G311" s="14"/>
      <c r="H311" s="14"/>
      <c r="I311" s="14"/>
      <c r="J311" s="14"/>
      <c r="K311" s="14"/>
      <c r="L311" s="15"/>
      <c r="M311" s="14"/>
      <c r="N311" s="14"/>
      <c r="O311" s="14"/>
      <c r="P311" s="14"/>
      <c r="Q311" s="16"/>
      <c r="R311" s="14"/>
      <c r="Z311" s="16"/>
      <c r="AC311" s="14"/>
      <c r="AD311" s="14"/>
      <c r="AE311" s="14"/>
      <c r="AF311" s="14"/>
      <c r="AG311" s="14"/>
      <c r="AH311" s="14"/>
      <c r="AI311" s="14"/>
      <c r="AJ311" s="14"/>
      <c r="AK311" s="14"/>
      <c r="AL311" s="14"/>
      <c r="AS311" s="14"/>
      <c r="AT311" s="14"/>
      <c r="AU311" s="14"/>
      <c r="AV311" s="14"/>
      <c r="AW311" s="14"/>
      <c r="AX311" s="14"/>
      <c r="AY311" s="14"/>
      <c r="BA311" s="14"/>
      <c r="BE311" s="16"/>
      <c r="BH311" s="14"/>
      <c r="BI311" s="14"/>
      <c r="BJ311" s="14"/>
      <c r="BK311" s="14"/>
      <c r="BL311" s="14"/>
      <c r="BM311" s="14"/>
      <c r="BN311" s="14"/>
      <c r="BO311" s="14"/>
      <c r="BP311" s="14"/>
      <c r="BQ311" s="14"/>
      <c r="BX311" s="14"/>
      <c r="BY311" s="14"/>
      <c r="BZ311" s="14"/>
      <c r="CA311" s="14"/>
      <c r="CB311" s="14"/>
      <c r="CC311" s="14"/>
      <c r="CD311" s="14"/>
      <c r="CF311" s="14"/>
      <c r="CJ311" s="16"/>
      <c r="CM311" s="14"/>
      <c r="CN311" s="14"/>
      <c r="CO311" s="14"/>
      <c r="CP311" s="14"/>
      <c r="CQ311" s="14"/>
      <c r="CR311" s="14"/>
      <c r="CS311" s="14"/>
      <c r="CT311" s="14"/>
      <c r="CU311" s="14"/>
      <c r="CV311" s="14"/>
    </row>
    <row r="312" spans="1:100" x14ac:dyDescent="0.2">
      <c r="A312" s="14"/>
      <c r="B312" s="14"/>
      <c r="C312" s="14"/>
      <c r="D312" s="14"/>
      <c r="E312" s="14"/>
      <c r="F312" s="14"/>
      <c r="G312" s="14"/>
      <c r="H312" s="14"/>
      <c r="I312" s="14"/>
      <c r="J312" s="14"/>
      <c r="K312" s="14"/>
      <c r="L312" s="15"/>
      <c r="M312" s="14"/>
      <c r="N312" s="14"/>
      <c r="O312" s="14"/>
      <c r="P312" s="14"/>
      <c r="Q312" s="16"/>
      <c r="R312" s="14"/>
      <c r="Z312" s="16"/>
      <c r="AC312" s="14"/>
      <c r="AD312" s="14"/>
      <c r="AE312" s="14"/>
      <c r="AF312" s="14"/>
      <c r="AG312" s="14"/>
      <c r="AH312" s="14"/>
      <c r="AI312" s="14"/>
      <c r="AJ312" s="14"/>
      <c r="AK312" s="14"/>
      <c r="AL312" s="14"/>
      <c r="AS312" s="14"/>
      <c r="AT312" s="14"/>
      <c r="AU312" s="14"/>
      <c r="AV312" s="14"/>
      <c r="AW312" s="14"/>
      <c r="AX312" s="14"/>
      <c r="AY312" s="14"/>
      <c r="BA312" s="14"/>
      <c r="BE312" s="16"/>
      <c r="BH312" s="14"/>
      <c r="BI312" s="14"/>
      <c r="BJ312" s="14"/>
      <c r="BK312" s="14"/>
      <c r="BL312" s="14"/>
      <c r="BM312" s="14"/>
      <c r="BN312" s="14"/>
      <c r="BO312" s="14"/>
      <c r="BP312" s="14"/>
      <c r="BQ312" s="14"/>
      <c r="BX312" s="14"/>
      <c r="BY312" s="14"/>
      <c r="BZ312" s="14"/>
      <c r="CA312" s="14"/>
      <c r="CB312" s="14"/>
      <c r="CC312" s="14"/>
      <c r="CD312" s="14"/>
      <c r="CF312" s="14"/>
      <c r="CJ312" s="16"/>
      <c r="CM312" s="14"/>
      <c r="CN312" s="14"/>
      <c r="CO312" s="14"/>
      <c r="CP312" s="14"/>
      <c r="CQ312" s="14"/>
      <c r="CR312" s="14"/>
      <c r="CS312" s="14"/>
      <c r="CT312" s="14"/>
      <c r="CU312" s="14"/>
      <c r="CV312" s="14"/>
    </row>
    <row r="313" spans="1:100" x14ac:dyDescent="0.2">
      <c r="A313" s="14"/>
      <c r="B313" s="14"/>
      <c r="C313" s="14"/>
      <c r="D313" s="14"/>
      <c r="E313" s="14"/>
      <c r="F313" s="14"/>
      <c r="G313" s="14"/>
      <c r="H313" s="14"/>
      <c r="I313" s="14"/>
      <c r="J313" s="14"/>
      <c r="K313" s="14"/>
      <c r="L313" s="15"/>
      <c r="M313" s="14"/>
      <c r="N313" s="14"/>
      <c r="O313" s="14"/>
      <c r="P313" s="14"/>
      <c r="Q313" s="16"/>
      <c r="R313" s="14"/>
      <c r="Z313" s="16"/>
      <c r="AC313" s="14"/>
      <c r="AD313" s="14"/>
      <c r="AE313" s="14"/>
      <c r="AF313" s="14"/>
      <c r="AG313" s="14"/>
      <c r="AH313" s="14"/>
      <c r="AI313" s="14"/>
      <c r="AJ313" s="14"/>
      <c r="AK313" s="14"/>
      <c r="AL313" s="14"/>
      <c r="AS313" s="14"/>
      <c r="AT313" s="14"/>
      <c r="AU313" s="14"/>
      <c r="AV313" s="14"/>
      <c r="AW313" s="14"/>
      <c r="AX313" s="14"/>
      <c r="AY313" s="14"/>
      <c r="BA313" s="14"/>
      <c r="BE313" s="16"/>
      <c r="BH313" s="14"/>
      <c r="BI313" s="14"/>
      <c r="BJ313" s="14"/>
      <c r="BK313" s="14"/>
      <c r="BL313" s="14"/>
      <c r="BM313" s="14"/>
      <c r="BN313" s="14"/>
      <c r="BO313" s="14"/>
      <c r="BP313" s="14"/>
      <c r="BQ313" s="14"/>
      <c r="BX313" s="14"/>
      <c r="BY313" s="14"/>
      <c r="BZ313" s="14"/>
      <c r="CA313" s="14"/>
      <c r="CB313" s="14"/>
      <c r="CC313" s="14"/>
      <c r="CD313" s="14"/>
      <c r="CF313" s="14"/>
      <c r="CJ313" s="16"/>
      <c r="CM313" s="14"/>
      <c r="CN313" s="14"/>
      <c r="CO313" s="14"/>
      <c r="CP313" s="14"/>
      <c r="CQ313" s="14"/>
      <c r="CR313" s="14"/>
      <c r="CS313" s="14"/>
      <c r="CT313" s="14"/>
      <c r="CU313" s="14"/>
      <c r="CV313" s="14"/>
    </row>
    <row r="314" spans="1:100" x14ac:dyDescent="0.2">
      <c r="A314" s="14"/>
      <c r="B314" s="14"/>
      <c r="C314" s="14"/>
      <c r="D314" s="14"/>
      <c r="E314" s="14"/>
      <c r="F314" s="14"/>
      <c r="G314" s="14"/>
      <c r="H314" s="14"/>
      <c r="I314" s="14"/>
      <c r="J314" s="14"/>
      <c r="K314" s="14"/>
      <c r="L314" s="15"/>
      <c r="M314" s="14"/>
      <c r="N314" s="14"/>
      <c r="O314" s="14"/>
      <c r="P314" s="14"/>
      <c r="Q314" s="16"/>
      <c r="R314" s="14"/>
      <c r="Z314" s="16"/>
      <c r="AC314" s="14"/>
      <c r="AD314" s="14"/>
      <c r="AE314" s="14"/>
      <c r="AF314" s="14"/>
      <c r="AG314" s="14"/>
      <c r="AH314" s="14"/>
      <c r="AI314" s="14"/>
      <c r="AJ314" s="14"/>
      <c r="AK314" s="14"/>
      <c r="AL314" s="14"/>
      <c r="AS314" s="14"/>
      <c r="AT314" s="14"/>
      <c r="AU314" s="14"/>
      <c r="AV314" s="14"/>
      <c r="AW314" s="14"/>
      <c r="AX314" s="14"/>
      <c r="AY314" s="14"/>
      <c r="BA314" s="14"/>
      <c r="BE314" s="16"/>
      <c r="BH314" s="14"/>
      <c r="BI314" s="14"/>
      <c r="BJ314" s="14"/>
      <c r="BK314" s="14"/>
      <c r="BL314" s="14"/>
      <c r="BM314" s="14"/>
      <c r="BN314" s="14"/>
      <c r="BO314" s="14"/>
      <c r="BP314" s="14"/>
      <c r="BQ314" s="14"/>
      <c r="BX314" s="14"/>
      <c r="BY314" s="14"/>
      <c r="BZ314" s="14"/>
      <c r="CA314" s="14"/>
      <c r="CB314" s="14"/>
      <c r="CC314" s="14"/>
      <c r="CD314" s="14"/>
      <c r="CF314" s="14"/>
      <c r="CJ314" s="16"/>
      <c r="CM314" s="14"/>
      <c r="CN314" s="14"/>
      <c r="CO314" s="14"/>
      <c r="CP314" s="14"/>
      <c r="CQ314" s="14"/>
      <c r="CR314" s="14"/>
      <c r="CS314" s="14"/>
      <c r="CT314" s="14"/>
      <c r="CU314" s="14"/>
      <c r="CV314" s="14"/>
    </row>
    <row r="315" spans="1:100" x14ac:dyDescent="0.2">
      <c r="A315" s="14"/>
      <c r="B315" s="14"/>
      <c r="C315" s="14"/>
      <c r="D315" s="14"/>
      <c r="E315" s="14"/>
      <c r="F315" s="14"/>
      <c r="G315" s="14"/>
      <c r="H315" s="14"/>
      <c r="I315" s="14"/>
      <c r="J315" s="14"/>
      <c r="K315" s="14"/>
      <c r="L315" s="15"/>
      <c r="M315" s="14"/>
      <c r="N315" s="14"/>
      <c r="O315" s="14"/>
      <c r="P315" s="14"/>
      <c r="Q315" s="16"/>
      <c r="R315" s="14"/>
      <c r="Z315" s="16"/>
      <c r="AC315" s="14"/>
      <c r="AD315" s="14"/>
      <c r="AE315" s="14"/>
      <c r="AF315" s="14"/>
      <c r="AG315" s="14"/>
      <c r="AH315" s="14"/>
      <c r="AI315" s="14"/>
      <c r="AJ315" s="14"/>
      <c r="AK315" s="14"/>
      <c r="AL315" s="14"/>
      <c r="AS315" s="14"/>
      <c r="AT315" s="14"/>
      <c r="AU315" s="14"/>
      <c r="AV315" s="14"/>
      <c r="AW315" s="14"/>
      <c r="AX315" s="14"/>
      <c r="AY315" s="14"/>
      <c r="BA315" s="14"/>
      <c r="BE315" s="16"/>
      <c r="BH315" s="14"/>
      <c r="BI315" s="14"/>
      <c r="BJ315" s="14"/>
      <c r="BK315" s="14"/>
      <c r="BL315" s="14"/>
      <c r="BM315" s="14"/>
      <c r="BN315" s="14"/>
      <c r="BO315" s="14"/>
      <c r="BP315" s="14"/>
      <c r="BQ315" s="14"/>
      <c r="BX315" s="14"/>
      <c r="BY315" s="14"/>
      <c r="BZ315" s="14"/>
      <c r="CA315" s="14"/>
      <c r="CB315" s="14"/>
      <c r="CC315" s="14"/>
      <c r="CD315" s="14"/>
      <c r="CF315" s="14"/>
      <c r="CJ315" s="16"/>
      <c r="CM315" s="14"/>
      <c r="CN315" s="14"/>
      <c r="CO315" s="14"/>
      <c r="CP315" s="14"/>
      <c r="CQ315" s="14"/>
      <c r="CR315" s="14"/>
      <c r="CS315" s="14"/>
      <c r="CT315" s="14"/>
      <c r="CU315" s="14"/>
      <c r="CV315" s="14"/>
    </row>
    <row r="316" spans="1:100" x14ac:dyDescent="0.2">
      <c r="A316" s="14"/>
      <c r="B316" s="14"/>
      <c r="C316" s="14"/>
      <c r="D316" s="14"/>
      <c r="E316" s="14"/>
      <c r="F316" s="14"/>
      <c r="G316" s="14"/>
      <c r="H316" s="14"/>
      <c r="I316" s="14"/>
      <c r="J316" s="14"/>
      <c r="K316" s="14"/>
      <c r="L316" s="15"/>
      <c r="M316" s="14"/>
      <c r="N316" s="14"/>
      <c r="O316" s="14"/>
      <c r="P316" s="14"/>
      <c r="Q316" s="16"/>
      <c r="R316" s="14"/>
      <c r="Z316" s="16"/>
      <c r="AC316" s="14"/>
      <c r="AD316" s="14"/>
      <c r="AE316" s="14"/>
      <c r="AF316" s="14"/>
      <c r="AG316" s="14"/>
      <c r="AH316" s="14"/>
      <c r="AI316" s="14"/>
      <c r="AJ316" s="14"/>
      <c r="AK316" s="14"/>
      <c r="AL316" s="14"/>
      <c r="AS316" s="14"/>
      <c r="AT316" s="14"/>
      <c r="AU316" s="14"/>
      <c r="AV316" s="14"/>
      <c r="AW316" s="14"/>
      <c r="AX316" s="14"/>
      <c r="AY316" s="14"/>
      <c r="BA316" s="14"/>
      <c r="BE316" s="16"/>
      <c r="BH316" s="14"/>
      <c r="BI316" s="14"/>
      <c r="BJ316" s="14"/>
      <c r="BK316" s="14"/>
      <c r="BL316" s="14"/>
      <c r="BM316" s="14"/>
      <c r="BN316" s="14"/>
      <c r="BO316" s="14"/>
      <c r="BP316" s="14"/>
      <c r="BQ316" s="14"/>
      <c r="BX316" s="14"/>
      <c r="BY316" s="14"/>
      <c r="BZ316" s="14"/>
      <c r="CA316" s="14"/>
      <c r="CB316" s="14"/>
      <c r="CC316" s="14"/>
      <c r="CD316" s="14"/>
      <c r="CF316" s="14"/>
      <c r="CJ316" s="16"/>
      <c r="CM316" s="14"/>
      <c r="CN316" s="14"/>
      <c r="CO316" s="14"/>
      <c r="CP316" s="14"/>
      <c r="CQ316" s="14"/>
      <c r="CR316" s="14"/>
      <c r="CS316" s="14"/>
      <c r="CT316" s="14"/>
      <c r="CU316" s="14"/>
      <c r="CV316" s="14"/>
    </row>
    <row r="317" spans="1:100" x14ac:dyDescent="0.2">
      <c r="A317" s="14"/>
      <c r="B317" s="14"/>
      <c r="C317" s="14"/>
      <c r="D317" s="14"/>
      <c r="E317" s="14"/>
      <c r="F317" s="14"/>
      <c r="G317" s="14"/>
      <c r="H317" s="14"/>
      <c r="I317" s="14"/>
      <c r="J317" s="14"/>
      <c r="K317" s="14"/>
      <c r="L317" s="15"/>
      <c r="M317" s="14"/>
      <c r="N317" s="14"/>
      <c r="O317" s="14"/>
      <c r="P317" s="14"/>
      <c r="Q317" s="16"/>
      <c r="R317" s="14"/>
      <c r="Z317" s="16"/>
      <c r="AC317" s="14"/>
      <c r="AD317" s="14"/>
      <c r="AE317" s="14"/>
      <c r="AF317" s="14"/>
      <c r="AG317" s="14"/>
      <c r="AH317" s="14"/>
      <c r="AI317" s="14"/>
      <c r="AJ317" s="14"/>
      <c r="AK317" s="14"/>
      <c r="AL317" s="14"/>
      <c r="AS317" s="14"/>
      <c r="AT317" s="14"/>
      <c r="AU317" s="14"/>
      <c r="AV317" s="14"/>
      <c r="AW317" s="14"/>
      <c r="AX317" s="14"/>
      <c r="AY317" s="14"/>
      <c r="BA317" s="14"/>
      <c r="BE317" s="16"/>
      <c r="BH317" s="14"/>
      <c r="BI317" s="14"/>
      <c r="BJ317" s="14"/>
      <c r="BK317" s="14"/>
      <c r="BL317" s="14"/>
      <c r="BM317" s="14"/>
      <c r="BN317" s="14"/>
      <c r="BO317" s="14"/>
      <c r="BP317" s="14"/>
      <c r="BQ317" s="14"/>
      <c r="BX317" s="14"/>
      <c r="BY317" s="14"/>
      <c r="BZ317" s="14"/>
      <c r="CA317" s="14"/>
      <c r="CB317" s="14"/>
      <c r="CC317" s="14"/>
      <c r="CD317" s="14"/>
      <c r="CF317" s="14"/>
      <c r="CJ317" s="16"/>
      <c r="CM317" s="14"/>
      <c r="CN317" s="14"/>
      <c r="CO317" s="14"/>
      <c r="CP317" s="14"/>
      <c r="CQ317" s="14"/>
      <c r="CR317" s="14"/>
      <c r="CS317" s="14"/>
      <c r="CT317" s="14"/>
      <c r="CU317" s="14"/>
      <c r="CV317" s="14"/>
    </row>
    <row r="318" spans="1:100" x14ac:dyDescent="0.2">
      <c r="A318" s="14"/>
      <c r="B318" s="14"/>
      <c r="C318" s="14"/>
      <c r="D318" s="14"/>
      <c r="E318" s="14"/>
      <c r="F318" s="14"/>
      <c r="G318" s="14"/>
      <c r="H318" s="14"/>
      <c r="I318" s="14"/>
      <c r="J318" s="14"/>
      <c r="K318" s="14"/>
      <c r="L318" s="15"/>
      <c r="M318" s="14"/>
      <c r="N318" s="14"/>
      <c r="O318" s="14"/>
      <c r="P318" s="14"/>
      <c r="Q318" s="16"/>
      <c r="R318" s="14"/>
      <c r="Z318" s="16"/>
      <c r="AC318" s="14"/>
      <c r="AD318" s="14"/>
      <c r="AE318" s="14"/>
      <c r="AF318" s="14"/>
      <c r="AG318" s="14"/>
      <c r="AH318" s="14"/>
      <c r="AI318" s="14"/>
      <c r="AJ318" s="14"/>
      <c r="AK318" s="14"/>
      <c r="AL318" s="14"/>
      <c r="AS318" s="14"/>
      <c r="AT318" s="14"/>
      <c r="AU318" s="14"/>
      <c r="AV318" s="14"/>
      <c r="AW318" s="14"/>
      <c r="AX318" s="14"/>
      <c r="AY318" s="14"/>
      <c r="BA318" s="14"/>
      <c r="BE318" s="16"/>
      <c r="BH318" s="14"/>
      <c r="BI318" s="14"/>
      <c r="BJ318" s="14"/>
      <c r="BK318" s="14"/>
      <c r="BL318" s="14"/>
      <c r="BM318" s="14"/>
      <c r="BN318" s="14"/>
      <c r="BO318" s="14"/>
      <c r="BP318" s="14"/>
      <c r="BQ318" s="14"/>
      <c r="BX318" s="14"/>
      <c r="BY318" s="14"/>
      <c r="BZ318" s="14"/>
      <c r="CA318" s="14"/>
      <c r="CB318" s="14"/>
      <c r="CC318" s="14"/>
      <c r="CD318" s="14"/>
      <c r="CF318" s="14"/>
      <c r="CJ318" s="16"/>
      <c r="CM318" s="14"/>
      <c r="CN318" s="14"/>
      <c r="CO318" s="14"/>
      <c r="CP318" s="14"/>
      <c r="CQ318" s="14"/>
      <c r="CR318" s="14"/>
      <c r="CS318" s="14"/>
      <c r="CT318" s="14"/>
      <c r="CU318" s="14"/>
      <c r="CV318" s="14"/>
    </row>
    <row r="319" spans="1:100" x14ac:dyDescent="0.2">
      <c r="A319" s="14"/>
      <c r="B319" s="14"/>
      <c r="C319" s="14"/>
      <c r="D319" s="14"/>
      <c r="E319" s="14"/>
      <c r="F319" s="14"/>
      <c r="G319" s="14"/>
      <c r="H319" s="14"/>
      <c r="I319" s="14"/>
      <c r="J319" s="14"/>
      <c r="K319" s="14"/>
      <c r="L319" s="15"/>
      <c r="M319" s="14"/>
      <c r="N319" s="14"/>
      <c r="O319" s="14"/>
      <c r="P319" s="14"/>
      <c r="Q319" s="16"/>
      <c r="R319" s="14"/>
      <c r="Z319" s="16"/>
      <c r="AC319" s="14"/>
      <c r="AD319" s="14"/>
      <c r="AE319" s="14"/>
      <c r="AF319" s="14"/>
      <c r="AG319" s="14"/>
      <c r="AH319" s="14"/>
      <c r="AI319" s="14"/>
      <c r="AJ319" s="14"/>
      <c r="AK319" s="14"/>
      <c r="AL319" s="14"/>
      <c r="AS319" s="14"/>
      <c r="AT319" s="14"/>
      <c r="AU319" s="14"/>
      <c r="AV319" s="14"/>
      <c r="AW319" s="14"/>
      <c r="AX319" s="14"/>
      <c r="AY319" s="14"/>
      <c r="BA319" s="14"/>
      <c r="BE319" s="16"/>
      <c r="BH319" s="14"/>
      <c r="BI319" s="14"/>
      <c r="BJ319" s="14"/>
      <c r="BK319" s="14"/>
      <c r="BL319" s="14"/>
      <c r="BM319" s="14"/>
      <c r="BN319" s="14"/>
      <c r="BO319" s="14"/>
      <c r="BP319" s="14"/>
      <c r="BQ319" s="14"/>
      <c r="BX319" s="14"/>
      <c r="BY319" s="14"/>
      <c r="BZ319" s="14"/>
      <c r="CA319" s="14"/>
      <c r="CB319" s="14"/>
      <c r="CC319" s="14"/>
      <c r="CD319" s="14"/>
      <c r="CF319" s="14"/>
      <c r="CJ319" s="16"/>
      <c r="CM319" s="14"/>
      <c r="CN319" s="14"/>
      <c r="CO319" s="14"/>
      <c r="CP319" s="14"/>
      <c r="CQ319" s="14"/>
      <c r="CR319" s="14"/>
      <c r="CS319" s="14"/>
      <c r="CT319" s="14"/>
      <c r="CU319" s="14"/>
      <c r="CV319" s="14"/>
    </row>
    <row r="320" spans="1:100" x14ac:dyDescent="0.2">
      <c r="A320" s="14"/>
      <c r="B320" s="14"/>
      <c r="C320" s="14"/>
      <c r="D320" s="14"/>
      <c r="E320" s="14"/>
      <c r="F320" s="14"/>
      <c r="G320" s="14"/>
      <c r="H320" s="14"/>
      <c r="I320" s="14"/>
      <c r="J320" s="14"/>
      <c r="K320" s="14"/>
      <c r="L320" s="15"/>
      <c r="M320" s="14"/>
      <c r="N320" s="14"/>
      <c r="O320" s="14"/>
      <c r="P320" s="14"/>
      <c r="Q320" s="16"/>
      <c r="R320" s="14"/>
      <c r="Z320" s="16"/>
      <c r="AC320" s="14"/>
      <c r="AD320" s="14"/>
      <c r="AE320" s="14"/>
      <c r="AF320" s="14"/>
      <c r="AG320" s="14"/>
      <c r="AH320" s="14"/>
      <c r="AI320" s="14"/>
      <c r="AJ320" s="14"/>
      <c r="AK320" s="14"/>
      <c r="AL320" s="14"/>
      <c r="AS320" s="14"/>
      <c r="AT320" s="14"/>
      <c r="AU320" s="14"/>
      <c r="AV320" s="14"/>
      <c r="AW320" s="14"/>
      <c r="AX320" s="14"/>
      <c r="AY320" s="14"/>
      <c r="BA320" s="14"/>
      <c r="BE320" s="16"/>
      <c r="BH320" s="14"/>
      <c r="BI320" s="14"/>
      <c r="BJ320" s="14"/>
      <c r="BK320" s="14"/>
      <c r="BL320" s="14"/>
      <c r="BM320" s="14"/>
      <c r="BN320" s="14"/>
      <c r="BO320" s="14"/>
      <c r="BP320" s="14"/>
      <c r="BQ320" s="14"/>
      <c r="BX320" s="14"/>
      <c r="BY320" s="14"/>
      <c r="BZ320" s="14"/>
      <c r="CA320" s="14"/>
      <c r="CB320" s="14"/>
      <c r="CC320" s="14"/>
      <c r="CD320" s="14"/>
      <c r="CF320" s="14"/>
      <c r="CJ320" s="16"/>
      <c r="CM320" s="14"/>
      <c r="CN320" s="14"/>
      <c r="CO320" s="14"/>
      <c r="CP320" s="14"/>
      <c r="CQ320" s="14"/>
      <c r="CR320" s="14"/>
      <c r="CS320" s="14"/>
      <c r="CT320" s="14"/>
      <c r="CU320" s="14"/>
      <c r="CV320" s="14"/>
    </row>
    <row r="321" spans="1:100" x14ac:dyDescent="0.2">
      <c r="A321" s="14"/>
      <c r="B321" s="14"/>
      <c r="C321" s="14"/>
      <c r="D321" s="14"/>
      <c r="E321" s="14"/>
      <c r="F321" s="14"/>
      <c r="G321" s="14"/>
      <c r="H321" s="14"/>
      <c r="I321" s="14"/>
      <c r="J321" s="14"/>
      <c r="K321" s="14"/>
      <c r="L321" s="15"/>
      <c r="M321" s="14"/>
      <c r="N321" s="14"/>
      <c r="O321" s="14"/>
      <c r="P321" s="14"/>
      <c r="Q321" s="16"/>
      <c r="R321" s="14"/>
      <c r="Z321" s="16"/>
      <c r="AC321" s="14"/>
      <c r="AD321" s="14"/>
      <c r="AE321" s="14"/>
      <c r="AF321" s="14"/>
      <c r="AG321" s="14"/>
      <c r="AH321" s="14"/>
      <c r="AI321" s="14"/>
      <c r="AJ321" s="14"/>
      <c r="AK321" s="14"/>
      <c r="AL321" s="14"/>
      <c r="AS321" s="14"/>
      <c r="AT321" s="14"/>
      <c r="AU321" s="14"/>
      <c r="AV321" s="14"/>
      <c r="AW321" s="14"/>
      <c r="AX321" s="14"/>
      <c r="AY321" s="14"/>
      <c r="BA321" s="14"/>
      <c r="BE321" s="16"/>
      <c r="BH321" s="14"/>
      <c r="BI321" s="14"/>
      <c r="BJ321" s="14"/>
      <c r="BK321" s="14"/>
      <c r="BL321" s="14"/>
      <c r="BM321" s="14"/>
      <c r="BN321" s="14"/>
      <c r="BO321" s="14"/>
      <c r="BP321" s="14"/>
      <c r="BQ321" s="14"/>
      <c r="BX321" s="14"/>
      <c r="BY321" s="14"/>
      <c r="BZ321" s="14"/>
      <c r="CA321" s="14"/>
      <c r="CB321" s="14"/>
      <c r="CC321" s="14"/>
      <c r="CD321" s="14"/>
      <c r="CF321" s="14"/>
      <c r="CJ321" s="16"/>
      <c r="CM321" s="14"/>
      <c r="CN321" s="14"/>
      <c r="CO321" s="14"/>
      <c r="CP321" s="14"/>
      <c r="CQ321" s="14"/>
      <c r="CR321" s="14"/>
      <c r="CS321" s="14"/>
      <c r="CT321" s="14"/>
      <c r="CU321" s="14"/>
      <c r="CV321" s="14"/>
    </row>
    <row r="322" spans="1:100" x14ac:dyDescent="0.2">
      <c r="A322" s="14"/>
      <c r="B322" s="14"/>
      <c r="C322" s="14"/>
      <c r="D322" s="14"/>
      <c r="E322" s="14"/>
      <c r="F322" s="14"/>
      <c r="G322" s="14"/>
      <c r="H322" s="14"/>
      <c r="I322" s="14"/>
      <c r="J322" s="14"/>
      <c r="K322" s="14"/>
      <c r="L322" s="15"/>
      <c r="M322" s="14"/>
      <c r="N322" s="14"/>
      <c r="O322" s="14"/>
      <c r="P322" s="14"/>
      <c r="Q322" s="16"/>
      <c r="R322" s="14"/>
      <c r="Z322" s="16"/>
      <c r="AC322" s="14"/>
      <c r="AD322" s="14"/>
      <c r="AE322" s="14"/>
      <c r="AF322" s="14"/>
      <c r="AG322" s="14"/>
      <c r="AH322" s="14"/>
      <c r="AI322" s="14"/>
      <c r="AJ322" s="14"/>
      <c r="AK322" s="14"/>
      <c r="AL322" s="14"/>
      <c r="AS322" s="14"/>
      <c r="AT322" s="14"/>
      <c r="AU322" s="14"/>
      <c r="AV322" s="14"/>
      <c r="AW322" s="14"/>
      <c r="AX322" s="14"/>
      <c r="AY322" s="14"/>
      <c r="BA322" s="14"/>
      <c r="BE322" s="16"/>
      <c r="BH322" s="14"/>
      <c r="BI322" s="14"/>
      <c r="BJ322" s="14"/>
      <c r="BK322" s="14"/>
      <c r="BL322" s="14"/>
      <c r="BM322" s="14"/>
      <c r="BN322" s="14"/>
      <c r="BO322" s="14"/>
      <c r="BP322" s="14"/>
      <c r="BQ322" s="14"/>
      <c r="BX322" s="14"/>
      <c r="BY322" s="14"/>
      <c r="BZ322" s="14"/>
      <c r="CA322" s="14"/>
      <c r="CB322" s="14"/>
      <c r="CC322" s="14"/>
      <c r="CD322" s="14"/>
      <c r="CF322" s="14"/>
      <c r="CJ322" s="16"/>
      <c r="CM322" s="14"/>
      <c r="CN322" s="14"/>
      <c r="CO322" s="14"/>
      <c r="CP322" s="14"/>
      <c r="CQ322" s="14"/>
      <c r="CR322" s="14"/>
      <c r="CS322" s="14"/>
      <c r="CT322" s="14"/>
      <c r="CU322" s="14"/>
      <c r="CV322" s="14"/>
    </row>
    <row r="323" spans="1:100" x14ac:dyDescent="0.2">
      <c r="A323" s="14"/>
      <c r="B323" s="14"/>
      <c r="C323" s="14"/>
      <c r="D323" s="14"/>
      <c r="E323" s="14"/>
      <c r="F323" s="14"/>
      <c r="G323" s="14"/>
      <c r="H323" s="14"/>
      <c r="I323" s="14"/>
      <c r="J323" s="14"/>
      <c r="K323" s="14"/>
      <c r="L323" s="15"/>
      <c r="M323" s="14"/>
      <c r="N323" s="14"/>
      <c r="O323" s="14"/>
      <c r="P323" s="14"/>
      <c r="Q323" s="16"/>
      <c r="R323" s="14"/>
      <c r="Z323" s="16"/>
      <c r="AC323" s="14"/>
      <c r="AD323" s="14"/>
      <c r="AE323" s="14"/>
      <c r="AF323" s="14"/>
      <c r="AG323" s="14"/>
      <c r="AH323" s="14"/>
      <c r="AI323" s="14"/>
      <c r="AJ323" s="14"/>
      <c r="AK323" s="14"/>
      <c r="AL323" s="14"/>
      <c r="AS323" s="14"/>
      <c r="AT323" s="14"/>
      <c r="AU323" s="14"/>
      <c r="AV323" s="14"/>
      <c r="AW323" s="14"/>
      <c r="AX323" s="14"/>
      <c r="AY323" s="14"/>
      <c r="BA323" s="14"/>
      <c r="BE323" s="16"/>
      <c r="BH323" s="14"/>
      <c r="BI323" s="14"/>
      <c r="BJ323" s="14"/>
      <c r="BK323" s="14"/>
      <c r="BL323" s="14"/>
      <c r="BM323" s="14"/>
      <c r="BN323" s="14"/>
      <c r="BO323" s="14"/>
      <c r="BP323" s="14"/>
      <c r="BQ323" s="14"/>
      <c r="BX323" s="14"/>
      <c r="BY323" s="14"/>
      <c r="BZ323" s="14"/>
      <c r="CA323" s="14"/>
      <c r="CB323" s="14"/>
      <c r="CC323" s="14"/>
      <c r="CD323" s="14"/>
      <c r="CF323" s="14"/>
      <c r="CJ323" s="16"/>
      <c r="CM323" s="14"/>
      <c r="CN323" s="14"/>
      <c r="CO323" s="14"/>
      <c r="CP323" s="14"/>
      <c r="CQ323" s="14"/>
      <c r="CR323" s="14"/>
      <c r="CS323" s="14"/>
      <c r="CT323" s="14"/>
      <c r="CU323" s="14"/>
      <c r="CV323" s="14"/>
    </row>
    <row r="324" spans="1:100" x14ac:dyDescent="0.2">
      <c r="A324" s="14"/>
      <c r="B324" s="14"/>
      <c r="C324" s="14"/>
      <c r="D324" s="14"/>
      <c r="E324" s="14"/>
      <c r="F324" s="14"/>
      <c r="G324" s="14"/>
      <c r="H324" s="14"/>
      <c r="I324" s="14"/>
      <c r="J324" s="14"/>
      <c r="K324" s="14"/>
      <c r="L324" s="15"/>
      <c r="M324" s="14"/>
      <c r="N324" s="14"/>
      <c r="O324" s="14"/>
      <c r="P324" s="14"/>
      <c r="Q324" s="16"/>
      <c r="R324" s="14"/>
      <c r="Z324" s="16"/>
      <c r="AC324" s="14"/>
      <c r="AD324" s="14"/>
      <c r="AE324" s="14"/>
      <c r="AF324" s="14"/>
      <c r="AG324" s="14"/>
      <c r="AH324" s="14"/>
      <c r="AI324" s="14"/>
      <c r="AJ324" s="14"/>
      <c r="AK324" s="14"/>
      <c r="AL324" s="14"/>
      <c r="AS324" s="14"/>
      <c r="AT324" s="14"/>
      <c r="AU324" s="14"/>
      <c r="AV324" s="14"/>
      <c r="AW324" s="14"/>
      <c r="AX324" s="14"/>
      <c r="AY324" s="14"/>
      <c r="BA324" s="14"/>
      <c r="BE324" s="16"/>
      <c r="BH324" s="14"/>
      <c r="BI324" s="14"/>
      <c r="BJ324" s="14"/>
      <c r="BK324" s="14"/>
      <c r="BL324" s="14"/>
      <c r="BM324" s="14"/>
      <c r="BN324" s="14"/>
      <c r="BO324" s="14"/>
      <c r="BP324" s="14"/>
      <c r="BQ324" s="14"/>
      <c r="BX324" s="14"/>
      <c r="BY324" s="14"/>
      <c r="BZ324" s="14"/>
      <c r="CA324" s="14"/>
      <c r="CB324" s="14"/>
      <c r="CC324" s="14"/>
      <c r="CD324" s="14"/>
      <c r="CF324" s="14"/>
      <c r="CJ324" s="16"/>
      <c r="CM324" s="14"/>
      <c r="CN324" s="14"/>
      <c r="CO324" s="14"/>
      <c r="CP324" s="14"/>
      <c r="CQ324" s="14"/>
      <c r="CR324" s="14"/>
      <c r="CS324" s="14"/>
      <c r="CT324" s="14"/>
      <c r="CU324" s="14"/>
      <c r="CV324" s="14"/>
    </row>
    <row r="325" spans="1:100" x14ac:dyDescent="0.2">
      <c r="A325" s="14"/>
      <c r="B325" s="14"/>
      <c r="C325" s="14"/>
      <c r="D325" s="14"/>
      <c r="E325" s="14"/>
      <c r="F325" s="14"/>
      <c r="G325" s="14"/>
      <c r="H325" s="14"/>
      <c r="I325" s="14"/>
      <c r="J325" s="14"/>
      <c r="K325" s="14"/>
      <c r="L325" s="15"/>
      <c r="M325" s="14"/>
      <c r="N325" s="14"/>
      <c r="O325" s="14"/>
      <c r="P325" s="14"/>
      <c r="Q325" s="16"/>
      <c r="R325" s="14"/>
      <c r="Z325" s="16"/>
      <c r="AC325" s="14"/>
      <c r="AD325" s="14"/>
      <c r="AE325" s="14"/>
      <c r="AF325" s="14"/>
      <c r="AG325" s="14"/>
      <c r="AH325" s="14"/>
      <c r="AI325" s="14"/>
      <c r="AJ325" s="14"/>
      <c r="AK325" s="14"/>
      <c r="AL325" s="14"/>
      <c r="AS325" s="14"/>
      <c r="AT325" s="14"/>
      <c r="AU325" s="14"/>
      <c r="AV325" s="14"/>
      <c r="AW325" s="14"/>
      <c r="AX325" s="14"/>
      <c r="AY325" s="14"/>
      <c r="BA325" s="14"/>
      <c r="BE325" s="16"/>
      <c r="BH325" s="14"/>
      <c r="BI325" s="14"/>
      <c r="BJ325" s="14"/>
      <c r="BK325" s="14"/>
      <c r="BL325" s="14"/>
      <c r="BM325" s="14"/>
      <c r="BN325" s="14"/>
      <c r="BO325" s="14"/>
      <c r="BP325" s="14"/>
      <c r="BQ325" s="14"/>
      <c r="BX325" s="14"/>
      <c r="BY325" s="14"/>
      <c r="BZ325" s="14"/>
      <c r="CA325" s="14"/>
      <c r="CB325" s="14"/>
      <c r="CC325" s="14"/>
      <c r="CD325" s="14"/>
      <c r="CF325" s="14"/>
      <c r="CJ325" s="16"/>
      <c r="CM325" s="14"/>
      <c r="CN325" s="14"/>
      <c r="CO325" s="14"/>
      <c r="CP325" s="14"/>
      <c r="CQ325" s="14"/>
      <c r="CR325" s="14"/>
      <c r="CS325" s="14"/>
      <c r="CT325" s="14"/>
      <c r="CU325" s="14"/>
      <c r="CV325" s="14"/>
    </row>
    <row r="326" spans="1:100" x14ac:dyDescent="0.2">
      <c r="A326" s="14"/>
      <c r="B326" s="14"/>
      <c r="C326" s="14"/>
      <c r="D326" s="14"/>
      <c r="E326" s="14"/>
      <c r="F326" s="14"/>
      <c r="G326" s="14"/>
      <c r="H326" s="14"/>
      <c r="I326" s="14"/>
      <c r="J326" s="14"/>
      <c r="K326" s="14"/>
      <c r="L326" s="15"/>
      <c r="M326" s="14"/>
      <c r="N326" s="14"/>
      <c r="O326" s="14"/>
      <c r="P326" s="14"/>
      <c r="Q326" s="16"/>
      <c r="R326" s="14"/>
      <c r="Z326" s="16"/>
      <c r="AC326" s="14"/>
      <c r="AD326" s="14"/>
      <c r="AE326" s="14"/>
      <c r="AF326" s="14"/>
      <c r="AG326" s="14"/>
      <c r="AH326" s="14"/>
      <c r="AI326" s="14"/>
      <c r="AJ326" s="14"/>
      <c r="AK326" s="14"/>
      <c r="AL326" s="14"/>
      <c r="AS326" s="14"/>
      <c r="AT326" s="14"/>
      <c r="AU326" s="14"/>
      <c r="AV326" s="14"/>
      <c r="AW326" s="14"/>
      <c r="AX326" s="14"/>
      <c r="AY326" s="14"/>
      <c r="BA326" s="14"/>
      <c r="BE326" s="16"/>
      <c r="BH326" s="14"/>
      <c r="BI326" s="14"/>
      <c r="BJ326" s="14"/>
      <c r="BK326" s="14"/>
      <c r="BL326" s="14"/>
      <c r="BM326" s="14"/>
      <c r="BN326" s="14"/>
      <c r="BO326" s="14"/>
      <c r="BP326" s="14"/>
      <c r="BQ326" s="14"/>
      <c r="BX326" s="14"/>
      <c r="BY326" s="14"/>
      <c r="BZ326" s="14"/>
      <c r="CA326" s="14"/>
      <c r="CB326" s="14"/>
      <c r="CC326" s="14"/>
      <c r="CD326" s="14"/>
      <c r="CF326" s="14"/>
      <c r="CJ326" s="16"/>
      <c r="CM326" s="14"/>
      <c r="CN326" s="14"/>
      <c r="CO326" s="14"/>
      <c r="CP326" s="14"/>
      <c r="CQ326" s="14"/>
      <c r="CR326" s="14"/>
      <c r="CS326" s="14"/>
      <c r="CT326" s="14"/>
      <c r="CU326" s="14"/>
      <c r="CV326" s="14"/>
    </row>
    <row r="327" spans="1:100" x14ac:dyDescent="0.2">
      <c r="A327" s="14"/>
      <c r="B327" s="14"/>
      <c r="C327" s="14"/>
      <c r="D327" s="14"/>
      <c r="E327" s="14"/>
      <c r="F327" s="14"/>
      <c r="G327" s="14"/>
      <c r="H327" s="14"/>
      <c r="I327" s="14"/>
      <c r="J327" s="14"/>
      <c r="K327" s="14"/>
      <c r="L327" s="15"/>
      <c r="M327" s="14"/>
      <c r="N327" s="14"/>
      <c r="O327" s="14"/>
      <c r="P327" s="14"/>
      <c r="Q327" s="16"/>
      <c r="R327" s="14"/>
      <c r="Z327" s="16"/>
      <c r="AC327" s="14"/>
      <c r="AD327" s="14"/>
      <c r="AE327" s="14"/>
      <c r="AF327" s="14"/>
      <c r="AG327" s="14"/>
      <c r="AH327" s="14"/>
      <c r="AI327" s="14"/>
      <c r="AJ327" s="14"/>
      <c r="AK327" s="14"/>
      <c r="AL327" s="14"/>
      <c r="AS327" s="14"/>
      <c r="AT327" s="14"/>
      <c r="AU327" s="14"/>
      <c r="AV327" s="14"/>
      <c r="AW327" s="14"/>
      <c r="AX327" s="14"/>
      <c r="AY327" s="14"/>
      <c r="BA327" s="14"/>
      <c r="BE327" s="16"/>
      <c r="BH327" s="14"/>
      <c r="BI327" s="14"/>
      <c r="BJ327" s="14"/>
      <c r="BK327" s="14"/>
      <c r="BL327" s="14"/>
      <c r="BM327" s="14"/>
      <c r="BN327" s="14"/>
      <c r="BO327" s="14"/>
      <c r="BP327" s="14"/>
      <c r="BQ327" s="14"/>
      <c r="BX327" s="14"/>
      <c r="BY327" s="14"/>
      <c r="BZ327" s="14"/>
      <c r="CA327" s="14"/>
      <c r="CB327" s="14"/>
      <c r="CC327" s="14"/>
      <c r="CD327" s="14"/>
      <c r="CF327" s="14"/>
      <c r="CJ327" s="16"/>
      <c r="CM327" s="14"/>
      <c r="CN327" s="14"/>
      <c r="CO327" s="14"/>
      <c r="CP327" s="14"/>
      <c r="CQ327" s="14"/>
      <c r="CR327" s="14"/>
      <c r="CS327" s="14"/>
      <c r="CT327" s="14"/>
      <c r="CU327" s="14"/>
      <c r="CV327" s="14"/>
    </row>
    <row r="328" spans="1:100" x14ac:dyDescent="0.2">
      <c r="A328" s="14"/>
      <c r="B328" s="14"/>
      <c r="C328" s="14"/>
      <c r="D328" s="14"/>
      <c r="E328" s="14"/>
      <c r="F328" s="14"/>
      <c r="G328" s="14"/>
      <c r="H328" s="14"/>
      <c r="I328" s="14"/>
      <c r="J328" s="14"/>
      <c r="K328" s="14"/>
      <c r="L328" s="15"/>
      <c r="M328" s="14"/>
      <c r="N328" s="14"/>
      <c r="O328" s="14"/>
      <c r="P328" s="14"/>
      <c r="Q328" s="16"/>
      <c r="R328" s="14"/>
      <c r="Z328" s="16"/>
      <c r="AC328" s="14"/>
      <c r="AD328" s="14"/>
      <c r="AE328" s="14"/>
      <c r="AF328" s="14"/>
      <c r="AG328" s="14"/>
      <c r="AH328" s="14"/>
      <c r="AI328" s="14"/>
      <c r="AJ328" s="14"/>
      <c r="AK328" s="14"/>
      <c r="AL328" s="14"/>
      <c r="AS328" s="14"/>
      <c r="AT328" s="14"/>
      <c r="AU328" s="14"/>
      <c r="AV328" s="14"/>
      <c r="AW328" s="14"/>
      <c r="AX328" s="14"/>
      <c r="AY328" s="14"/>
      <c r="BA328" s="14"/>
      <c r="BE328" s="16"/>
      <c r="BH328" s="14"/>
      <c r="BI328" s="14"/>
      <c r="BJ328" s="14"/>
      <c r="BK328" s="14"/>
      <c r="BL328" s="14"/>
      <c r="BM328" s="14"/>
      <c r="BN328" s="14"/>
      <c r="BO328" s="14"/>
      <c r="BP328" s="14"/>
      <c r="BQ328" s="14"/>
      <c r="BX328" s="14"/>
      <c r="BY328" s="14"/>
      <c r="BZ328" s="14"/>
      <c r="CA328" s="14"/>
      <c r="CB328" s="14"/>
      <c r="CC328" s="14"/>
      <c r="CD328" s="14"/>
      <c r="CF328" s="14"/>
      <c r="CJ328" s="16"/>
      <c r="CM328" s="14"/>
      <c r="CN328" s="14"/>
      <c r="CO328" s="14"/>
      <c r="CP328" s="14"/>
      <c r="CQ328" s="14"/>
      <c r="CR328" s="14"/>
      <c r="CS328" s="14"/>
      <c r="CT328" s="14"/>
      <c r="CU328" s="14"/>
      <c r="CV328" s="14"/>
    </row>
    <row r="329" spans="1:100" x14ac:dyDescent="0.2">
      <c r="A329" s="14"/>
      <c r="B329" s="14"/>
      <c r="C329" s="14"/>
      <c r="D329" s="14"/>
      <c r="E329" s="14"/>
      <c r="F329" s="14"/>
      <c r="G329" s="14"/>
      <c r="H329" s="14"/>
      <c r="I329" s="14"/>
      <c r="J329" s="14"/>
      <c r="K329" s="14"/>
      <c r="L329" s="15"/>
      <c r="M329" s="14"/>
      <c r="N329" s="14"/>
      <c r="O329" s="14"/>
      <c r="P329" s="14"/>
      <c r="Q329" s="16"/>
      <c r="R329" s="14"/>
      <c r="Z329" s="16"/>
      <c r="AC329" s="14"/>
      <c r="AD329" s="14"/>
      <c r="AE329" s="14"/>
      <c r="AF329" s="14"/>
      <c r="AG329" s="14"/>
      <c r="AH329" s="14"/>
      <c r="AI329" s="14"/>
      <c r="AJ329" s="14"/>
      <c r="AK329" s="14"/>
      <c r="AL329" s="14"/>
      <c r="AS329" s="14"/>
      <c r="AT329" s="14"/>
      <c r="AU329" s="14"/>
      <c r="AV329" s="14"/>
      <c r="AW329" s="14"/>
      <c r="AX329" s="14"/>
      <c r="AY329" s="14"/>
      <c r="BA329" s="14"/>
      <c r="BE329" s="16"/>
      <c r="BH329" s="14"/>
      <c r="BI329" s="14"/>
      <c r="BJ329" s="14"/>
      <c r="BK329" s="14"/>
      <c r="BL329" s="14"/>
      <c r="BM329" s="14"/>
      <c r="BN329" s="14"/>
      <c r="BO329" s="14"/>
      <c r="BP329" s="14"/>
      <c r="BQ329" s="14"/>
      <c r="BX329" s="14"/>
      <c r="BY329" s="14"/>
      <c r="BZ329" s="14"/>
      <c r="CA329" s="14"/>
      <c r="CB329" s="14"/>
      <c r="CC329" s="14"/>
      <c r="CD329" s="14"/>
      <c r="CF329" s="14"/>
      <c r="CJ329" s="16"/>
      <c r="CM329" s="14"/>
      <c r="CN329" s="14"/>
      <c r="CO329" s="14"/>
      <c r="CP329" s="14"/>
      <c r="CQ329" s="14"/>
      <c r="CR329" s="14"/>
      <c r="CS329" s="14"/>
      <c r="CT329" s="14"/>
      <c r="CU329" s="14"/>
      <c r="CV329" s="14"/>
    </row>
    <row r="330" spans="1:100" x14ac:dyDescent="0.2">
      <c r="A330" s="14"/>
      <c r="B330" s="14"/>
      <c r="C330" s="14"/>
      <c r="D330" s="14"/>
      <c r="E330" s="14"/>
      <c r="F330" s="14"/>
      <c r="G330" s="14"/>
      <c r="H330" s="14"/>
      <c r="I330" s="14"/>
      <c r="J330" s="14"/>
      <c r="K330" s="14"/>
      <c r="L330" s="15"/>
      <c r="M330" s="14"/>
      <c r="N330" s="14"/>
      <c r="O330" s="14"/>
      <c r="P330" s="14"/>
      <c r="Q330" s="16"/>
      <c r="R330" s="14"/>
      <c r="Z330" s="16"/>
      <c r="AC330" s="14"/>
      <c r="AD330" s="14"/>
      <c r="AE330" s="14"/>
      <c r="AF330" s="14"/>
      <c r="AG330" s="14"/>
      <c r="AH330" s="14"/>
      <c r="AI330" s="14"/>
      <c r="AJ330" s="14"/>
      <c r="AK330" s="14"/>
      <c r="AL330" s="14"/>
      <c r="AS330" s="14"/>
      <c r="AT330" s="14"/>
      <c r="AU330" s="14"/>
      <c r="AV330" s="14"/>
      <c r="AW330" s="14"/>
      <c r="AX330" s="14"/>
      <c r="AY330" s="14"/>
      <c r="BA330" s="14"/>
      <c r="BE330" s="16"/>
      <c r="BH330" s="14"/>
      <c r="BI330" s="14"/>
      <c r="BJ330" s="14"/>
      <c r="BK330" s="14"/>
      <c r="BL330" s="14"/>
      <c r="BM330" s="14"/>
      <c r="BN330" s="14"/>
      <c r="BO330" s="14"/>
      <c r="BP330" s="14"/>
      <c r="BQ330" s="14"/>
      <c r="BX330" s="14"/>
      <c r="BY330" s="14"/>
      <c r="BZ330" s="14"/>
      <c r="CA330" s="14"/>
      <c r="CB330" s="14"/>
      <c r="CC330" s="14"/>
      <c r="CD330" s="14"/>
      <c r="CF330" s="14"/>
      <c r="CJ330" s="16"/>
      <c r="CM330" s="14"/>
      <c r="CN330" s="14"/>
      <c r="CO330" s="14"/>
      <c r="CP330" s="14"/>
      <c r="CQ330" s="14"/>
      <c r="CR330" s="14"/>
      <c r="CS330" s="14"/>
      <c r="CT330" s="14"/>
      <c r="CU330" s="14"/>
      <c r="CV330" s="14"/>
    </row>
    <row r="331" spans="1:100" x14ac:dyDescent="0.2">
      <c r="A331" s="14"/>
      <c r="B331" s="14"/>
      <c r="C331" s="14"/>
      <c r="D331" s="14"/>
      <c r="E331" s="14"/>
      <c r="F331" s="14"/>
      <c r="G331" s="14"/>
      <c r="H331" s="14"/>
      <c r="I331" s="14"/>
      <c r="J331" s="14"/>
      <c r="K331" s="14"/>
      <c r="L331" s="15"/>
      <c r="M331" s="14"/>
      <c r="N331" s="14"/>
      <c r="O331" s="14"/>
      <c r="P331" s="14"/>
      <c r="Q331" s="16"/>
      <c r="R331" s="14"/>
      <c r="Z331" s="16"/>
      <c r="AC331" s="14"/>
      <c r="AD331" s="14"/>
      <c r="AE331" s="14"/>
      <c r="AF331" s="14"/>
      <c r="AG331" s="14"/>
      <c r="AH331" s="14"/>
      <c r="AI331" s="14"/>
      <c r="AJ331" s="14"/>
      <c r="AK331" s="14"/>
      <c r="AL331" s="14"/>
      <c r="AS331" s="14"/>
      <c r="AT331" s="14"/>
      <c r="AU331" s="14"/>
      <c r="AV331" s="14"/>
      <c r="AW331" s="14"/>
      <c r="AX331" s="14"/>
      <c r="AY331" s="14"/>
      <c r="BA331" s="14"/>
      <c r="BE331" s="16"/>
      <c r="BH331" s="14"/>
      <c r="BI331" s="14"/>
      <c r="BJ331" s="14"/>
      <c r="BK331" s="14"/>
      <c r="BL331" s="14"/>
      <c r="BM331" s="14"/>
      <c r="BN331" s="14"/>
      <c r="BO331" s="14"/>
      <c r="BP331" s="14"/>
      <c r="BQ331" s="14"/>
      <c r="BX331" s="14"/>
      <c r="BY331" s="14"/>
      <c r="BZ331" s="14"/>
      <c r="CA331" s="14"/>
      <c r="CB331" s="14"/>
      <c r="CC331" s="14"/>
      <c r="CD331" s="14"/>
      <c r="CF331" s="14"/>
      <c r="CJ331" s="16"/>
      <c r="CM331" s="14"/>
      <c r="CN331" s="14"/>
      <c r="CO331" s="14"/>
      <c r="CP331" s="14"/>
      <c r="CQ331" s="14"/>
      <c r="CR331" s="14"/>
      <c r="CS331" s="14"/>
      <c r="CT331" s="14"/>
      <c r="CU331" s="14"/>
      <c r="CV331" s="14"/>
    </row>
    <row r="332" spans="1:100" x14ac:dyDescent="0.2">
      <c r="A332" s="14"/>
      <c r="B332" s="14"/>
      <c r="C332" s="14"/>
      <c r="D332" s="14"/>
      <c r="E332" s="14"/>
      <c r="F332" s="14"/>
      <c r="G332" s="14"/>
      <c r="H332" s="14"/>
      <c r="I332" s="14"/>
      <c r="J332" s="14"/>
      <c r="K332" s="14"/>
      <c r="L332" s="15"/>
      <c r="M332" s="14"/>
      <c r="N332" s="14"/>
      <c r="O332" s="14"/>
      <c r="P332" s="14"/>
      <c r="Q332" s="16"/>
      <c r="R332" s="14"/>
      <c r="Z332" s="16"/>
      <c r="AC332" s="14"/>
      <c r="AD332" s="14"/>
      <c r="AE332" s="14"/>
      <c r="AF332" s="14"/>
      <c r="AG332" s="14"/>
      <c r="AH332" s="14"/>
      <c r="AI332" s="14"/>
      <c r="AJ332" s="14"/>
      <c r="AK332" s="14"/>
      <c r="AL332" s="14"/>
      <c r="AS332" s="14"/>
      <c r="AT332" s="14"/>
      <c r="AU332" s="14"/>
      <c r="AV332" s="14"/>
      <c r="AW332" s="14"/>
      <c r="AX332" s="14"/>
      <c r="AY332" s="14"/>
      <c r="BA332" s="14"/>
      <c r="BE332" s="16"/>
      <c r="BH332" s="14"/>
      <c r="BI332" s="14"/>
      <c r="BJ332" s="14"/>
      <c r="BK332" s="14"/>
      <c r="BL332" s="14"/>
      <c r="BM332" s="14"/>
      <c r="BN332" s="14"/>
      <c r="BO332" s="14"/>
      <c r="BP332" s="14"/>
      <c r="BQ332" s="14"/>
      <c r="BX332" s="14"/>
      <c r="BY332" s="14"/>
      <c r="BZ332" s="14"/>
      <c r="CA332" s="14"/>
      <c r="CB332" s="14"/>
      <c r="CC332" s="14"/>
      <c r="CD332" s="14"/>
      <c r="CF332" s="14"/>
      <c r="CJ332" s="16"/>
      <c r="CM332" s="14"/>
      <c r="CN332" s="14"/>
      <c r="CO332" s="14"/>
      <c r="CP332" s="14"/>
      <c r="CQ332" s="14"/>
      <c r="CR332" s="14"/>
      <c r="CS332" s="14"/>
      <c r="CT332" s="14"/>
      <c r="CU332" s="14"/>
      <c r="CV332" s="14"/>
    </row>
    <row r="333" spans="1:100" x14ac:dyDescent="0.2">
      <c r="A333" s="14"/>
      <c r="B333" s="14"/>
      <c r="C333" s="14"/>
      <c r="D333" s="14"/>
      <c r="E333" s="14"/>
      <c r="F333" s="14"/>
      <c r="G333" s="14"/>
      <c r="H333" s="14"/>
      <c r="I333" s="14"/>
      <c r="J333" s="14"/>
      <c r="K333" s="14"/>
      <c r="L333" s="15"/>
      <c r="M333" s="14"/>
      <c r="N333" s="14"/>
      <c r="O333" s="14"/>
      <c r="P333" s="14"/>
      <c r="Q333" s="16"/>
      <c r="R333" s="14"/>
      <c r="Z333" s="16"/>
      <c r="AC333" s="14"/>
      <c r="AD333" s="14"/>
      <c r="AE333" s="14"/>
      <c r="AF333" s="14"/>
      <c r="AG333" s="14"/>
      <c r="AH333" s="14"/>
      <c r="AI333" s="14"/>
      <c r="AJ333" s="14"/>
      <c r="AK333" s="14"/>
      <c r="AL333" s="14"/>
      <c r="AS333" s="14"/>
      <c r="AT333" s="14"/>
      <c r="AU333" s="14"/>
      <c r="AV333" s="14"/>
      <c r="AW333" s="14"/>
      <c r="AX333" s="14"/>
      <c r="AY333" s="14"/>
      <c r="BA333" s="14"/>
      <c r="BE333" s="16"/>
      <c r="BH333" s="14"/>
      <c r="BI333" s="14"/>
      <c r="BJ333" s="14"/>
      <c r="BK333" s="14"/>
      <c r="BL333" s="14"/>
      <c r="BM333" s="14"/>
      <c r="BN333" s="14"/>
      <c r="BO333" s="14"/>
      <c r="BP333" s="14"/>
      <c r="BQ333" s="14"/>
      <c r="BX333" s="14"/>
      <c r="BY333" s="14"/>
      <c r="BZ333" s="14"/>
      <c r="CA333" s="14"/>
      <c r="CB333" s="14"/>
      <c r="CC333" s="14"/>
      <c r="CD333" s="14"/>
      <c r="CF333" s="14"/>
      <c r="CJ333" s="16"/>
      <c r="CM333" s="14"/>
      <c r="CN333" s="14"/>
      <c r="CO333" s="14"/>
      <c r="CP333" s="14"/>
      <c r="CQ333" s="14"/>
      <c r="CR333" s="14"/>
      <c r="CS333" s="14"/>
      <c r="CT333" s="14"/>
      <c r="CU333" s="14"/>
      <c r="CV333" s="14"/>
    </row>
    <row r="334" spans="1:100" x14ac:dyDescent="0.2">
      <c r="A334" s="14"/>
      <c r="B334" s="14"/>
      <c r="C334" s="14"/>
      <c r="D334" s="14"/>
      <c r="E334" s="14"/>
      <c r="F334" s="14"/>
      <c r="G334" s="14"/>
      <c r="H334" s="14"/>
      <c r="I334" s="14"/>
      <c r="J334" s="14"/>
      <c r="K334" s="14"/>
      <c r="L334" s="15"/>
      <c r="M334" s="14"/>
      <c r="N334" s="14"/>
      <c r="O334" s="14"/>
      <c r="P334" s="14"/>
      <c r="Q334" s="16"/>
      <c r="R334" s="14"/>
      <c r="Z334" s="16"/>
      <c r="AC334" s="14"/>
      <c r="AD334" s="14"/>
      <c r="AE334" s="14"/>
      <c r="AF334" s="14"/>
      <c r="AG334" s="14"/>
      <c r="AH334" s="14"/>
      <c r="AI334" s="14"/>
      <c r="AJ334" s="14"/>
      <c r="AK334" s="14"/>
      <c r="AL334" s="14"/>
      <c r="AS334" s="14"/>
      <c r="AT334" s="14"/>
      <c r="AU334" s="14"/>
      <c r="AV334" s="14"/>
      <c r="AW334" s="14"/>
      <c r="AX334" s="14"/>
      <c r="AY334" s="14"/>
      <c r="BA334" s="14"/>
      <c r="BE334" s="16"/>
      <c r="BH334" s="14"/>
      <c r="BI334" s="14"/>
      <c r="BJ334" s="14"/>
      <c r="BK334" s="14"/>
      <c r="BL334" s="14"/>
      <c r="BM334" s="14"/>
      <c r="BN334" s="14"/>
      <c r="BO334" s="14"/>
      <c r="BP334" s="14"/>
      <c r="BQ334" s="14"/>
      <c r="BX334" s="14"/>
      <c r="BY334" s="14"/>
      <c r="BZ334" s="14"/>
      <c r="CA334" s="14"/>
      <c r="CB334" s="14"/>
      <c r="CC334" s="14"/>
      <c r="CD334" s="14"/>
      <c r="CF334" s="14"/>
      <c r="CJ334" s="16"/>
      <c r="CM334" s="14"/>
      <c r="CN334" s="14"/>
      <c r="CO334" s="14"/>
      <c r="CP334" s="14"/>
      <c r="CQ334" s="14"/>
      <c r="CR334" s="14"/>
      <c r="CS334" s="14"/>
      <c r="CT334" s="14"/>
      <c r="CU334" s="14"/>
      <c r="CV334" s="14"/>
    </row>
    <row r="335" spans="1:100" x14ac:dyDescent="0.2">
      <c r="A335" s="14"/>
      <c r="B335" s="14"/>
      <c r="C335" s="14"/>
      <c r="D335" s="14"/>
      <c r="E335" s="14"/>
      <c r="F335" s="14"/>
      <c r="G335" s="14"/>
      <c r="H335" s="14"/>
      <c r="I335" s="14"/>
      <c r="J335" s="14"/>
      <c r="K335" s="14"/>
      <c r="L335" s="15"/>
      <c r="M335" s="14"/>
      <c r="N335" s="14"/>
      <c r="O335" s="14"/>
      <c r="P335" s="14"/>
      <c r="Q335" s="16"/>
      <c r="R335" s="14"/>
      <c r="Z335" s="16"/>
      <c r="AC335" s="14"/>
      <c r="AD335" s="14"/>
      <c r="AE335" s="14"/>
      <c r="AF335" s="14"/>
      <c r="AG335" s="14"/>
      <c r="AH335" s="14"/>
      <c r="AI335" s="14"/>
      <c r="AJ335" s="14"/>
      <c r="AK335" s="14"/>
      <c r="AL335" s="14"/>
      <c r="AS335" s="14"/>
      <c r="AT335" s="14"/>
      <c r="AU335" s="14"/>
      <c r="AV335" s="14"/>
      <c r="AW335" s="14"/>
      <c r="AX335" s="14"/>
      <c r="AY335" s="14"/>
      <c r="BA335" s="14"/>
      <c r="BE335" s="16"/>
      <c r="BH335" s="14"/>
      <c r="BI335" s="14"/>
      <c r="BJ335" s="14"/>
      <c r="BK335" s="14"/>
      <c r="BL335" s="14"/>
      <c r="BM335" s="14"/>
      <c r="BN335" s="14"/>
      <c r="BO335" s="14"/>
      <c r="BP335" s="14"/>
      <c r="BQ335" s="14"/>
      <c r="BX335" s="14"/>
      <c r="BY335" s="14"/>
      <c r="BZ335" s="14"/>
      <c r="CA335" s="14"/>
      <c r="CB335" s="14"/>
      <c r="CC335" s="14"/>
      <c r="CD335" s="14"/>
      <c r="CF335" s="14"/>
      <c r="CJ335" s="16"/>
      <c r="CM335" s="14"/>
      <c r="CN335" s="14"/>
      <c r="CO335" s="14"/>
      <c r="CP335" s="14"/>
      <c r="CQ335" s="14"/>
      <c r="CR335" s="14"/>
      <c r="CS335" s="14"/>
      <c r="CT335" s="14"/>
      <c r="CU335" s="14"/>
      <c r="CV335" s="14"/>
    </row>
    <row r="336" spans="1:100" x14ac:dyDescent="0.2">
      <c r="A336" s="14"/>
      <c r="B336" s="14"/>
      <c r="C336" s="14"/>
      <c r="D336" s="14"/>
      <c r="E336" s="14"/>
      <c r="F336" s="14"/>
      <c r="G336" s="14"/>
      <c r="H336" s="14"/>
      <c r="I336" s="14"/>
      <c r="J336" s="14"/>
      <c r="K336" s="14"/>
      <c r="L336" s="15"/>
      <c r="M336" s="14"/>
      <c r="N336" s="14"/>
      <c r="O336" s="14"/>
      <c r="P336" s="14"/>
      <c r="Q336" s="16"/>
      <c r="R336" s="14"/>
      <c r="Z336" s="16"/>
      <c r="AC336" s="14"/>
      <c r="AD336" s="14"/>
      <c r="AE336" s="14"/>
      <c r="AF336" s="14"/>
      <c r="AG336" s="14"/>
      <c r="AH336" s="14"/>
      <c r="AI336" s="14"/>
      <c r="AJ336" s="14"/>
      <c r="AK336" s="14"/>
      <c r="AL336" s="14"/>
      <c r="AS336" s="14"/>
      <c r="AT336" s="14"/>
      <c r="AU336" s="14"/>
      <c r="AV336" s="14"/>
      <c r="AW336" s="14"/>
      <c r="AX336" s="14"/>
      <c r="AY336" s="14"/>
      <c r="BA336" s="14"/>
      <c r="BE336" s="16"/>
      <c r="BH336" s="14"/>
      <c r="BI336" s="14"/>
      <c r="BJ336" s="14"/>
      <c r="BK336" s="14"/>
      <c r="BL336" s="14"/>
      <c r="BM336" s="14"/>
      <c r="BN336" s="14"/>
      <c r="BO336" s="14"/>
      <c r="BP336" s="14"/>
      <c r="BQ336" s="14"/>
      <c r="BX336" s="14"/>
      <c r="BY336" s="14"/>
      <c r="BZ336" s="14"/>
      <c r="CA336" s="14"/>
      <c r="CB336" s="14"/>
      <c r="CC336" s="14"/>
      <c r="CD336" s="14"/>
      <c r="CF336" s="14"/>
      <c r="CJ336" s="16"/>
      <c r="CM336" s="14"/>
      <c r="CN336" s="14"/>
      <c r="CO336" s="14"/>
      <c r="CP336" s="14"/>
      <c r="CQ336" s="14"/>
      <c r="CR336" s="14"/>
      <c r="CS336" s="14"/>
      <c r="CT336" s="14"/>
      <c r="CU336" s="14"/>
      <c r="CV336" s="14"/>
    </row>
    <row r="337" spans="1:100" x14ac:dyDescent="0.2">
      <c r="A337" s="14"/>
      <c r="B337" s="14"/>
      <c r="C337" s="14"/>
      <c r="D337" s="14"/>
      <c r="E337" s="14"/>
      <c r="F337" s="14"/>
      <c r="G337" s="14"/>
      <c r="H337" s="14"/>
      <c r="I337" s="14"/>
      <c r="J337" s="14"/>
      <c r="K337" s="14"/>
      <c r="L337" s="15"/>
      <c r="M337" s="14"/>
      <c r="N337" s="14"/>
      <c r="O337" s="14"/>
      <c r="P337" s="14"/>
      <c r="Q337" s="16"/>
      <c r="R337" s="14"/>
      <c r="Z337" s="16"/>
      <c r="AC337" s="14"/>
      <c r="AD337" s="14"/>
      <c r="AE337" s="14"/>
      <c r="AF337" s="14"/>
      <c r="AG337" s="14"/>
      <c r="AH337" s="14"/>
      <c r="AI337" s="14"/>
      <c r="AJ337" s="14"/>
      <c r="AK337" s="14"/>
      <c r="AL337" s="14"/>
      <c r="AS337" s="14"/>
      <c r="AT337" s="14"/>
      <c r="AU337" s="14"/>
      <c r="AV337" s="14"/>
      <c r="AW337" s="14"/>
      <c r="AX337" s="14"/>
      <c r="AY337" s="14"/>
      <c r="BA337" s="14"/>
      <c r="BE337" s="16"/>
      <c r="BH337" s="14"/>
      <c r="BI337" s="14"/>
      <c r="BJ337" s="14"/>
      <c r="BK337" s="14"/>
      <c r="BL337" s="14"/>
      <c r="BM337" s="14"/>
      <c r="BN337" s="14"/>
      <c r="BO337" s="14"/>
      <c r="BP337" s="14"/>
      <c r="BQ337" s="14"/>
      <c r="BX337" s="14"/>
      <c r="BY337" s="14"/>
      <c r="BZ337" s="14"/>
      <c r="CA337" s="14"/>
      <c r="CB337" s="14"/>
      <c r="CC337" s="14"/>
      <c r="CD337" s="14"/>
      <c r="CF337" s="14"/>
      <c r="CJ337" s="16"/>
      <c r="CM337" s="14"/>
      <c r="CN337" s="14"/>
      <c r="CO337" s="14"/>
      <c r="CP337" s="14"/>
      <c r="CQ337" s="14"/>
      <c r="CR337" s="14"/>
      <c r="CS337" s="14"/>
      <c r="CT337" s="14"/>
      <c r="CU337" s="14"/>
      <c r="CV337" s="14"/>
    </row>
    <row r="338" spans="1:100" x14ac:dyDescent="0.2">
      <c r="A338" s="14"/>
      <c r="B338" s="14"/>
      <c r="C338" s="14"/>
      <c r="D338" s="14"/>
      <c r="E338" s="14"/>
      <c r="F338" s="14"/>
      <c r="G338" s="14"/>
      <c r="H338" s="14"/>
      <c r="I338" s="14"/>
      <c r="J338" s="14"/>
      <c r="K338" s="14"/>
      <c r="L338" s="15"/>
      <c r="M338" s="14"/>
      <c r="N338" s="14"/>
      <c r="O338" s="14"/>
      <c r="P338" s="14"/>
      <c r="Q338" s="16"/>
      <c r="R338" s="14"/>
      <c r="Z338" s="16"/>
      <c r="AC338" s="14"/>
      <c r="AD338" s="14"/>
      <c r="AE338" s="14"/>
      <c r="AF338" s="14"/>
      <c r="AG338" s="14"/>
      <c r="AH338" s="14"/>
      <c r="AI338" s="14"/>
      <c r="AJ338" s="14"/>
      <c r="AK338" s="14"/>
      <c r="AL338" s="14"/>
      <c r="AS338" s="14"/>
      <c r="AT338" s="14"/>
      <c r="AU338" s="14"/>
      <c r="AV338" s="14"/>
      <c r="AW338" s="14"/>
      <c r="AX338" s="14"/>
      <c r="AY338" s="14"/>
      <c r="BA338" s="14"/>
      <c r="BE338" s="16"/>
      <c r="BH338" s="14"/>
      <c r="BI338" s="14"/>
      <c r="BJ338" s="14"/>
      <c r="BK338" s="14"/>
      <c r="BL338" s="14"/>
      <c r="BM338" s="14"/>
      <c r="BN338" s="14"/>
      <c r="BO338" s="14"/>
      <c r="BP338" s="14"/>
      <c r="BQ338" s="14"/>
      <c r="BX338" s="14"/>
      <c r="BY338" s="14"/>
      <c r="BZ338" s="14"/>
      <c r="CA338" s="14"/>
      <c r="CB338" s="14"/>
      <c r="CC338" s="14"/>
      <c r="CD338" s="14"/>
      <c r="CF338" s="14"/>
      <c r="CJ338" s="16"/>
      <c r="CM338" s="14"/>
      <c r="CN338" s="14"/>
      <c r="CO338" s="14"/>
      <c r="CP338" s="14"/>
      <c r="CQ338" s="14"/>
      <c r="CR338" s="14"/>
      <c r="CS338" s="14"/>
      <c r="CT338" s="14"/>
      <c r="CU338" s="14"/>
      <c r="CV338" s="14"/>
    </row>
    <row r="339" spans="1:100" x14ac:dyDescent="0.2">
      <c r="A339" s="14"/>
      <c r="B339" s="14"/>
      <c r="C339" s="14"/>
      <c r="D339" s="14"/>
      <c r="E339" s="14"/>
      <c r="F339" s="14"/>
      <c r="G339" s="14"/>
      <c r="H339" s="14"/>
      <c r="I339" s="14"/>
      <c r="J339" s="14"/>
      <c r="K339" s="14"/>
      <c r="L339" s="15"/>
      <c r="M339" s="14"/>
      <c r="N339" s="14"/>
      <c r="O339" s="14"/>
      <c r="P339" s="14"/>
      <c r="Q339" s="16"/>
      <c r="R339" s="14"/>
      <c r="Z339" s="16"/>
      <c r="AC339" s="14"/>
      <c r="AD339" s="14"/>
      <c r="AE339" s="14"/>
      <c r="AF339" s="14"/>
      <c r="AG339" s="14"/>
      <c r="AH339" s="14"/>
      <c r="AI339" s="14"/>
      <c r="AJ339" s="14"/>
      <c r="AK339" s="14"/>
      <c r="AL339" s="14"/>
      <c r="AS339" s="14"/>
      <c r="AT339" s="14"/>
      <c r="AU339" s="14"/>
      <c r="AV339" s="14"/>
      <c r="AW339" s="14"/>
      <c r="AX339" s="14"/>
      <c r="AY339" s="14"/>
      <c r="BA339" s="14"/>
      <c r="BE339" s="16"/>
      <c r="BH339" s="14"/>
      <c r="BI339" s="14"/>
      <c r="BJ339" s="14"/>
      <c r="BK339" s="14"/>
      <c r="BL339" s="14"/>
      <c r="BM339" s="14"/>
      <c r="BN339" s="14"/>
      <c r="BO339" s="14"/>
      <c r="BP339" s="14"/>
      <c r="BQ339" s="14"/>
      <c r="BX339" s="14"/>
      <c r="BY339" s="14"/>
      <c r="BZ339" s="14"/>
      <c r="CA339" s="14"/>
      <c r="CB339" s="14"/>
      <c r="CC339" s="14"/>
      <c r="CD339" s="14"/>
      <c r="CF339" s="14"/>
      <c r="CJ339" s="16"/>
      <c r="CM339" s="14"/>
      <c r="CN339" s="14"/>
      <c r="CO339" s="14"/>
      <c r="CP339" s="14"/>
      <c r="CQ339" s="14"/>
      <c r="CR339" s="14"/>
      <c r="CS339" s="14"/>
      <c r="CT339" s="14"/>
      <c r="CU339" s="14"/>
      <c r="CV339" s="14"/>
    </row>
    <row r="340" spans="1:100" x14ac:dyDescent="0.2">
      <c r="A340" s="14"/>
      <c r="B340" s="14"/>
      <c r="C340" s="14"/>
      <c r="D340" s="14"/>
      <c r="E340" s="14"/>
      <c r="F340" s="14"/>
      <c r="G340" s="14"/>
      <c r="H340" s="14"/>
      <c r="I340" s="14"/>
      <c r="J340" s="14"/>
      <c r="K340" s="14"/>
      <c r="L340" s="15"/>
      <c r="M340" s="14"/>
      <c r="N340" s="14"/>
      <c r="O340" s="14"/>
      <c r="P340" s="14"/>
      <c r="Q340" s="16"/>
      <c r="R340" s="14"/>
      <c r="Z340" s="16"/>
      <c r="AC340" s="14"/>
      <c r="AD340" s="14"/>
      <c r="AE340" s="14"/>
      <c r="AF340" s="14"/>
      <c r="AG340" s="14"/>
      <c r="AH340" s="14"/>
      <c r="AI340" s="14"/>
      <c r="AJ340" s="14"/>
      <c r="AK340" s="14"/>
      <c r="AL340" s="14"/>
      <c r="AS340" s="14"/>
      <c r="AT340" s="14"/>
      <c r="AU340" s="14"/>
      <c r="AV340" s="14"/>
      <c r="AW340" s="14"/>
      <c r="AX340" s="14"/>
      <c r="AY340" s="14"/>
      <c r="BA340" s="14"/>
      <c r="BE340" s="16"/>
      <c r="BH340" s="14"/>
      <c r="BI340" s="14"/>
      <c r="BJ340" s="14"/>
      <c r="BK340" s="14"/>
      <c r="BL340" s="14"/>
      <c r="BM340" s="14"/>
      <c r="BN340" s="14"/>
      <c r="BO340" s="14"/>
      <c r="BP340" s="14"/>
      <c r="BQ340" s="14"/>
      <c r="BX340" s="14"/>
      <c r="BY340" s="14"/>
      <c r="BZ340" s="14"/>
      <c r="CA340" s="14"/>
      <c r="CB340" s="14"/>
      <c r="CC340" s="14"/>
      <c r="CD340" s="14"/>
      <c r="CF340" s="14"/>
      <c r="CJ340" s="16"/>
      <c r="CM340" s="14"/>
      <c r="CN340" s="14"/>
      <c r="CO340" s="14"/>
      <c r="CP340" s="14"/>
      <c r="CQ340" s="14"/>
      <c r="CR340" s="14"/>
      <c r="CS340" s="14"/>
      <c r="CT340" s="14"/>
      <c r="CU340" s="14"/>
      <c r="CV340" s="14"/>
    </row>
    <row r="341" spans="1:100" x14ac:dyDescent="0.2">
      <c r="A341" s="14"/>
      <c r="B341" s="14"/>
      <c r="C341" s="14"/>
      <c r="D341" s="14"/>
      <c r="E341" s="14"/>
      <c r="F341" s="14"/>
      <c r="G341" s="14"/>
      <c r="H341" s="14"/>
      <c r="I341" s="14"/>
      <c r="J341" s="14"/>
      <c r="K341" s="14"/>
      <c r="L341" s="15"/>
      <c r="M341" s="14"/>
      <c r="N341" s="14"/>
      <c r="O341" s="14"/>
      <c r="P341" s="14"/>
      <c r="Q341" s="16"/>
      <c r="R341" s="14"/>
      <c r="Z341" s="16"/>
      <c r="AC341" s="14"/>
      <c r="AD341" s="14"/>
      <c r="AE341" s="14"/>
      <c r="AF341" s="14"/>
      <c r="AG341" s="14"/>
      <c r="AH341" s="14"/>
      <c r="AI341" s="14"/>
      <c r="AJ341" s="14"/>
      <c r="AK341" s="14"/>
      <c r="AL341" s="14"/>
      <c r="AS341" s="14"/>
      <c r="AT341" s="14"/>
      <c r="AU341" s="14"/>
      <c r="AV341" s="14"/>
      <c r="AW341" s="14"/>
      <c r="AX341" s="14"/>
      <c r="AY341" s="14"/>
      <c r="BA341" s="14"/>
      <c r="BE341" s="16"/>
      <c r="BH341" s="14"/>
      <c r="BI341" s="14"/>
      <c r="BJ341" s="14"/>
      <c r="BK341" s="14"/>
      <c r="BL341" s="14"/>
      <c r="BM341" s="14"/>
      <c r="BN341" s="14"/>
      <c r="BO341" s="14"/>
      <c r="BP341" s="14"/>
      <c r="BQ341" s="14"/>
      <c r="BX341" s="14"/>
      <c r="BY341" s="14"/>
      <c r="BZ341" s="14"/>
      <c r="CA341" s="14"/>
      <c r="CB341" s="14"/>
      <c r="CC341" s="14"/>
      <c r="CD341" s="14"/>
      <c r="CF341" s="14"/>
      <c r="CJ341" s="16"/>
      <c r="CM341" s="14"/>
      <c r="CN341" s="14"/>
      <c r="CO341" s="14"/>
      <c r="CP341" s="14"/>
      <c r="CQ341" s="14"/>
      <c r="CR341" s="14"/>
      <c r="CS341" s="14"/>
      <c r="CT341" s="14"/>
      <c r="CU341" s="14"/>
      <c r="CV341" s="14"/>
    </row>
    <row r="342" spans="1:100" x14ac:dyDescent="0.2">
      <c r="A342" s="14"/>
      <c r="B342" s="14"/>
      <c r="C342" s="14"/>
      <c r="D342" s="14"/>
      <c r="E342" s="14"/>
      <c r="F342" s="14"/>
      <c r="G342" s="14"/>
      <c r="H342" s="14"/>
      <c r="I342" s="14"/>
      <c r="J342" s="14"/>
      <c r="K342" s="14"/>
      <c r="L342" s="15"/>
      <c r="M342" s="14"/>
      <c r="N342" s="14"/>
      <c r="O342" s="14"/>
      <c r="P342" s="14"/>
      <c r="Q342" s="16"/>
      <c r="R342" s="14"/>
      <c r="Z342" s="16"/>
      <c r="AC342" s="14"/>
      <c r="AD342" s="14"/>
      <c r="AE342" s="14"/>
      <c r="AF342" s="14"/>
      <c r="AG342" s="14"/>
      <c r="AH342" s="14"/>
      <c r="AI342" s="14"/>
      <c r="AJ342" s="14"/>
      <c r="AK342" s="14"/>
      <c r="AL342" s="14"/>
      <c r="AS342" s="14"/>
      <c r="AT342" s="14"/>
      <c r="AU342" s="14"/>
      <c r="AV342" s="14"/>
      <c r="AW342" s="14"/>
      <c r="AX342" s="14"/>
      <c r="AY342" s="14"/>
      <c r="BA342" s="14"/>
      <c r="BE342" s="16"/>
      <c r="BH342" s="14"/>
      <c r="BI342" s="14"/>
      <c r="BJ342" s="14"/>
      <c r="BK342" s="14"/>
      <c r="BL342" s="14"/>
      <c r="BM342" s="14"/>
      <c r="BN342" s="14"/>
      <c r="BO342" s="14"/>
      <c r="BP342" s="14"/>
      <c r="BQ342" s="14"/>
      <c r="BX342" s="14"/>
      <c r="BY342" s="14"/>
      <c r="BZ342" s="14"/>
      <c r="CA342" s="14"/>
      <c r="CB342" s="14"/>
      <c r="CC342" s="14"/>
      <c r="CD342" s="14"/>
      <c r="CF342" s="14"/>
      <c r="CJ342" s="16"/>
      <c r="CM342" s="14"/>
      <c r="CN342" s="14"/>
      <c r="CO342" s="14"/>
      <c r="CP342" s="14"/>
      <c r="CQ342" s="14"/>
      <c r="CR342" s="14"/>
      <c r="CS342" s="14"/>
      <c r="CT342" s="14"/>
      <c r="CU342" s="14"/>
      <c r="CV342" s="14"/>
    </row>
    <row r="343" spans="1:100" x14ac:dyDescent="0.2">
      <c r="A343" s="14"/>
      <c r="B343" s="14"/>
      <c r="C343" s="14"/>
      <c r="D343" s="14"/>
      <c r="E343" s="14"/>
      <c r="F343" s="14"/>
      <c r="G343" s="14"/>
      <c r="H343" s="14"/>
      <c r="I343" s="14"/>
      <c r="J343" s="14"/>
      <c r="K343" s="14"/>
      <c r="L343" s="15"/>
      <c r="M343" s="14"/>
      <c r="N343" s="14"/>
      <c r="O343" s="14"/>
      <c r="P343" s="14"/>
      <c r="Q343" s="16"/>
      <c r="R343" s="14"/>
      <c r="Z343" s="16"/>
      <c r="AC343" s="14"/>
      <c r="AD343" s="14"/>
      <c r="AE343" s="14"/>
      <c r="AF343" s="14"/>
      <c r="AG343" s="14"/>
      <c r="AH343" s="14"/>
      <c r="AI343" s="14"/>
      <c r="AJ343" s="14"/>
      <c r="AK343" s="14"/>
      <c r="AL343" s="14"/>
      <c r="AS343" s="14"/>
      <c r="AT343" s="14"/>
      <c r="AU343" s="14"/>
      <c r="AV343" s="14"/>
      <c r="AW343" s="14"/>
      <c r="AX343" s="14"/>
      <c r="AY343" s="14"/>
      <c r="BA343" s="14"/>
      <c r="BE343" s="16"/>
      <c r="BH343" s="14"/>
      <c r="BI343" s="14"/>
      <c r="BJ343" s="14"/>
      <c r="BK343" s="14"/>
      <c r="BL343" s="14"/>
      <c r="BM343" s="14"/>
      <c r="BN343" s="14"/>
      <c r="BO343" s="14"/>
      <c r="BP343" s="14"/>
      <c r="BQ343" s="14"/>
      <c r="BX343" s="14"/>
      <c r="BY343" s="14"/>
      <c r="BZ343" s="14"/>
      <c r="CA343" s="14"/>
      <c r="CB343" s="14"/>
      <c r="CC343" s="14"/>
      <c r="CD343" s="14"/>
      <c r="CF343" s="14"/>
      <c r="CJ343" s="16"/>
      <c r="CM343" s="14"/>
      <c r="CN343" s="14"/>
      <c r="CO343" s="14"/>
      <c r="CP343" s="14"/>
      <c r="CQ343" s="14"/>
      <c r="CR343" s="14"/>
      <c r="CS343" s="14"/>
      <c r="CT343" s="14"/>
      <c r="CU343" s="14"/>
      <c r="CV343" s="14"/>
    </row>
    <row r="344" spans="1:100" x14ac:dyDescent="0.2">
      <c r="A344" s="14"/>
      <c r="B344" s="14"/>
      <c r="C344" s="14"/>
      <c r="D344" s="14"/>
      <c r="E344" s="14"/>
      <c r="F344" s="14"/>
      <c r="G344" s="14"/>
      <c r="H344" s="14"/>
      <c r="I344" s="14"/>
      <c r="J344" s="14"/>
      <c r="K344" s="14"/>
      <c r="L344" s="15"/>
      <c r="M344" s="14"/>
      <c r="N344" s="14"/>
      <c r="O344" s="14"/>
      <c r="P344" s="14"/>
      <c r="Q344" s="16"/>
      <c r="R344" s="14"/>
      <c r="Z344" s="16"/>
      <c r="AC344" s="14"/>
      <c r="AD344" s="14"/>
      <c r="AE344" s="14"/>
      <c r="AF344" s="14"/>
      <c r="AG344" s="14"/>
      <c r="AH344" s="14"/>
      <c r="AI344" s="14"/>
      <c r="AJ344" s="14"/>
      <c r="AK344" s="14"/>
      <c r="AL344" s="14"/>
      <c r="AS344" s="14"/>
      <c r="AT344" s="14"/>
      <c r="AU344" s="14"/>
      <c r="AV344" s="14"/>
      <c r="AW344" s="14"/>
      <c r="AX344" s="14"/>
      <c r="AY344" s="14"/>
      <c r="BA344" s="14"/>
      <c r="BE344" s="16"/>
      <c r="BH344" s="14"/>
      <c r="BI344" s="14"/>
      <c r="BJ344" s="14"/>
      <c r="BK344" s="14"/>
      <c r="BL344" s="14"/>
      <c r="BM344" s="14"/>
      <c r="BN344" s="14"/>
      <c r="BO344" s="14"/>
      <c r="BP344" s="14"/>
      <c r="BQ344" s="14"/>
      <c r="BX344" s="14"/>
      <c r="BY344" s="14"/>
      <c r="BZ344" s="14"/>
      <c r="CA344" s="14"/>
      <c r="CB344" s="14"/>
      <c r="CC344" s="14"/>
      <c r="CD344" s="14"/>
      <c r="CF344" s="14"/>
      <c r="CJ344" s="16"/>
      <c r="CM344" s="14"/>
      <c r="CN344" s="14"/>
      <c r="CO344" s="14"/>
      <c r="CP344" s="14"/>
      <c r="CQ344" s="14"/>
      <c r="CR344" s="14"/>
      <c r="CS344" s="14"/>
      <c r="CT344" s="14"/>
      <c r="CU344" s="14"/>
      <c r="CV344" s="14"/>
    </row>
    <row r="345" spans="1:100" x14ac:dyDescent="0.2">
      <c r="A345" s="14"/>
      <c r="B345" s="14"/>
      <c r="C345" s="14"/>
      <c r="D345" s="14"/>
      <c r="E345" s="14"/>
      <c r="F345" s="14"/>
      <c r="G345" s="14"/>
      <c r="H345" s="14"/>
      <c r="I345" s="14"/>
      <c r="J345" s="14"/>
      <c r="K345" s="14"/>
      <c r="L345" s="15"/>
      <c r="M345" s="14"/>
      <c r="N345" s="14"/>
      <c r="O345" s="14"/>
      <c r="P345" s="14"/>
      <c r="Q345" s="16"/>
      <c r="R345" s="14"/>
      <c r="Z345" s="16"/>
      <c r="AC345" s="14"/>
      <c r="AD345" s="14"/>
      <c r="AE345" s="14"/>
      <c r="AF345" s="14"/>
      <c r="AG345" s="14"/>
      <c r="AH345" s="14"/>
      <c r="AI345" s="14"/>
      <c r="AJ345" s="14"/>
      <c r="AK345" s="14"/>
      <c r="AL345" s="14"/>
      <c r="AS345" s="14"/>
      <c r="AT345" s="14"/>
      <c r="AU345" s="14"/>
      <c r="AV345" s="14"/>
      <c r="AW345" s="14"/>
      <c r="AX345" s="14"/>
      <c r="AY345" s="14"/>
      <c r="BA345" s="14"/>
      <c r="BE345" s="16"/>
      <c r="BH345" s="14"/>
      <c r="BI345" s="14"/>
      <c r="BJ345" s="14"/>
      <c r="BK345" s="14"/>
      <c r="BL345" s="14"/>
      <c r="BM345" s="14"/>
      <c r="BN345" s="14"/>
      <c r="BO345" s="14"/>
      <c r="BP345" s="14"/>
      <c r="BQ345" s="14"/>
      <c r="BX345" s="14"/>
      <c r="BY345" s="14"/>
      <c r="BZ345" s="14"/>
      <c r="CA345" s="14"/>
      <c r="CB345" s="14"/>
      <c r="CC345" s="14"/>
      <c r="CD345" s="14"/>
      <c r="CF345" s="14"/>
      <c r="CJ345" s="16"/>
      <c r="CM345" s="14"/>
      <c r="CN345" s="14"/>
      <c r="CO345" s="14"/>
      <c r="CP345" s="14"/>
      <c r="CQ345" s="14"/>
      <c r="CR345" s="14"/>
      <c r="CS345" s="14"/>
      <c r="CT345" s="14"/>
      <c r="CU345" s="14"/>
      <c r="CV345" s="14"/>
    </row>
    <row r="346" spans="1:100" x14ac:dyDescent="0.2">
      <c r="A346" s="14"/>
      <c r="B346" s="14"/>
      <c r="C346" s="14"/>
      <c r="D346" s="14"/>
      <c r="E346" s="14"/>
      <c r="F346" s="14"/>
      <c r="G346" s="14"/>
      <c r="H346" s="14"/>
      <c r="I346" s="14"/>
      <c r="J346" s="14"/>
      <c r="K346" s="14"/>
      <c r="L346" s="15"/>
      <c r="M346" s="14"/>
      <c r="N346" s="14"/>
      <c r="O346" s="14"/>
      <c r="P346" s="14"/>
      <c r="Q346" s="16"/>
      <c r="R346" s="14"/>
      <c r="Z346" s="16"/>
      <c r="AC346" s="14"/>
      <c r="AD346" s="14"/>
      <c r="AE346" s="14"/>
      <c r="AF346" s="14"/>
      <c r="AG346" s="14"/>
      <c r="AH346" s="14"/>
      <c r="AI346" s="14"/>
      <c r="AJ346" s="14"/>
      <c r="AK346" s="14"/>
      <c r="AL346" s="14"/>
      <c r="AS346" s="14"/>
      <c r="AT346" s="14"/>
      <c r="AU346" s="14"/>
      <c r="AV346" s="14"/>
      <c r="AW346" s="14"/>
      <c r="AX346" s="14"/>
      <c r="AY346" s="14"/>
      <c r="BA346" s="14"/>
      <c r="BE346" s="16"/>
      <c r="BH346" s="14"/>
      <c r="BI346" s="14"/>
      <c r="BJ346" s="14"/>
      <c r="BK346" s="14"/>
      <c r="BL346" s="14"/>
      <c r="BM346" s="14"/>
      <c r="BN346" s="14"/>
      <c r="BO346" s="14"/>
      <c r="BP346" s="14"/>
      <c r="BQ346" s="14"/>
      <c r="BX346" s="14"/>
      <c r="BY346" s="14"/>
      <c r="BZ346" s="14"/>
      <c r="CA346" s="14"/>
      <c r="CB346" s="14"/>
      <c r="CC346" s="14"/>
      <c r="CD346" s="14"/>
      <c r="CF346" s="14"/>
      <c r="CJ346" s="16"/>
      <c r="CM346" s="14"/>
      <c r="CN346" s="14"/>
      <c r="CO346" s="14"/>
      <c r="CP346" s="14"/>
      <c r="CQ346" s="14"/>
      <c r="CR346" s="14"/>
      <c r="CS346" s="14"/>
      <c r="CT346" s="14"/>
      <c r="CU346" s="14"/>
      <c r="CV346" s="14"/>
    </row>
    <row r="347" spans="1:100" x14ac:dyDescent="0.2">
      <c r="A347" s="14"/>
      <c r="B347" s="14"/>
      <c r="C347" s="14"/>
      <c r="D347" s="14"/>
      <c r="E347" s="14"/>
      <c r="F347" s="14"/>
      <c r="G347" s="14"/>
      <c r="H347" s="14"/>
      <c r="I347" s="14"/>
      <c r="J347" s="14"/>
      <c r="K347" s="14"/>
      <c r="L347" s="15"/>
      <c r="M347" s="14"/>
      <c r="N347" s="14"/>
      <c r="O347" s="14"/>
      <c r="P347" s="14"/>
      <c r="Q347" s="16"/>
      <c r="R347" s="14"/>
      <c r="Z347" s="16"/>
      <c r="AC347" s="14"/>
      <c r="AD347" s="14"/>
      <c r="AE347" s="14"/>
      <c r="AF347" s="14"/>
      <c r="AG347" s="14"/>
      <c r="AH347" s="14"/>
      <c r="AI347" s="14"/>
      <c r="AJ347" s="14"/>
      <c r="AK347" s="14"/>
      <c r="AL347" s="14"/>
      <c r="AS347" s="14"/>
      <c r="AT347" s="14"/>
      <c r="AU347" s="14"/>
      <c r="AV347" s="14"/>
      <c r="AW347" s="14"/>
      <c r="AX347" s="14"/>
      <c r="AY347" s="14"/>
      <c r="BA347" s="14"/>
      <c r="BE347" s="16"/>
      <c r="BH347" s="14"/>
      <c r="BI347" s="14"/>
      <c r="BJ347" s="14"/>
      <c r="BK347" s="14"/>
      <c r="BL347" s="14"/>
      <c r="BM347" s="14"/>
      <c r="BN347" s="14"/>
      <c r="BO347" s="14"/>
      <c r="BP347" s="14"/>
      <c r="BQ347" s="14"/>
      <c r="BX347" s="14"/>
      <c r="BY347" s="14"/>
      <c r="BZ347" s="14"/>
      <c r="CA347" s="14"/>
      <c r="CB347" s="14"/>
      <c r="CC347" s="14"/>
      <c r="CD347" s="14"/>
      <c r="CF347" s="14"/>
      <c r="CJ347" s="16"/>
      <c r="CM347" s="14"/>
      <c r="CN347" s="14"/>
      <c r="CO347" s="14"/>
      <c r="CP347" s="14"/>
      <c r="CQ347" s="14"/>
      <c r="CR347" s="14"/>
      <c r="CS347" s="14"/>
      <c r="CT347" s="14"/>
      <c r="CU347" s="14"/>
      <c r="CV347" s="14"/>
    </row>
    <row r="348" spans="1:100" x14ac:dyDescent="0.2">
      <c r="A348" s="14"/>
      <c r="B348" s="14"/>
      <c r="C348" s="14"/>
      <c r="D348" s="14"/>
      <c r="E348" s="14"/>
      <c r="F348" s="14"/>
      <c r="G348" s="14"/>
      <c r="H348" s="14"/>
      <c r="I348" s="14"/>
      <c r="J348" s="14"/>
      <c r="K348" s="14"/>
      <c r="L348" s="15"/>
      <c r="M348" s="14"/>
      <c r="N348" s="14"/>
      <c r="O348" s="14"/>
      <c r="P348" s="14"/>
      <c r="Q348" s="16"/>
      <c r="R348" s="14"/>
      <c r="Z348" s="16"/>
      <c r="AC348" s="14"/>
      <c r="AD348" s="14"/>
      <c r="AE348" s="14"/>
      <c r="AF348" s="14"/>
      <c r="AG348" s="14"/>
      <c r="AH348" s="14"/>
      <c r="AI348" s="14"/>
      <c r="AJ348" s="14"/>
      <c r="AK348" s="14"/>
      <c r="AL348" s="14"/>
      <c r="AS348" s="14"/>
      <c r="AT348" s="14"/>
      <c r="AU348" s="14"/>
      <c r="AV348" s="14"/>
      <c r="AW348" s="14"/>
      <c r="AX348" s="14"/>
      <c r="AY348" s="14"/>
      <c r="BA348" s="14"/>
      <c r="BE348" s="16"/>
      <c r="BH348" s="14"/>
      <c r="BI348" s="14"/>
      <c r="BJ348" s="14"/>
      <c r="BK348" s="14"/>
      <c r="BL348" s="14"/>
      <c r="BM348" s="14"/>
      <c r="BN348" s="14"/>
      <c r="BO348" s="14"/>
      <c r="BP348" s="14"/>
      <c r="BQ348" s="14"/>
      <c r="BX348" s="14"/>
      <c r="BY348" s="14"/>
      <c r="BZ348" s="14"/>
      <c r="CA348" s="14"/>
      <c r="CB348" s="14"/>
      <c r="CC348" s="14"/>
      <c r="CD348" s="14"/>
      <c r="CF348" s="14"/>
      <c r="CJ348" s="16"/>
      <c r="CM348" s="14"/>
      <c r="CN348" s="14"/>
      <c r="CO348" s="14"/>
      <c r="CP348" s="14"/>
      <c r="CQ348" s="14"/>
      <c r="CR348" s="14"/>
      <c r="CS348" s="14"/>
      <c r="CT348" s="14"/>
      <c r="CU348" s="14"/>
      <c r="CV348" s="14"/>
    </row>
    <row r="349" spans="1:100" x14ac:dyDescent="0.2">
      <c r="A349" s="14"/>
      <c r="B349" s="14"/>
      <c r="C349" s="14"/>
      <c r="D349" s="14"/>
      <c r="E349" s="14"/>
      <c r="F349" s="14"/>
      <c r="G349" s="14"/>
      <c r="H349" s="14"/>
      <c r="I349" s="14"/>
      <c r="J349" s="14"/>
      <c r="K349" s="14"/>
      <c r="L349" s="15"/>
      <c r="M349" s="14"/>
      <c r="N349" s="14"/>
      <c r="O349" s="14"/>
      <c r="P349" s="14"/>
      <c r="Q349" s="16"/>
      <c r="R349" s="14"/>
      <c r="Z349" s="16"/>
      <c r="AC349" s="14"/>
      <c r="AD349" s="14"/>
      <c r="AE349" s="14"/>
      <c r="AF349" s="14"/>
      <c r="AG349" s="14"/>
      <c r="AH349" s="14"/>
      <c r="AI349" s="14"/>
      <c r="AJ349" s="14"/>
      <c r="AK349" s="14"/>
      <c r="AL349" s="14"/>
      <c r="AS349" s="14"/>
      <c r="AT349" s="14"/>
      <c r="AU349" s="14"/>
      <c r="AV349" s="14"/>
      <c r="AW349" s="14"/>
      <c r="AX349" s="14"/>
      <c r="AY349" s="14"/>
      <c r="BA349" s="14"/>
      <c r="BE349" s="16"/>
      <c r="BH349" s="14"/>
      <c r="BI349" s="14"/>
      <c r="BJ349" s="14"/>
      <c r="BK349" s="14"/>
      <c r="BL349" s="14"/>
      <c r="BM349" s="14"/>
      <c r="BN349" s="14"/>
      <c r="BO349" s="14"/>
      <c r="BP349" s="14"/>
      <c r="BQ349" s="14"/>
      <c r="BX349" s="14"/>
      <c r="BY349" s="14"/>
      <c r="BZ349" s="14"/>
      <c r="CA349" s="14"/>
      <c r="CB349" s="14"/>
      <c r="CC349" s="14"/>
      <c r="CD349" s="14"/>
      <c r="CF349" s="14"/>
      <c r="CJ349" s="16"/>
      <c r="CM349" s="14"/>
      <c r="CN349" s="14"/>
      <c r="CO349" s="14"/>
      <c r="CP349" s="14"/>
      <c r="CQ349" s="14"/>
      <c r="CR349" s="14"/>
      <c r="CS349" s="14"/>
      <c r="CT349" s="14"/>
      <c r="CU349" s="14"/>
      <c r="CV349" s="14"/>
    </row>
    <row r="350" spans="1:100" x14ac:dyDescent="0.2">
      <c r="A350" s="14"/>
      <c r="B350" s="14"/>
      <c r="C350" s="14"/>
      <c r="D350" s="14"/>
      <c r="E350" s="14"/>
      <c r="F350" s="14"/>
      <c r="G350" s="14"/>
      <c r="H350" s="14"/>
      <c r="I350" s="14"/>
      <c r="J350" s="14"/>
      <c r="K350" s="14"/>
      <c r="L350" s="15"/>
      <c r="M350" s="14"/>
      <c r="N350" s="14"/>
      <c r="O350" s="14"/>
      <c r="P350" s="14"/>
      <c r="Q350" s="16"/>
      <c r="R350" s="14"/>
      <c r="Z350" s="16"/>
      <c r="AC350" s="14"/>
      <c r="AD350" s="14"/>
      <c r="AE350" s="14"/>
      <c r="AF350" s="14"/>
      <c r="AG350" s="14"/>
      <c r="AH350" s="14"/>
      <c r="AI350" s="14"/>
      <c r="AJ350" s="14"/>
      <c r="AK350" s="14"/>
      <c r="AL350" s="14"/>
      <c r="AS350" s="14"/>
      <c r="AT350" s="14"/>
      <c r="AU350" s="14"/>
      <c r="AV350" s="14"/>
      <c r="AW350" s="14"/>
      <c r="AX350" s="14"/>
      <c r="AY350" s="14"/>
      <c r="BA350" s="14"/>
      <c r="BE350" s="16"/>
      <c r="BH350" s="14"/>
      <c r="BI350" s="14"/>
      <c r="BJ350" s="14"/>
      <c r="BK350" s="14"/>
      <c r="BL350" s="14"/>
      <c r="BM350" s="14"/>
      <c r="BN350" s="14"/>
      <c r="BO350" s="14"/>
      <c r="BP350" s="14"/>
      <c r="BQ350" s="14"/>
      <c r="BX350" s="14"/>
      <c r="BY350" s="14"/>
      <c r="BZ350" s="14"/>
      <c r="CA350" s="14"/>
      <c r="CB350" s="14"/>
      <c r="CC350" s="14"/>
      <c r="CD350" s="14"/>
      <c r="CF350" s="14"/>
      <c r="CJ350" s="16"/>
      <c r="CM350" s="14"/>
      <c r="CN350" s="14"/>
      <c r="CO350" s="14"/>
      <c r="CP350" s="14"/>
      <c r="CQ350" s="14"/>
      <c r="CR350" s="14"/>
      <c r="CS350" s="14"/>
      <c r="CT350" s="14"/>
      <c r="CU350" s="14"/>
      <c r="CV350" s="14"/>
    </row>
    <row r="351" spans="1:100" x14ac:dyDescent="0.2">
      <c r="A351" s="14"/>
      <c r="B351" s="14"/>
      <c r="C351" s="14"/>
      <c r="D351" s="14"/>
      <c r="E351" s="14"/>
      <c r="F351" s="14"/>
      <c r="G351" s="14"/>
      <c r="H351" s="14"/>
      <c r="I351" s="14"/>
      <c r="J351" s="14"/>
      <c r="K351" s="14"/>
      <c r="L351" s="15"/>
      <c r="M351" s="14"/>
      <c r="N351" s="14"/>
      <c r="O351" s="14"/>
      <c r="P351" s="14"/>
      <c r="Q351" s="16"/>
      <c r="R351" s="14"/>
      <c r="Z351" s="16"/>
      <c r="AC351" s="14"/>
      <c r="AD351" s="14"/>
      <c r="AE351" s="14"/>
      <c r="AF351" s="14"/>
      <c r="AG351" s="14"/>
      <c r="AH351" s="14"/>
      <c r="AI351" s="14"/>
      <c r="AJ351" s="14"/>
      <c r="AK351" s="14"/>
      <c r="AL351" s="14"/>
      <c r="AS351" s="14"/>
      <c r="AT351" s="14"/>
      <c r="AU351" s="14"/>
      <c r="AV351" s="14"/>
      <c r="AW351" s="14"/>
      <c r="AX351" s="14"/>
      <c r="AY351" s="14"/>
      <c r="BA351" s="14"/>
      <c r="BE351" s="16"/>
      <c r="BH351" s="14"/>
      <c r="BI351" s="14"/>
      <c r="BJ351" s="14"/>
      <c r="BK351" s="14"/>
      <c r="BL351" s="14"/>
      <c r="BM351" s="14"/>
      <c r="BN351" s="14"/>
      <c r="BO351" s="14"/>
      <c r="BP351" s="14"/>
      <c r="BQ351" s="14"/>
      <c r="BX351" s="14"/>
      <c r="BY351" s="14"/>
      <c r="BZ351" s="14"/>
      <c r="CA351" s="14"/>
      <c r="CB351" s="14"/>
      <c r="CC351" s="14"/>
      <c r="CD351" s="14"/>
      <c r="CF351" s="14"/>
      <c r="CJ351" s="16"/>
      <c r="CM351" s="14"/>
      <c r="CN351" s="14"/>
      <c r="CO351" s="14"/>
      <c r="CP351" s="14"/>
      <c r="CQ351" s="14"/>
      <c r="CR351" s="14"/>
      <c r="CS351" s="14"/>
      <c r="CT351" s="14"/>
      <c r="CU351" s="14"/>
      <c r="CV351" s="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V351"/>
  <sheetViews>
    <sheetView workbookViewId="0">
      <selection activeCell="D28" sqref="D28"/>
    </sheetView>
  </sheetViews>
  <sheetFormatPr baseColWidth="10" defaultColWidth="9.140625" defaultRowHeight="12.75" x14ac:dyDescent="0.2"/>
  <cols>
    <col min="1" max="1" width="9.85546875" bestFit="1" customWidth="1"/>
    <col min="2" max="2" width="9.7109375" bestFit="1" customWidth="1"/>
    <col min="3" max="3" width="12" bestFit="1" customWidth="1"/>
    <col min="4" max="4" width="11" bestFit="1" customWidth="1"/>
    <col min="5" max="5" width="13" bestFit="1" customWidth="1"/>
    <col min="6" max="6" width="5" bestFit="1" customWidth="1"/>
    <col min="7" max="7" width="10.140625" bestFit="1" customWidth="1"/>
    <col min="8" max="8" width="6.85546875" bestFit="1" customWidth="1"/>
    <col min="9" max="9" width="10.28515625" bestFit="1" customWidth="1"/>
    <col min="10" max="10" width="10.7109375" bestFit="1" customWidth="1"/>
    <col min="11" max="11" width="9.140625" bestFit="1" customWidth="1"/>
    <col min="12" max="12" width="10.85546875" bestFit="1" customWidth="1"/>
    <col min="13" max="13" width="13.28515625" bestFit="1" customWidth="1"/>
    <col min="14" max="14" width="7.85546875" bestFit="1" customWidth="1"/>
    <col min="15" max="15" width="11.28515625" bestFit="1" customWidth="1"/>
    <col min="16" max="16" width="11.7109375" bestFit="1" customWidth="1"/>
    <col min="17" max="17" width="10.85546875" bestFit="1" customWidth="1"/>
    <col min="18" max="18" width="15.5703125" bestFit="1" customWidth="1"/>
    <col min="19" max="19" width="9" bestFit="1" customWidth="1"/>
    <col min="20" max="21" width="9.5703125" bestFit="1" customWidth="1"/>
    <col min="22" max="22" width="10.140625" bestFit="1" customWidth="1"/>
    <col min="23" max="23" width="12" bestFit="1" customWidth="1"/>
    <col min="24" max="24" width="12.5703125" bestFit="1" customWidth="1"/>
    <col min="25" max="25" width="9.7109375" bestFit="1" customWidth="1"/>
    <col min="26" max="26" width="19.5703125" bestFit="1" customWidth="1"/>
    <col min="27" max="27" width="13.7109375" bestFit="1" customWidth="1"/>
    <col min="28" max="28" width="17.85546875" bestFit="1" customWidth="1"/>
    <col min="29" max="29" width="13" bestFit="1" customWidth="1"/>
    <col min="30" max="30" width="10.140625" bestFit="1" customWidth="1"/>
    <col min="31" max="31" width="12" bestFit="1" customWidth="1"/>
    <col min="32" max="32" width="9.42578125" bestFit="1" customWidth="1"/>
    <col min="33" max="33" width="7.85546875" bestFit="1" customWidth="1"/>
    <col min="34" max="34" width="12.28515625" bestFit="1" customWidth="1"/>
    <col min="35" max="35" width="12.7109375" bestFit="1" customWidth="1"/>
    <col min="36" max="36" width="10.42578125" bestFit="1" customWidth="1"/>
    <col min="37" max="37" width="12.7109375" bestFit="1" customWidth="1"/>
    <col min="38" max="38" width="9.140625" bestFit="1" customWidth="1"/>
    <col min="39" max="39" width="9.42578125" bestFit="1" customWidth="1"/>
    <col min="40" max="40" width="11.42578125" bestFit="1" customWidth="1"/>
    <col min="41" max="41" width="11.28515625" bestFit="1" customWidth="1"/>
    <col min="42" max="42" width="11.42578125" bestFit="1" customWidth="1"/>
    <col min="43" max="43" width="20.5703125" bestFit="1" customWidth="1"/>
    <col min="44" max="44" width="12.85546875" bestFit="1" customWidth="1"/>
    <col min="45" max="45" width="14" bestFit="1" customWidth="1"/>
    <col min="46" max="46" width="12.140625" customWidth="1"/>
    <col min="47" max="47" width="13" bestFit="1" customWidth="1"/>
    <col min="48" max="48" width="11.42578125" bestFit="1" customWidth="1"/>
    <col min="49" max="49" width="8.85546875" bestFit="1" customWidth="1"/>
    <col min="50" max="50" width="12.28515625" bestFit="1" customWidth="1"/>
    <col min="51" max="51" width="12.7109375" bestFit="1" customWidth="1"/>
    <col min="52" max="52" width="13.85546875" bestFit="1" customWidth="1"/>
    <col min="53" max="53" width="12.7109375" bestFit="1" customWidth="1"/>
    <col min="54" max="54" width="12" bestFit="1" customWidth="1"/>
    <col min="55" max="55" width="12.5703125" bestFit="1" customWidth="1"/>
    <col min="56" max="56" width="11.7109375" bestFit="1" customWidth="1"/>
    <col min="57" max="57" width="19.5703125" bestFit="1" customWidth="1"/>
    <col min="58" max="58" width="15.85546875" bestFit="1" customWidth="1"/>
    <col min="59" max="59" width="20" bestFit="1" customWidth="1"/>
    <col min="60" max="60" width="14" bestFit="1" customWidth="1"/>
    <col min="61" max="61" width="12.140625" customWidth="1"/>
    <col min="62" max="62" width="13" bestFit="1" customWidth="1"/>
    <col min="63" max="63" width="11.42578125" bestFit="1" customWidth="1"/>
    <col min="64" max="64" width="8.85546875" bestFit="1" customWidth="1"/>
    <col min="65" max="65" width="12.28515625" bestFit="1" customWidth="1"/>
    <col min="66" max="66" width="12.7109375" bestFit="1" customWidth="1"/>
    <col min="67" max="67" width="12.42578125" bestFit="1" customWidth="1"/>
    <col min="68" max="68" width="12.7109375" bestFit="1" customWidth="1"/>
    <col min="69" max="69" width="11.140625" bestFit="1" customWidth="1"/>
    <col min="70" max="70" width="11.42578125" bestFit="1" customWidth="1"/>
    <col min="71" max="71" width="13.42578125" bestFit="1" customWidth="1"/>
    <col min="72" max="72" width="13.28515625" bestFit="1" customWidth="1"/>
    <col min="73" max="73" width="13.42578125" bestFit="1" customWidth="1"/>
    <col min="74" max="74" width="22.5703125" bestFit="1" customWidth="1"/>
    <col min="75" max="75" width="14.85546875" bestFit="1" customWidth="1"/>
    <col min="76" max="76" width="14" bestFit="1" customWidth="1"/>
    <col min="77" max="77" width="12.140625" customWidth="1"/>
    <col min="78" max="78" width="13" bestFit="1" customWidth="1"/>
    <col min="79" max="79" width="11.42578125" bestFit="1" customWidth="1"/>
    <col min="80" max="80" width="8.85546875" bestFit="1" customWidth="1"/>
    <col min="81" max="81" width="12.28515625" bestFit="1" customWidth="1"/>
    <col min="82" max="82" width="12.7109375" bestFit="1" customWidth="1"/>
    <col min="83" max="83" width="16" bestFit="1" customWidth="1"/>
    <col min="84" max="84" width="12.7109375" bestFit="1" customWidth="1"/>
    <col min="85" max="85" width="7.5703125" bestFit="1" customWidth="1"/>
    <col min="86" max="86" width="8.140625" bestFit="1" customWidth="1"/>
    <col min="87" max="87" width="11.7109375" bestFit="1" customWidth="1"/>
    <col min="88" max="88" width="12.85546875" bestFit="1" customWidth="1"/>
    <col min="89" max="89" width="15.85546875" bestFit="1" customWidth="1"/>
    <col min="90" max="90" width="20" bestFit="1" customWidth="1"/>
    <col min="91" max="91" width="14" bestFit="1" customWidth="1"/>
    <col min="92" max="92" width="12.140625" customWidth="1"/>
    <col min="93" max="93" width="13" bestFit="1" customWidth="1"/>
    <col min="94" max="94" width="11.42578125" bestFit="1" customWidth="1"/>
    <col min="95" max="95" width="8.85546875" bestFit="1" customWidth="1"/>
    <col min="96" max="96" width="12.28515625" bestFit="1" customWidth="1"/>
    <col min="97" max="97" width="12.7109375" bestFit="1" customWidth="1"/>
    <col min="98" max="98" width="12.42578125" bestFit="1" customWidth="1"/>
    <col min="99" max="99" width="12.7109375" bestFit="1" customWidth="1"/>
    <col min="100" max="100" width="11.140625" bestFit="1" customWidth="1"/>
    <col min="101" max="101" width="11.42578125" bestFit="1" customWidth="1"/>
    <col min="102" max="102" width="13.42578125" bestFit="1" customWidth="1"/>
    <col min="103" max="103" width="13.28515625" bestFit="1" customWidth="1"/>
    <col min="104" max="104" width="13.42578125" bestFit="1" customWidth="1"/>
    <col min="105" max="105" width="22.5703125" bestFit="1" customWidth="1"/>
    <col min="106" max="106" width="14.85546875" bestFit="1" customWidth="1"/>
  </cols>
  <sheetData>
    <row r="2" spans="1:100" x14ac:dyDescent="0.2">
      <c r="A2" s="14"/>
      <c r="B2" s="14"/>
      <c r="C2" s="14"/>
      <c r="D2" s="14"/>
      <c r="E2" s="14"/>
      <c r="F2" s="14"/>
      <c r="G2" s="14"/>
      <c r="H2" s="14"/>
      <c r="I2" s="14"/>
      <c r="J2" s="14"/>
      <c r="K2" s="14"/>
      <c r="L2" s="15"/>
      <c r="M2" s="14"/>
      <c r="N2" s="14"/>
      <c r="O2" s="14"/>
      <c r="P2" s="14"/>
      <c r="Q2" s="16"/>
      <c r="R2" s="14"/>
      <c r="Z2" s="16"/>
      <c r="AC2" s="14"/>
      <c r="AD2" s="14"/>
      <c r="AE2" s="14"/>
      <c r="AF2" s="14"/>
      <c r="AG2" s="14"/>
      <c r="AH2" s="14"/>
      <c r="AI2" s="14"/>
      <c r="AJ2" s="14"/>
      <c r="AK2" s="14"/>
      <c r="AL2" s="14"/>
      <c r="AS2" s="14"/>
      <c r="AT2" s="14"/>
      <c r="AU2" s="14"/>
      <c r="AV2" s="14"/>
      <c r="AW2" s="14"/>
      <c r="AX2" s="14"/>
      <c r="AY2" s="14"/>
      <c r="BA2" s="14"/>
      <c r="BE2" s="16"/>
      <c r="BH2" s="14"/>
      <c r="BI2" s="14"/>
      <c r="BJ2" s="14"/>
      <c r="BK2" s="14"/>
      <c r="BL2" s="14"/>
      <c r="BM2" s="14"/>
      <c r="BN2" s="14"/>
      <c r="BO2" s="14"/>
      <c r="BP2" s="14"/>
      <c r="BQ2" s="14"/>
      <c r="BX2" s="14"/>
      <c r="BY2" s="14"/>
      <c r="BZ2" s="14"/>
      <c r="CA2" s="14"/>
      <c r="CB2" s="14"/>
      <c r="CC2" s="14"/>
      <c r="CD2" s="14"/>
      <c r="CF2" s="14"/>
      <c r="CJ2" s="16"/>
      <c r="CM2" s="14"/>
      <c r="CN2" s="14"/>
      <c r="CO2" s="14"/>
      <c r="CP2" s="14"/>
      <c r="CQ2" s="14"/>
      <c r="CR2" s="14"/>
      <c r="CS2" s="14"/>
      <c r="CT2" s="14"/>
      <c r="CU2" s="14"/>
      <c r="CV2" s="14"/>
    </row>
    <row r="3" spans="1:100" x14ac:dyDescent="0.2">
      <c r="A3" s="14"/>
      <c r="B3" s="14"/>
      <c r="C3" s="14"/>
      <c r="D3" s="14"/>
      <c r="E3" s="14"/>
      <c r="F3" s="14"/>
      <c r="G3" s="14"/>
      <c r="H3" s="14"/>
      <c r="I3" s="14"/>
      <c r="J3" s="14"/>
      <c r="K3" s="14"/>
      <c r="L3" s="15"/>
      <c r="M3" s="14"/>
      <c r="N3" s="14"/>
      <c r="O3" s="14"/>
      <c r="P3" s="14"/>
      <c r="Q3" s="16"/>
      <c r="R3" s="14"/>
      <c r="Z3" s="16"/>
      <c r="AC3" s="14"/>
      <c r="AD3" s="14"/>
      <c r="AE3" s="14"/>
      <c r="AF3" s="14"/>
      <c r="AG3" s="14"/>
      <c r="AH3" s="14"/>
      <c r="AI3" s="14"/>
      <c r="AJ3" s="14"/>
      <c r="AK3" s="14"/>
      <c r="AL3" s="14"/>
      <c r="AS3" s="14"/>
      <c r="AT3" s="14"/>
      <c r="AU3" s="14"/>
      <c r="AV3" s="14"/>
      <c r="AW3" s="14"/>
      <c r="AX3" s="14"/>
      <c r="AY3" s="14"/>
      <c r="BA3" s="14"/>
      <c r="BE3" s="16"/>
      <c r="BH3" s="14"/>
      <c r="BI3" s="14"/>
      <c r="BJ3" s="14"/>
      <c r="BK3" s="14"/>
      <c r="BL3" s="14"/>
      <c r="BM3" s="14"/>
      <c r="BN3" s="14"/>
      <c r="BO3" s="14"/>
      <c r="BP3" s="14"/>
      <c r="BQ3" s="14"/>
      <c r="BX3" s="14"/>
      <c r="BY3" s="14"/>
      <c r="BZ3" s="14"/>
      <c r="CA3" s="14"/>
      <c r="CB3" s="14"/>
      <c r="CC3" s="14"/>
      <c r="CD3" s="14"/>
      <c r="CF3" s="14"/>
      <c r="CJ3" s="16"/>
      <c r="CM3" s="14"/>
      <c r="CN3" s="14"/>
      <c r="CO3" s="14"/>
      <c r="CP3" s="14"/>
      <c r="CQ3" s="14"/>
      <c r="CR3" s="14"/>
      <c r="CS3" s="14"/>
      <c r="CT3" s="14"/>
      <c r="CU3" s="14"/>
      <c r="CV3" s="14"/>
    </row>
    <row r="4" spans="1:100" x14ac:dyDescent="0.2">
      <c r="A4" s="14"/>
      <c r="B4" s="14"/>
      <c r="C4" s="14"/>
      <c r="D4" s="14"/>
      <c r="E4" s="14"/>
      <c r="F4" s="14"/>
      <c r="G4" s="14"/>
      <c r="H4" s="14"/>
      <c r="I4" s="14"/>
      <c r="J4" s="14"/>
      <c r="K4" s="14"/>
      <c r="L4" s="15"/>
      <c r="M4" s="14"/>
      <c r="N4" s="14"/>
      <c r="O4" s="14"/>
      <c r="P4" s="14"/>
      <c r="Q4" s="16"/>
      <c r="R4" s="14"/>
      <c r="Z4" s="16"/>
      <c r="AC4" s="14"/>
      <c r="AD4" s="14"/>
      <c r="AE4" s="14"/>
      <c r="AF4" s="14"/>
      <c r="AG4" s="14"/>
      <c r="AH4" s="14"/>
      <c r="AI4" s="14"/>
      <c r="AJ4" s="14"/>
      <c r="AK4" s="14"/>
      <c r="AL4" s="14"/>
      <c r="AS4" s="14"/>
      <c r="AT4" s="14"/>
      <c r="AU4" s="14"/>
      <c r="AV4" s="14"/>
      <c r="AW4" s="14"/>
      <c r="AX4" s="14"/>
      <c r="AY4" s="14"/>
      <c r="BA4" s="14"/>
      <c r="BE4" s="16"/>
      <c r="BH4" s="14"/>
      <c r="BI4" s="14"/>
      <c r="BJ4" s="14"/>
      <c r="BK4" s="14"/>
      <c r="BL4" s="14"/>
      <c r="BM4" s="14"/>
      <c r="BN4" s="14"/>
      <c r="BO4" s="14"/>
      <c r="BP4" s="14"/>
      <c r="BQ4" s="14"/>
      <c r="BX4" s="14"/>
      <c r="BY4" s="14"/>
      <c r="BZ4" s="14"/>
      <c r="CA4" s="14"/>
      <c r="CB4" s="14"/>
      <c r="CC4" s="14"/>
      <c r="CD4" s="14"/>
      <c r="CF4" s="14"/>
      <c r="CJ4" s="16"/>
      <c r="CM4" s="14"/>
      <c r="CN4" s="14"/>
      <c r="CO4" s="14"/>
      <c r="CP4" s="14"/>
      <c r="CQ4" s="14"/>
      <c r="CR4" s="14"/>
      <c r="CS4" s="14"/>
      <c r="CT4" s="14"/>
      <c r="CU4" s="14"/>
      <c r="CV4" s="14"/>
    </row>
    <row r="5" spans="1:100" x14ac:dyDescent="0.2">
      <c r="A5" s="14"/>
      <c r="B5" s="14"/>
      <c r="C5" s="14"/>
      <c r="D5" s="14"/>
      <c r="E5" s="14"/>
      <c r="F5" s="14"/>
      <c r="G5" s="14"/>
      <c r="H5" s="14"/>
      <c r="I5" s="14"/>
      <c r="J5" s="14"/>
      <c r="K5" s="14"/>
      <c r="L5" s="15"/>
      <c r="M5" s="14"/>
      <c r="N5" s="14"/>
      <c r="O5" s="14"/>
      <c r="P5" s="14"/>
      <c r="Q5" s="16"/>
      <c r="R5" s="14"/>
      <c r="Z5" s="16"/>
      <c r="AC5" s="14"/>
      <c r="AD5" s="14"/>
      <c r="AE5" s="14"/>
      <c r="AF5" s="14"/>
      <c r="AG5" s="14"/>
      <c r="AH5" s="14"/>
      <c r="AI5" s="14"/>
      <c r="AJ5" s="14"/>
      <c r="AK5" s="14"/>
      <c r="AL5" s="14"/>
      <c r="AS5" s="14"/>
      <c r="AT5" s="14"/>
      <c r="AU5" s="14"/>
      <c r="AV5" s="14"/>
      <c r="AW5" s="14"/>
      <c r="AX5" s="14"/>
      <c r="AY5" s="14"/>
      <c r="BA5" s="14"/>
      <c r="BE5" s="16"/>
      <c r="BH5" s="14"/>
      <c r="BI5" s="14"/>
      <c r="BJ5" s="14"/>
      <c r="BK5" s="14"/>
      <c r="BL5" s="14"/>
      <c r="BM5" s="14"/>
      <c r="BN5" s="14"/>
      <c r="BO5" s="14"/>
      <c r="BP5" s="14"/>
      <c r="BQ5" s="14"/>
      <c r="BX5" s="14"/>
      <c r="BY5" s="14"/>
      <c r="BZ5" s="14"/>
      <c r="CA5" s="14"/>
      <c r="CB5" s="14"/>
      <c r="CC5" s="14"/>
      <c r="CD5" s="14"/>
      <c r="CF5" s="14"/>
      <c r="CJ5" s="16"/>
      <c r="CM5" s="14"/>
      <c r="CN5" s="14"/>
      <c r="CO5" s="14"/>
      <c r="CP5" s="14"/>
      <c r="CQ5" s="14"/>
      <c r="CR5" s="14"/>
      <c r="CS5" s="14"/>
      <c r="CT5" s="14"/>
      <c r="CU5" s="14"/>
      <c r="CV5" s="14"/>
    </row>
    <row r="6" spans="1:100" x14ac:dyDescent="0.2">
      <c r="A6" s="14"/>
      <c r="B6" s="14"/>
      <c r="C6" s="14"/>
      <c r="D6" s="14"/>
      <c r="E6" s="14"/>
      <c r="F6" s="14"/>
      <c r="G6" s="14"/>
      <c r="H6" s="14"/>
      <c r="I6" s="14"/>
      <c r="J6" s="14"/>
      <c r="K6" s="14"/>
      <c r="L6" s="15"/>
      <c r="M6" s="14"/>
      <c r="N6" s="14"/>
      <c r="O6" s="14"/>
      <c r="P6" s="14"/>
      <c r="Q6" s="16"/>
      <c r="R6" s="14"/>
      <c r="Z6" s="16"/>
      <c r="AC6" s="14"/>
      <c r="AD6" s="14"/>
      <c r="AE6" s="14"/>
      <c r="AF6" s="14"/>
      <c r="AG6" s="14"/>
      <c r="AH6" s="14"/>
      <c r="AI6" s="14"/>
      <c r="AJ6" s="14"/>
      <c r="AK6" s="14"/>
      <c r="AL6" s="14"/>
      <c r="AS6" s="14"/>
      <c r="AT6" s="14"/>
      <c r="AU6" s="14"/>
      <c r="AV6" s="14"/>
      <c r="AW6" s="14"/>
      <c r="AX6" s="14"/>
      <c r="AY6" s="14"/>
      <c r="BA6" s="14"/>
      <c r="BE6" s="16"/>
      <c r="BH6" s="14"/>
      <c r="BI6" s="14"/>
      <c r="BJ6" s="14"/>
      <c r="BK6" s="14"/>
      <c r="BL6" s="14"/>
      <c r="BM6" s="14"/>
      <c r="BN6" s="14"/>
      <c r="BO6" s="14"/>
      <c r="BP6" s="14"/>
      <c r="BQ6" s="14"/>
      <c r="BX6" s="14"/>
      <c r="BY6" s="14"/>
      <c r="BZ6" s="14"/>
      <c r="CA6" s="14"/>
      <c r="CB6" s="14"/>
      <c r="CC6" s="14"/>
      <c r="CD6" s="14"/>
      <c r="CF6" s="14"/>
      <c r="CJ6" s="16"/>
      <c r="CM6" s="14"/>
      <c r="CN6" s="14"/>
      <c r="CO6" s="14"/>
      <c r="CP6" s="14"/>
      <c r="CQ6" s="14"/>
      <c r="CR6" s="14"/>
      <c r="CS6" s="14"/>
      <c r="CT6" s="14"/>
      <c r="CU6" s="14"/>
      <c r="CV6" s="14"/>
    </row>
    <row r="7" spans="1:100" x14ac:dyDescent="0.2">
      <c r="A7" s="14"/>
      <c r="B7" s="14"/>
      <c r="C7" s="14"/>
      <c r="D7" s="14"/>
      <c r="E7" s="14"/>
      <c r="F7" s="14"/>
      <c r="G7" s="14"/>
      <c r="H7" s="14"/>
      <c r="I7" s="14"/>
      <c r="J7" s="14"/>
      <c r="K7" s="14"/>
      <c r="L7" s="15"/>
      <c r="M7" s="14"/>
      <c r="N7" s="14"/>
      <c r="O7" s="14"/>
      <c r="P7" s="14"/>
      <c r="Q7" s="16"/>
      <c r="R7" s="14"/>
      <c r="Z7" s="16"/>
      <c r="AC7" s="14"/>
      <c r="AD7" s="14"/>
      <c r="AE7" s="14"/>
      <c r="AF7" s="14"/>
      <c r="AG7" s="14"/>
      <c r="AH7" s="14"/>
      <c r="AI7" s="14"/>
      <c r="AJ7" s="14"/>
      <c r="AK7" s="14"/>
      <c r="AL7" s="14"/>
      <c r="AS7" s="14"/>
      <c r="AT7" s="14"/>
      <c r="AU7" s="14"/>
      <c r="AV7" s="14"/>
      <c r="AW7" s="14"/>
      <c r="AX7" s="14"/>
      <c r="AY7" s="14"/>
      <c r="BA7" s="14"/>
      <c r="BE7" s="16"/>
      <c r="BH7" s="14"/>
      <c r="BI7" s="14"/>
      <c r="BJ7" s="14"/>
      <c r="BK7" s="14"/>
      <c r="BL7" s="14"/>
      <c r="BM7" s="14"/>
      <c r="BN7" s="14"/>
      <c r="BO7" s="14"/>
      <c r="BP7" s="14"/>
      <c r="BQ7" s="14"/>
      <c r="BX7" s="14"/>
      <c r="BY7" s="14"/>
      <c r="BZ7" s="14"/>
      <c r="CA7" s="14"/>
      <c r="CB7" s="14"/>
      <c r="CC7" s="14"/>
      <c r="CD7" s="14"/>
      <c r="CF7" s="14"/>
      <c r="CJ7" s="16"/>
      <c r="CM7" s="14"/>
      <c r="CN7" s="14"/>
      <c r="CO7" s="14"/>
      <c r="CP7" s="14"/>
      <c r="CQ7" s="14"/>
      <c r="CR7" s="14"/>
      <c r="CS7" s="14"/>
      <c r="CT7" s="14"/>
      <c r="CU7" s="14"/>
      <c r="CV7" s="14"/>
    </row>
    <row r="8" spans="1:100" x14ac:dyDescent="0.2">
      <c r="A8" s="14"/>
      <c r="B8" s="14"/>
      <c r="C8" s="14"/>
      <c r="D8" s="14"/>
      <c r="E8" s="14"/>
      <c r="F8" s="14"/>
      <c r="G8" s="14"/>
      <c r="H8" s="14"/>
      <c r="I8" s="14"/>
      <c r="J8" s="14"/>
      <c r="K8" s="14"/>
      <c r="L8" s="15"/>
      <c r="M8" s="14"/>
      <c r="N8" s="14"/>
      <c r="O8" s="14"/>
      <c r="P8" s="14"/>
      <c r="Q8" s="16"/>
      <c r="R8" s="14"/>
      <c r="Z8" s="16"/>
      <c r="AC8" s="14"/>
      <c r="AD8" s="14"/>
      <c r="AE8" s="14"/>
      <c r="AF8" s="14"/>
      <c r="AG8" s="14"/>
      <c r="AH8" s="14"/>
      <c r="AI8" s="14"/>
      <c r="AJ8" s="14"/>
      <c r="AK8" s="14"/>
      <c r="AL8" s="14"/>
      <c r="AS8" s="14"/>
      <c r="AT8" s="14"/>
      <c r="AU8" s="14"/>
      <c r="AV8" s="14"/>
      <c r="AW8" s="14"/>
      <c r="AX8" s="14"/>
      <c r="AY8" s="14"/>
      <c r="BA8" s="14"/>
      <c r="BE8" s="16"/>
      <c r="BH8" s="14"/>
      <c r="BI8" s="14"/>
      <c r="BJ8" s="14"/>
      <c r="BK8" s="14"/>
      <c r="BL8" s="14"/>
      <c r="BM8" s="14"/>
      <c r="BN8" s="14"/>
      <c r="BO8" s="14"/>
      <c r="BP8" s="14"/>
      <c r="BQ8" s="14"/>
      <c r="BX8" s="14"/>
      <c r="BY8" s="14"/>
      <c r="BZ8" s="14"/>
      <c r="CA8" s="14"/>
      <c r="CB8" s="14"/>
      <c r="CC8" s="14"/>
      <c r="CD8" s="14"/>
      <c r="CF8" s="14"/>
      <c r="CJ8" s="16"/>
      <c r="CM8" s="14"/>
      <c r="CN8" s="14"/>
      <c r="CO8" s="14"/>
      <c r="CP8" s="14"/>
      <c r="CQ8" s="14"/>
      <c r="CR8" s="14"/>
      <c r="CS8" s="14"/>
      <c r="CT8" s="14"/>
      <c r="CU8" s="14"/>
      <c r="CV8" s="14"/>
    </row>
    <row r="9" spans="1:100" x14ac:dyDescent="0.2">
      <c r="A9" s="14"/>
      <c r="B9" s="14"/>
      <c r="C9" s="14"/>
      <c r="D9" s="14"/>
      <c r="E9" s="14"/>
      <c r="F9" s="14"/>
      <c r="G9" s="14"/>
      <c r="H9" s="14"/>
      <c r="I9" s="14"/>
      <c r="J9" s="14"/>
      <c r="K9" s="14"/>
      <c r="L9" s="15"/>
      <c r="M9" s="14"/>
      <c r="N9" s="14"/>
      <c r="O9" s="14"/>
      <c r="P9" s="14"/>
      <c r="Q9" s="16"/>
      <c r="R9" s="14"/>
      <c r="Z9" s="16"/>
      <c r="AC9" s="14"/>
      <c r="AD9" s="14"/>
      <c r="AE9" s="14"/>
      <c r="AF9" s="14"/>
      <c r="AG9" s="14"/>
      <c r="AH9" s="14"/>
      <c r="AI9" s="14"/>
      <c r="AJ9" s="14"/>
      <c r="AK9" s="14"/>
      <c r="AL9" s="14"/>
      <c r="AS9" s="14"/>
      <c r="AT9" s="14"/>
      <c r="AU9" s="14"/>
      <c r="AV9" s="14"/>
      <c r="AW9" s="14"/>
      <c r="AX9" s="14"/>
      <c r="AY9" s="14"/>
      <c r="BA9" s="14"/>
      <c r="BE9" s="16"/>
      <c r="BH9" s="14"/>
      <c r="BI9" s="14"/>
      <c r="BJ9" s="14"/>
      <c r="BK9" s="14"/>
      <c r="BL9" s="14"/>
      <c r="BM9" s="14"/>
      <c r="BN9" s="14"/>
      <c r="BO9" s="14"/>
      <c r="BP9" s="14"/>
      <c r="BQ9" s="14"/>
      <c r="BX9" s="14"/>
      <c r="BY9" s="14"/>
      <c r="BZ9" s="14"/>
      <c r="CA9" s="14"/>
      <c r="CB9" s="14"/>
      <c r="CC9" s="14"/>
      <c r="CD9" s="14"/>
      <c r="CF9" s="14"/>
      <c r="CJ9" s="16"/>
      <c r="CM9" s="14"/>
      <c r="CN9" s="14"/>
      <c r="CO9" s="14"/>
      <c r="CP9" s="14"/>
      <c r="CQ9" s="14"/>
      <c r="CR9" s="14"/>
      <c r="CS9" s="14"/>
      <c r="CT9" s="14"/>
      <c r="CU9" s="14"/>
      <c r="CV9" s="14"/>
    </row>
    <row r="10" spans="1:100" x14ac:dyDescent="0.2">
      <c r="A10" s="14"/>
      <c r="B10" s="14"/>
      <c r="C10" s="14"/>
      <c r="D10" s="14"/>
      <c r="E10" s="14"/>
      <c r="F10" s="14"/>
      <c r="G10" s="14"/>
      <c r="H10" s="14"/>
      <c r="I10" s="14"/>
      <c r="J10" s="14"/>
      <c r="K10" s="14"/>
      <c r="L10" s="15"/>
      <c r="M10" s="14"/>
      <c r="N10" s="14"/>
      <c r="O10" s="14"/>
      <c r="P10" s="14"/>
      <c r="Q10" s="16"/>
      <c r="R10" s="14"/>
      <c r="Z10" s="16"/>
      <c r="AC10" s="14"/>
      <c r="AD10" s="14"/>
      <c r="AE10" s="14"/>
      <c r="AF10" s="14"/>
      <c r="AG10" s="14"/>
      <c r="AH10" s="14"/>
      <c r="AI10" s="14"/>
      <c r="AJ10" s="14"/>
      <c r="AK10" s="14"/>
      <c r="AL10" s="14"/>
      <c r="AS10" s="14"/>
      <c r="AT10" s="14"/>
      <c r="AU10" s="14"/>
      <c r="AV10" s="14"/>
      <c r="AW10" s="14"/>
      <c r="AX10" s="14"/>
      <c r="AY10" s="14"/>
      <c r="BA10" s="14"/>
      <c r="BE10" s="16"/>
      <c r="BH10" s="14"/>
      <c r="BI10" s="14"/>
      <c r="BJ10" s="14"/>
      <c r="BK10" s="14"/>
      <c r="BL10" s="14"/>
      <c r="BM10" s="14"/>
      <c r="BN10" s="14"/>
      <c r="BO10" s="14"/>
      <c r="BP10" s="14"/>
      <c r="BQ10" s="14"/>
      <c r="BX10" s="14"/>
      <c r="BY10" s="14"/>
      <c r="BZ10" s="14"/>
      <c r="CA10" s="14"/>
      <c r="CB10" s="14"/>
      <c r="CC10" s="14"/>
      <c r="CD10" s="14"/>
      <c r="CF10" s="14"/>
      <c r="CJ10" s="16"/>
      <c r="CM10" s="14"/>
      <c r="CN10" s="14"/>
      <c r="CO10" s="14"/>
      <c r="CP10" s="14"/>
      <c r="CQ10" s="14"/>
      <c r="CR10" s="14"/>
      <c r="CS10" s="14"/>
      <c r="CT10" s="14"/>
      <c r="CU10" s="14"/>
      <c r="CV10" s="14"/>
    </row>
    <row r="11" spans="1:100" x14ac:dyDescent="0.2">
      <c r="A11" s="14"/>
      <c r="B11" s="14"/>
      <c r="C11" s="14"/>
      <c r="D11" s="14"/>
      <c r="E11" s="14"/>
      <c r="F11" s="14"/>
      <c r="G11" s="14"/>
      <c r="H11" s="14"/>
      <c r="I11" s="14"/>
      <c r="J11" s="14"/>
      <c r="K11" s="14"/>
      <c r="L11" s="15"/>
      <c r="M11" s="14"/>
      <c r="N11" s="14"/>
      <c r="O11" s="14"/>
      <c r="P11" s="14"/>
      <c r="Q11" s="16"/>
      <c r="R11" s="14"/>
      <c r="Z11" s="16"/>
      <c r="AC11" s="14"/>
      <c r="AD11" s="14"/>
      <c r="AE11" s="14"/>
      <c r="AF11" s="14"/>
      <c r="AG11" s="14"/>
      <c r="AH11" s="14"/>
      <c r="AI11" s="14"/>
      <c r="AJ11" s="14"/>
      <c r="AK11" s="14"/>
      <c r="AL11" s="14"/>
      <c r="AS11" s="14"/>
      <c r="AT11" s="14"/>
      <c r="AU11" s="14"/>
      <c r="AV11" s="14"/>
      <c r="AW11" s="14"/>
      <c r="AX11" s="14"/>
      <c r="AY11" s="14"/>
      <c r="BA11" s="14"/>
      <c r="BE11" s="16"/>
      <c r="BH11" s="14"/>
      <c r="BI11" s="14"/>
      <c r="BJ11" s="14"/>
      <c r="BK11" s="14"/>
      <c r="BL11" s="14"/>
      <c r="BM11" s="14"/>
      <c r="BN11" s="14"/>
      <c r="BO11" s="14"/>
      <c r="BP11" s="14"/>
      <c r="BQ11" s="14"/>
      <c r="BX11" s="14"/>
      <c r="BY11" s="14"/>
      <c r="BZ11" s="14"/>
      <c r="CA11" s="14"/>
      <c r="CB11" s="14"/>
      <c r="CC11" s="14"/>
      <c r="CD11" s="14"/>
      <c r="CF11" s="14"/>
      <c r="CJ11" s="16"/>
      <c r="CM11" s="14"/>
      <c r="CN11" s="14"/>
      <c r="CO11" s="14"/>
      <c r="CP11" s="14"/>
      <c r="CQ11" s="14"/>
      <c r="CR11" s="14"/>
      <c r="CS11" s="14"/>
      <c r="CT11" s="14"/>
      <c r="CU11" s="14"/>
      <c r="CV11" s="14"/>
    </row>
    <row r="12" spans="1:100" x14ac:dyDescent="0.2">
      <c r="A12" s="14"/>
      <c r="B12" s="14"/>
      <c r="C12" s="14"/>
      <c r="D12" s="14"/>
      <c r="E12" s="14"/>
      <c r="F12" s="14"/>
      <c r="G12" s="14"/>
      <c r="H12" s="14"/>
      <c r="I12" s="14"/>
      <c r="J12" s="14"/>
      <c r="K12" s="14"/>
      <c r="L12" s="15"/>
      <c r="M12" s="14"/>
      <c r="N12" s="14"/>
      <c r="O12" s="14"/>
      <c r="P12" s="14"/>
      <c r="Q12" s="16"/>
      <c r="R12" s="14"/>
      <c r="Z12" s="16"/>
      <c r="AC12" s="14"/>
      <c r="AD12" s="14"/>
      <c r="AE12" s="14"/>
      <c r="AF12" s="14"/>
      <c r="AG12" s="14"/>
      <c r="AH12" s="14"/>
      <c r="AI12" s="14"/>
      <c r="AJ12" s="14"/>
      <c r="AK12" s="14"/>
      <c r="AL12" s="14"/>
      <c r="AS12" s="14"/>
      <c r="AT12" s="14"/>
      <c r="AU12" s="14"/>
      <c r="AV12" s="14"/>
      <c r="AW12" s="14"/>
      <c r="AX12" s="14"/>
      <c r="AY12" s="14"/>
      <c r="BA12" s="14"/>
      <c r="BE12" s="16"/>
      <c r="BH12" s="14"/>
      <c r="BI12" s="14"/>
      <c r="BJ12" s="14"/>
      <c r="BK12" s="14"/>
      <c r="BL12" s="14"/>
      <c r="BM12" s="14"/>
      <c r="BN12" s="14"/>
      <c r="BO12" s="14"/>
      <c r="BP12" s="14"/>
      <c r="BQ12" s="14"/>
      <c r="BX12" s="14"/>
      <c r="BY12" s="14"/>
      <c r="BZ12" s="14"/>
      <c r="CA12" s="14"/>
      <c r="CB12" s="14"/>
      <c r="CC12" s="14"/>
      <c r="CD12" s="14"/>
      <c r="CF12" s="14"/>
      <c r="CJ12" s="16"/>
      <c r="CM12" s="14"/>
      <c r="CN12" s="14"/>
      <c r="CO12" s="14"/>
      <c r="CP12" s="14"/>
      <c r="CQ12" s="14"/>
      <c r="CR12" s="14"/>
      <c r="CS12" s="14"/>
      <c r="CT12" s="14"/>
      <c r="CU12" s="14"/>
      <c r="CV12" s="14"/>
    </row>
    <row r="13" spans="1:100" x14ac:dyDescent="0.2">
      <c r="A13" s="14"/>
      <c r="B13" s="14"/>
      <c r="C13" s="14"/>
      <c r="D13" s="14"/>
      <c r="E13" s="14"/>
      <c r="F13" s="14"/>
      <c r="G13" s="14"/>
      <c r="H13" s="14"/>
      <c r="I13" s="14"/>
      <c r="J13" s="14"/>
      <c r="K13" s="14"/>
      <c r="L13" s="15"/>
      <c r="M13" s="14"/>
      <c r="N13" s="14"/>
      <c r="O13" s="14"/>
      <c r="P13" s="14"/>
      <c r="Q13" s="16"/>
      <c r="R13" s="14"/>
      <c r="Z13" s="16"/>
      <c r="AC13" s="14"/>
      <c r="AD13" s="14"/>
      <c r="AE13" s="14"/>
      <c r="AF13" s="14"/>
      <c r="AG13" s="14"/>
      <c r="AH13" s="14"/>
      <c r="AI13" s="14"/>
      <c r="AJ13" s="14"/>
      <c r="AK13" s="14"/>
      <c r="AL13" s="14"/>
      <c r="AS13" s="14"/>
      <c r="AT13" s="14"/>
      <c r="AU13" s="14"/>
      <c r="AV13" s="14"/>
      <c r="AW13" s="14"/>
      <c r="AX13" s="14"/>
      <c r="AY13" s="14"/>
      <c r="BA13" s="14"/>
      <c r="BE13" s="16"/>
      <c r="BH13" s="14"/>
      <c r="BI13" s="14"/>
      <c r="BJ13" s="14"/>
      <c r="BK13" s="14"/>
      <c r="BL13" s="14"/>
      <c r="BM13" s="14"/>
      <c r="BN13" s="14"/>
      <c r="BO13" s="14"/>
      <c r="BP13" s="14"/>
      <c r="BQ13" s="14"/>
      <c r="BX13" s="14"/>
      <c r="BY13" s="14"/>
      <c r="BZ13" s="14"/>
      <c r="CA13" s="14"/>
      <c r="CB13" s="14"/>
      <c r="CC13" s="14"/>
      <c r="CD13" s="14"/>
      <c r="CF13" s="14"/>
      <c r="CJ13" s="16"/>
      <c r="CM13" s="14"/>
      <c r="CN13" s="14"/>
      <c r="CO13" s="14"/>
      <c r="CP13" s="14"/>
      <c r="CQ13" s="14"/>
      <c r="CR13" s="14"/>
      <c r="CS13" s="14"/>
      <c r="CT13" s="14"/>
      <c r="CU13" s="14"/>
      <c r="CV13" s="14"/>
    </row>
    <row r="14" spans="1:100" x14ac:dyDescent="0.2">
      <c r="A14" s="14"/>
      <c r="B14" s="14"/>
      <c r="C14" s="14"/>
      <c r="D14" s="14"/>
      <c r="E14" s="14"/>
      <c r="F14" s="14"/>
      <c r="G14" s="14"/>
      <c r="H14" s="14"/>
      <c r="I14" s="14"/>
      <c r="J14" s="14"/>
      <c r="K14" s="14"/>
      <c r="L14" s="15"/>
      <c r="M14" s="14"/>
      <c r="N14" s="14"/>
      <c r="O14" s="14"/>
      <c r="P14" s="14"/>
      <c r="Q14" s="16"/>
      <c r="R14" s="14"/>
      <c r="Z14" s="16"/>
      <c r="AC14" s="14"/>
      <c r="AD14" s="14"/>
      <c r="AE14" s="14"/>
      <c r="AF14" s="14"/>
      <c r="AG14" s="14"/>
      <c r="AH14" s="14"/>
      <c r="AI14" s="14"/>
      <c r="AJ14" s="14"/>
      <c r="AK14" s="14"/>
      <c r="AL14" s="14"/>
      <c r="AS14" s="14"/>
      <c r="AT14" s="14"/>
      <c r="AU14" s="14"/>
      <c r="AV14" s="14"/>
      <c r="AW14" s="14"/>
      <c r="AX14" s="14"/>
      <c r="AY14" s="14"/>
      <c r="BA14" s="14"/>
      <c r="BE14" s="16"/>
      <c r="BH14" s="14"/>
      <c r="BI14" s="14"/>
      <c r="BJ14" s="14"/>
      <c r="BK14" s="14"/>
      <c r="BL14" s="14"/>
      <c r="BM14" s="14"/>
      <c r="BN14" s="14"/>
      <c r="BO14" s="14"/>
      <c r="BP14" s="14"/>
      <c r="BQ14" s="14"/>
      <c r="BX14" s="14"/>
      <c r="BY14" s="14"/>
      <c r="BZ14" s="14"/>
      <c r="CA14" s="14"/>
      <c r="CB14" s="14"/>
      <c r="CC14" s="14"/>
      <c r="CD14" s="14"/>
      <c r="CF14" s="14"/>
      <c r="CJ14" s="16"/>
      <c r="CM14" s="14"/>
      <c r="CN14" s="14"/>
      <c r="CO14" s="14"/>
      <c r="CP14" s="14"/>
      <c r="CQ14" s="14"/>
      <c r="CR14" s="14"/>
      <c r="CS14" s="14"/>
      <c r="CT14" s="14"/>
      <c r="CU14" s="14"/>
      <c r="CV14" s="14"/>
    </row>
    <row r="15" spans="1:100" x14ac:dyDescent="0.2">
      <c r="A15" s="14"/>
      <c r="B15" s="14"/>
      <c r="C15" s="14"/>
      <c r="D15" s="14"/>
      <c r="E15" s="14"/>
      <c r="F15" s="14"/>
      <c r="G15" s="14"/>
      <c r="H15" s="14"/>
      <c r="I15" s="14"/>
      <c r="J15" s="14"/>
      <c r="K15" s="14"/>
      <c r="L15" s="15"/>
      <c r="M15" s="14"/>
      <c r="N15" s="14"/>
      <c r="O15" s="14"/>
      <c r="P15" s="14"/>
      <c r="Q15" s="16"/>
      <c r="R15" s="14"/>
      <c r="Z15" s="16"/>
      <c r="AC15" s="14"/>
      <c r="AD15" s="14"/>
      <c r="AE15" s="14"/>
      <c r="AF15" s="14"/>
      <c r="AG15" s="14"/>
      <c r="AH15" s="14"/>
      <c r="AI15" s="14"/>
      <c r="AJ15" s="14"/>
      <c r="AK15" s="14"/>
      <c r="AL15" s="14"/>
      <c r="AS15" s="14"/>
      <c r="AT15" s="14"/>
      <c r="AU15" s="14"/>
      <c r="AV15" s="14"/>
      <c r="AW15" s="14"/>
      <c r="AX15" s="14"/>
      <c r="AY15" s="14"/>
      <c r="BA15" s="14"/>
      <c r="BE15" s="16"/>
      <c r="BH15" s="14"/>
      <c r="BI15" s="14"/>
      <c r="BJ15" s="14"/>
      <c r="BK15" s="14"/>
      <c r="BL15" s="14"/>
      <c r="BM15" s="14"/>
      <c r="BN15" s="14"/>
      <c r="BO15" s="14"/>
      <c r="BP15" s="14"/>
      <c r="BQ15" s="14"/>
      <c r="BX15" s="14"/>
      <c r="BY15" s="14"/>
      <c r="BZ15" s="14"/>
      <c r="CA15" s="14"/>
      <c r="CB15" s="14"/>
      <c r="CC15" s="14"/>
      <c r="CD15" s="14"/>
      <c r="CF15" s="14"/>
      <c r="CJ15" s="16"/>
      <c r="CM15" s="14"/>
      <c r="CN15" s="14"/>
      <c r="CO15" s="14"/>
      <c r="CP15" s="14"/>
      <c r="CQ15" s="14"/>
      <c r="CR15" s="14"/>
      <c r="CS15" s="14"/>
      <c r="CT15" s="14"/>
      <c r="CU15" s="14"/>
      <c r="CV15" s="14"/>
    </row>
    <row r="16" spans="1:100" x14ac:dyDescent="0.2">
      <c r="A16" s="14"/>
      <c r="B16" s="14"/>
      <c r="C16" s="14"/>
      <c r="D16" s="14"/>
      <c r="E16" s="14"/>
      <c r="F16" s="14"/>
      <c r="G16" s="14"/>
      <c r="H16" s="14"/>
      <c r="I16" s="14"/>
      <c r="J16" s="14"/>
      <c r="K16" s="14"/>
      <c r="L16" s="15"/>
      <c r="M16" s="14"/>
      <c r="N16" s="14"/>
      <c r="O16" s="14"/>
      <c r="P16" s="14"/>
      <c r="Q16" s="16"/>
      <c r="R16" s="14"/>
      <c r="Z16" s="16"/>
      <c r="AC16" s="14"/>
      <c r="AD16" s="14"/>
      <c r="AE16" s="14"/>
      <c r="AF16" s="14"/>
      <c r="AG16" s="14"/>
      <c r="AH16" s="14"/>
      <c r="AI16" s="14"/>
      <c r="AJ16" s="14"/>
      <c r="AK16" s="14"/>
      <c r="AL16" s="14"/>
      <c r="AS16" s="14"/>
      <c r="AT16" s="14"/>
      <c r="AU16" s="14"/>
      <c r="AV16" s="14"/>
      <c r="AW16" s="14"/>
      <c r="AX16" s="14"/>
      <c r="AY16" s="14"/>
      <c r="BA16" s="14"/>
      <c r="BE16" s="16"/>
      <c r="BH16" s="14"/>
      <c r="BI16" s="14"/>
      <c r="BJ16" s="14"/>
      <c r="BK16" s="14"/>
      <c r="BL16" s="14"/>
      <c r="BM16" s="14"/>
      <c r="BN16" s="14"/>
      <c r="BO16" s="14"/>
      <c r="BP16" s="14"/>
      <c r="BQ16" s="14"/>
      <c r="BX16" s="14"/>
      <c r="BY16" s="14"/>
      <c r="BZ16" s="14"/>
      <c r="CA16" s="14"/>
      <c r="CB16" s="14"/>
      <c r="CC16" s="14"/>
      <c r="CD16" s="14"/>
      <c r="CF16" s="14"/>
      <c r="CJ16" s="16"/>
      <c r="CM16" s="14"/>
      <c r="CN16" s="14"/>
      <c r="CO16" s="14"/>
      <c r="CP16" s="14"/>
      <c r="CQ16" s="14"/>
      <c r="CR16" s="14"/>
      <c r="CS16" s="14"/>
      <c r="CT16" s="14"/>
      <c r="CU16" s="14"/>
      <c r="CV16" s="14"/>
    </row>
    <row r="17" spans="1:100" x14ac:dyDescent="0.2">
      <c r="A17" s="14"/>
      <c r="B17" s="14"/>
      <c r="C17" s="14"/>
      <c r="D17" s="14"/>
      <c r="E17" s="14"/>
      <c r="F17" s="14"/>
      <c r="G17" s="14"/>
      <c r="H17" s="14"/>
      <c r="I17" s="14"/>
      <c r="J17" s="14"/>
      <c r="K17" s="14"/>
      <c r="L17" s="15"/>
      <c r="M17" s="14"/>
      <c r="N17" s="14"/>
      <c r="O17" s="14"/>
      <c r="P17" s="14"/>
      <c r="Q17" s="16"/>
      <c r="R17" s="14"/>
      <c r="Z17" s="16"/>
      <c r="AC17" s="14"/>
      <c r="AD17" s="14"/>
      <c r="AE17" s="14"/>
      <c r="AF17" s="14"/>
      <c r="AG17" s="14"/>
      <c r="AH17" s="14"/>
      <c r="AI17" s="14"/>
      <c r="AJ17" s="14"/>
      <c r="AK17" s="14"/>
      <c r="AL17" s="14"/>
      <c r="AS17" s="14"/>
      <c r="AT17" s="14"/>
      <c r="AU17" s="14"/>
      <c r="AV17" s="14"/>
      <c r="AW17" s="14"/>
      <c r="AX17" s="14"/>
      <c r="AY17" s="14"/>
      <c r="BA17" s="14"/>
      <c r="BE17" s="16"/>
      <c r="BH17" s="14"/>
      <c r="BI17" s="14"/>
      <c r="BJ17" s="14"/>
      <c r="BK17" s="14"/>
      <c r="BL17" s="14"/>
      <c r="BM17" s="14"/>
      <c r="BN17" s="14"/>
      <c r="BO17" s="14"/>
      <c r="BP17" s="14"/>
      <c r="BQ17" s="14"/>
      <c r="BX17" s="14"/>
      <c r="BY17" s="14"/>
      <c r="BZ17" s="14"/>
      <c r="CA17" s="14"/>
      <c r="CB17" s="14"/>
      <c r="CC17" s="14"/>
      <c r="CD17" s="14"/>
      <c r="CF17" s="14"/>
      <c r="CJ17" s="16"/>
      <c r="CM17" s="14"/>
      <c r="CN17" s="14"/>
      <c r="CO17" s="14"/>
      <c r="CP17" s="14"/>
      <c r="CQ17" s="14"/>
      <c r="CR17" s="14"/>
      <c r="CS17" s="14"/>
      <c r="CT17" s="14"/>
      <c r="CU17" s="14"/>
      <c r="CV17" s="14"/>
    </row>
    <row r="18" spans="1:100" x14ac:dyDescent="0.2">
      <c r="A18" s="14"/>
      <c r="B18" s="14"/>
      <c r="C18" s="14"/>
      <c r="D18" s="14"/>
      <c r="E18" s="14"/>
      <c r="F18" s="14"/>
      <c r="G18" s="14"/>
      <c r="H18" s="14"/>
      <c r="I18" s="14"/>
      <c r="J18" s="14"/>
      <c r="K18" s="14"/>
      <c r="L18" s="15"/>
      <c r="M18" s="14"/>
      <c r="N18" s="14"/>
      <c r="O18" s="14"/>
      <c r="P18" s="14"/>
      <c r="Q18" s="16"/>
      <c r="R18" s="14"/>
      <c r="Z18" s="16"/>
      <c r="AC18" s="14"/>
      <c r="AD18" s="14"/>
      <c r="AE18" s="14"/>
      <c r="AF18" s="14"/>
      <c r="AG18" s="14"/>
      <c r="AH18" s="14"/>
      <c r="AI18" s="14"/>
      <c r="AJ18" s="14"/>
      <c r="AK18" s="14"/>
      <c r="AL18" s="14"/>
      <c r="AS18" s="14"/>
      <c r="AT18" s="14"/>
      <c r="AU18" s="14"/>
      <c r="AV18" s="14"/>
      <c r="AW18" s="14"/>
      <c r="AX18" s="14"/>
      <c r="AY18" s="14"/>
      <c r="BA18" s="14"/>
      <c r="BE18" s="16"/>
      <c r="BH18" s="14"/>
      <c r="BI18" s="14"/>
      <c r="BJ18" s="14"/>
      <c r="BK18" s="14"/>
      <c r="BL18" s="14"/>
      <c r="BM18" s="14"/>
      <c r="BN18" s="14"/>
      <c r="BO18" s="14"/>
      <c r="BP18" s="14"/>
      <c r="BQ18" s="14"/>
      <c r="BX18" s="14"/>
      <c r="BY18" s="14"/>
      <c r="BZ18" s="14"/>
      <c r="CA18" s="14"/>
      <c r="CB18" s="14"/>
      <c r="CC18" s="14"/>
      <c r="CD18" s="14"/>
      <c r="CF18" s="14"/>
      <c r="CJ18" s="16"/>
      <c r="CM18" s="14"/>
      <c r="CN18" s="14"/>
      <c r="CO18" s="14"/>
      <c r="CP18" s="14"/>
      <c r="CQ18" s="14"/>
      <c r="CR18" s="14"/>
      <c r="CS18" s="14"/>
      <c r="CT18" s="14"/>
      <c r="CU18" s="14"/>
      <c r="CV18" s="14"/>
    </row>
    <row r="19" spans="1:100" x14ac:dyDescent="0.2">
      <c r="A19" s="14"/>
      <c r="B19" s="14"/>
      <c r="C19" s="14"/>
      <c r="D19" s="14"/>
      <c r="E19" s="14"/>
      <c r="F19" s="14"/>
      <c r="G19" s="14"/>
      <c r="H19" s="14"/>
      <c r="I19" s="14"/>
      <c r="J19" s="14"/>
      <c r="K19" s="14"/>
      <c r="L19" s="15"/>
      <c r="M19" s="14"/>
      <c r="N19" s="14"/>
      <c r="O19" s="14"/>
      <c r="P19" s="14"/>
      <c r="Q19" s="16"/>
      <c r="R19" s="14"/>
      <c r="Z19" s="16"/>
      <c r="AC19" s="14"/>
      <c r="AD19" s="14"/>
      <c r="AE19" s="14"/>
      <c r="AF19" s="14"/>
      <c r="AG19" s="14"/>
      <c r="AH19" s="14"/>
      <c r="AI19" s="14"/>
      <c r="AJ19" s="14"/>
      <c r="AK19" s="14"/>
      <c r="AL19" s="14"/>
      <c r="AS19" s="14"/>
      <c r="AT19" s="14"/>
      <c r="AU19" s="14"/>
      <c r="AV19" s="14"/>
      <c r="AW19" s="14"/>
      <c r="AX19" s="14"/>
      <c r="AY19" s="14"/>
      <c r="BA19" s="14"/>
      <c r="BE19" s="16"/>
      <c r="BH19" s="14"/>
      <c r="BI19" s="14"/>
      <c r="BJ19" s="14"/>
      <c r="BK19" s="14"/>
      <c r="BL19" s="14"/>
      <c r="BM19" s="14"/>
      <c r="BN19" s="14"/>
      <c r="BO19" s="14"/>
      <c r="BP19" s="14"/>
      <c r="BQ19" s="14"/>
      <c r="BX19" s="14"/>
      <c r="BY19" s="14"/>
      <c r="BZ19" s="14"/>
      <c r="CA19" s="14"/>
      <c r="CB19" s="14"/>
      <c r="CC19" s="14"/>
      <c r="CD19" s="14"/>
      <c r="CF19" s="14"/>
      <c r="CJ19" s="16"/>
      <c r="CM19" s="14"/>
      <c r="CN19" s="14"/>
      <c r="CO19" s="14"/>
      <c r="CP19" s="14"/>
      <c r="CQ19" s="14"/>
      <c r="CR19" s="14"/>
      <c r="CS19" s="14"/>
      <c r="CT19" s="14"/>
      <c r="CU19" s="14"/>
      <c r="CV19" s="14"/>
    </row>
    <row r="20" spans="1:100" x14ac:dyDescent="0.2">
      <c r="A20" s="14"/>
      <c r="B20" s="14"/>
      <c r="C20" s="14"/>
      <c r="D20" s="14"/>
      <c r="E20" s="14"/>
      <c r="F20" s="14"/>
      <c r="G20" s="14"/>
      <c r="H20" s="14"/>
      <c r="I20" s="14"/>
      <c r="J20" s="14"/>
      <c r="K20" s="14"/>
      <c r="L20" s="15"/>
      <c r="M20" s="14"/>
      <c r="N20" s="14"/>
      <c r="O20" s="14"/>
      <c r="P20" s="14"/>
      <c r="Q20" s="16"/>
      <c r="R20" s="14"/>
      <c r="Z20" s="16"/>
      <c r="AC20" s="14"/>
      <c r="AD20" s="14"/>
      <c r="AE20" s="14"/>
      <c r="AF20" s="14"/>
      <c r="AG20" s="14"/>
      <c r="AH20" s="14"/>
      <c r="AI20" s="14"/>
      <c r="AJ20" s="14"/>
      <c r="AK20" s="14"/>
      <c r="AL20" s="14"/>
      <c r="AS20" s="14"/>
      <c r="AT20" s="14"/>
      <c r="AU20" s="14"/>
      <c r="AV20" s="14"/>
      <c r="AW20" s="14"/>
      <c r="AX20" s="14"/>
      <c r="AY20" s="14"/>
      <c r="BA20" s="14"/>
      <c r="BE20" s="16"/>
      <c r="BH20" s="14"/>
      <c r="BI20" s="14"/>
      <c r="BJ20" s="14"/>
      <c r="BK20" s="14"/>
      <c r="BL20" s="14"/>
      <c r="BM20" s="14"/>
      <c r="BN20" s="14"/>
      <c r="BO20" s="14"/>
      <c r="BP20" s="14"/>
      <c r="BQ20" s="14"/>
      <c r="BX20" s="14"/>
      <c r="BY20" s="14"/>
      <c r="BZ20" s="14"/>
      <c r="CA20" s="14"/>
      <c r="CB20" s="14"/>
      <c r="CC20" s="14"/>
      <c r="CD20" s="14"/>
      <c r="CF20" s="14"/>
      <c r="CJ20" s="16"/>
      <c r="CM20" s="14"/>
      <c r="CN20" s="14"/>
      <c r="CO20" s="14"/>
      <c r="CP20" s="14"/>
      <c r="CQ20" s="14"/>
      <c r="CR20" s="14"/>
      <c r="CS20" s="14"/>
      <c r="CT20" s="14"/>
      <c r="CU20" s="14"/>
      <c r="CV20" s="14"/>
    </row>
    <row r="21" spans="1:100" x14ac:dyDescent="0.2">
      <c r="A21" s="14"/>
      <c r="B21" s="14"/>
      <c r="C21" s="14"/>
      <c r="D21" s="14"/>
      <c r="E21" s="14"/>
      <c r="F21" s="14"/>
      <c r="G21" s="14"/>
      <c r="H21" s="14"/>
      <c r="I21" s="14"/>
      <c r="J21" s="14"/>
      <c r="K21" s="14"/>
      <c r="L21" s="15"/>
      <c r="M21" s="14"/>
      <c r="N21" s="14"/>
      <c r="O21" s="14"/>
      <c r="P21" s="14"/>
      <c r="Q21" s="16"/>
      <c r="R21" s="14"/>
      <c r="Z21" s="16"/>
      <c r="AC21" s="14"/>
      <c r="AD21" s="14"/>
      <c r="AE21" s="14"/>
      <c r="AF21" s="14"/>
      <c r="AG21" s="14"/>
      <c r="AH21" s="14"/>
      <c r="AI21" s="14"/>
      <c r="AJ21" s="14"/>
      <c r="AK21" s="14"/>
      <c r="AL21" s="14"/>
      <c r="AS21" s="14"/>
      <c r="AT21" s="14"/>
      <c r="AU21" s="14"/>
      <c r="AV21" s="14"/>
      <c r="AW21" s="14"/>
      <c r="AX21" s="14"/>
      <c r="AY21" s="14"/>
      <c r="BA21" s="14"/>
      <c r="BE21" s="16"/>
      <c r="BH21" s="14"/>
      <c r="BI21" s="14"/>
      <c r="BJ21" s="14"/>
      <c r="BK21" s="14"/>
      <c r="BL21" s="14"/>
      <c r="BM21" s="14"/>
      <c r="BN21" s="14"/>
      <c r="BO21" s="14"/>
      <c r="BP21" s="14"/>
      <c r="BQ21" s="14"/>
      <c r="BX21" s="14"/>
      <c r="BY21" s="14"/>
      <c r="BZ21" s="14"/>
      <c r="CA21" s="14"/>
      <c r="CB21" s="14"/>
      <c r="CC21" s="14"/>
      <c r="CD21" s="14"/>
      <c r="CF21" s="14"/>
      <c r="CJ21" s="16"/>
      <c r="CM21" s="14"/>
      <c r="CN21" s="14"/>
      <c r="CO21" s="14"/>
      <c r="CP21" s="14"/>
      <c r="CQ21" s="14"/>
      <c r="CR21" s="14"/>
      <c r="CS21" s="14"/>
      <c r="CT21" s="14"/>
      <c r="CU21" s="14"/>
      <c r="CV21" s="14"/>
    </row>
    <row r="22" spans="1:100" x14ac:dyDescent="0.2">
      <c r="A22" s="14"/>
      <c r="B22" s="14"/>
      <c r="C22" s="14"/>
      <c r="D22" s="14"/>
      <c r="E22" s="14"/>
      <c r="F22" s="14"/>
      <c r="G22" s="14"/>
      <c r="H22" s="14"/>
      <c r="I22" s="14"/>
      <c r="J22" s="14"/>
      <c r="K22" s="14"/>
      <c r="L22" s="15"/>
      <c r="M22" s="14"/>
      <c r="N22" s="14"/>
      <c r="O22" s="14"/>
      <c r="P22" s="14"/>
      <c r="Q22" s="16"/>
      <c r="R22" s="14"/>
      <c r="Z22" s="16"/>
      <c r="AC22" s="14"/>
      <c r="AD22" s="14"/>
      <c r="AE22" s="14"/>
      <c r="AF22" s="14"/>
      <c r="AG22" s="14"/>
      <c r="AH22" s="14"/>
      <c r="AI22" s="14"/>
      <c r="AJ22" s="14"/>
      <c r="AK22" s="14"/>
      <c r="AL22" s="14"/>
      <c r="AS22" s="14"/>
      <c r="AT22" s="14"/>
      <c r="AU22" s="14"/>
      <c r="AV22" s="14"/>
      <c r="AW22" s="14"/>
      <c r="AX22" s="14"/>
      <c r="AY22" s="14"/>
      <c r="BA22" s="14"/>
      <c r="BE22" s="16"/>
      <c r="BH22" s="14"/>
      <c r="BI22" s="14"/>
      <c r="BJ22" s="14"/>
      <c r="BK22" s="14"/>
      <c r="BL22" s="14"/>
      <c r="BM22" s="14"/>
      <c r="BN22" s="14"/>
      <c r="BO22" s="14"/>
      <c r="BP22" s="14"/>
      <c r="BQ22" s="14"/>
      <c r="BX22" s="14"/>
      <c r="BY22" s="14"/>
      <c r="BZ22" s="14"/>
      <c r="CA22" s="14"/>
      <c r="CB22" s="14"/>
      <c r="CC22" s="14"/>
      <c r="CD22" s="14"/>
      <c r="CF22" s="14"/>
      <c r="CJ22" s="16"/>
      <c r="CM22" s="14"/>
      <c r="CN22" s="14"/>
      <c r="CO22" s="14"/>
      <c r="CP22" s="14"/>
      <c r="CQ22" s="14"/>
      <c r="CR22" s="14"/>
      <c r="CS22" s="14"/>
      <c r="CT22" s="14"/>
      <c r="CU22" s="14"/>
      <c r="CV22" s="14"/>
    </row>
    <row r="23" spans="1:100" x14ac:dyDescent="0.2">
      <c r="A23" s="14"/>
      <c r="B23" s="14"/>
      <c r="C23" s="14"/>
      <c r="D23" s="14"/>
      <c r="E23" s="14"/>
      <c r="F23" s="14"/>
      <c r="G23" s="14"/>
      <c r="H23" s="14"/>
      <c r="I23" s="14"/>
      <c r="J23" s="14"/>
      <c r="K23" s="14"/>
      <c r="L23" s="15"/>
      <c r="M23" s="14"/>
      <c r="N23" s="14"/>
      <c r="O23" s="14"/>
      <c r="P23" s="14"/>
      <c r="Q23" s="16"/>
      <c r="R23" s="14"/>
      <c r="Z23" s="16"/>
      <c r="AC23" s="14"/>
      <c r="AD23" s="14"/>
      <c r="AE23" s="14"/>
      <c r="AF23" s="14"/>
      <c r="AG23" s="14"/>
      <c r="AH23" s="14"/>
      <c r="AI23" s="14"/>
      <c r="AJ23" s="14"/>
      <c r="AK23" s="14"/>
      <c r="AL23" s="14"/>
      <c r="AS23" s="14"/>
      <c r="AT23" s="14"/>
      <c r="AU23" s="14"/>
      <c r="AV23" s="14"/>
      <c r="AW23" s="14"/>
      <c r="AX23" s="14"/>
      <c r="AY23" s="14"/>
      <c r="BA23" s="14"/>
      <c r="BE23" s="16"/>
      <c r="BH23" s="14"/>
      <c r="BI23" s="14"/>
      <c r="BJ23" s="14"/>
      <c r="BK23" s="14"/>
      <c r="BL23" s="14"/>
      <c r="BM23" s="14"/>
      <c r="BN23" s="14"/>
      <c r="BO23" s="14"/>
      <c r="BP23" s="14"/>
      <c r="BQ23" s="14"/>
      <c r="BX23" s="14"/>
      <c r="BY23" s="14"/>
      <c r="BZ23" s="14"/>
      <c r="CA23" s="14"/>
      <c r="CB23" s="14"/>
      <c r="CC23" s="14"/>
      <c r="CD23" s="14"/>
      <c r="CF23" s="14"/>
      <c r="CJ23" s="16"/>
      <c r="CM23" s="14"/>
      <c r="CN23" s="14"/>
      <c r="CO23" s="14"/>
      <c r="CP23" s="14"/>
      <c r="CQ23" s="14"/>
      <c r="CR23" s="14"/>
      <c r="CS23" s="14"/>
      <c r="CT23" s="14"/>
      <c r="CU23" s="14"/>
      <c r="CV23" s="14"/>
    </row>
    <row r="24" spans="1:100" x14ac:dyDescent="0.2">
      <c r="A24" s="14"/>
      <c r="B24" s="14"/>
      <c r="C24" s="14"/>
      <c r="D24" s="14"/>
      <c r="E24" s="14"/>
      <c r="F24" s="14"/>
      <c r="G24" s="14"/>
      <c r="H24" s="14"/>
      <c r="I24" s="14"/>
      <c r="J24" s="14"/>
      <c r="K24" s="14"/>
      <c r="L24" s="15"/>
      <c r="M24" s="14"/>
      <c r="N24" s="14"/>
      <c r="O24" s="14"/>
      <c r="P24" s="14"/>
      <c r="Q24" s="16"/>
      <c r="R24" s="14"/>
      <c r="Z24" s="16"/>
      <c r="AC24" s="14"/>
      <c r="AD24" s="14"/>
      <c r="AE24" s="14"/>
      <c r="AF24" s="14"/>
      <c r="AG24" s="14"/>
      <c r="AH24" s="14"/>
      <c r="AI24" s="14"/>
      <c r="AJ24" s="14"/>
      <c r="AK24" s="14"/>
      <c r="AL24" s="14"/>
      <c r="AS24" s="14"/>
      <c r="AT24" s="14"/>
      <c r="AU24" s="14"/>
      <c r="AV24" s="14"/>
      <c r="AW24" s="14"/>
      <c r="AX24" s="14"/>
      <c r="AY24" s="14"/>
      <c r="BA24" s="14"/>
      <c r="BE24" s="16"/>
      <c r="BH24" s="14"/>
      <c r="BI24" s="14"/>
      <c r="BJ24" s="14"/>
      <c r="BK24" s="14"/>
      <c r="BL24" s="14"/>
      <c r="BM24" s="14"/>
      <c r="BN24" s="14"/>
      <c r="BO24" s="14"/>
      <c r="BP24" s="14"/>
      <c r="BQ24" s="14"/>
      <c r="BX24" s="14"/>
      <c r="BY24" s="14"/>
      <c r="BZ24" s="14"/>
      <c r="CA24" s="14"/>
      <c r="CB24" s="14"/>
      <c r="CC24" s="14"/>
      <c r="CD24" s="14"/>
      <c r="CF24" s="14"/>
      <c r="CJ24" s="16"/>
      <c r="CM24" s="14"/>
      <c r="CN24" s="14"/>
      <c r="CO24" s="14"/>
      <c r="CP24" s="14"/>
      <c r="CQ24" s="14"/>
      <c r="CR24" s="14"/>
      <c r="CS24" s="14"/>
      <c r="CT24" s="14"/>
      <c r="CU24" s="14"/>
      <c r="CV24" s="14"/>
    </row>
    <row r="25" spans="1:100" x14ac:dyDescent="0.2">
      <c r="A25" s="14"/>
      <c r="B25" s="14"/>
      <c r="C25" s="14"/>
      <c r="D25" s="14"/>
      <c r="E25" s="14"/>
      <c r="F25" s="14"/>
      <c r="G25" s="14"/>
      <c r="H25" s="14"/>
      <c r="I25" s="14"/>
      <c r="J25" s="14"/>
      <c r="K25" s="14"/>
      <c r="L25" s="15"/>
      <c r="M25" s="14"/>
      <c r="N25" s="14"/>
      <c r="O25" s="14"/>
      <c r="P25" s="14"/>
      <c r="Q25" s="16"/>
      <c r="R25" s="14"/>
      <c r="Z25" s="16"/>
      <c r="AC25" s="14"/>
      <c r="AD25" s="14"/>
      <c r="AE25" s="14"/>
      <c r="AF25" s="14"/>
      <c r="AG25" s="14"/>
      <c r="AH25" s="14"/>
      <c r="AI25" s="14"/>
      <c r="AJ25" s="14"/>
      <c r="AK25" s="14"/>
      <c r="AL25" s="14"/>
      <c r="AS25" s="14"/>
      <c r="AT25" s="14"/>
      <c r="AU25" s="14"/>
      <c r="AV25" s="14"/>
      <c r="AW25" s="14"/>
      <c r="AX25" s="14"/>
      <c r="AY25" s="14"/>
      <c r="BA25" s="14"/>
      <c r="BE25" s="16"/>
      <c r="BH25" s="14"/>
      <c r="BI25" s="14"/>
      <c r="BJ25" s="14"/>
      <c r="BK25" s="14"/>
      <c r="BL25" s="14"/>
      <c r="BM25" s="14"/>
      <c r="BN25" s="14"/>
      <c r="BO25" s="14"/>
      <c r="BP25" s="14"/>
      <c r="BQ25" s="14"/>
      <c r="BX25" s="14"/>
      <c r="BY25" s="14"/>
      <c r="BZ25" s="14"/>
      <c r="CA25" s="14"/>
      <c r="CB25" s="14"/>
      <c r="CC25" s="14"/>
      <c r="CD25" s="14"/>
      <c r="CF25" s="14"/>
      <c r="CJ25" s="16"/>
      <c r="CM25" s="14"/>
      <c r="CN25" s="14"/>
      <c r="CO25" s="14"/>
      <c r="CP25" s="14"/>
      <c r="CQ25" s="14"/>
      <c r="CR25" s="14"/>
      <c r="CS25" s="14"/>
      <c r="CT25" s="14"/>
      <c r="CU25" s="14"/>
      <c r="CV25" s="14"/>
    </row>
    <row r="26" spans="1:100" x14ac:dyDescent="0.2">
      <c r="A26" s="14"/>
      <c r="B26" s="14"/>
      <c r="C26" s="14"/>
      <c r="D26" s="14"/>
      <c r="E26" s="14"/>
      <c r="F26" s="14"/>
      <c r="G26" s="14"/>
      <c r="H26" s="14"/>
      <c r="I26" s="14"/>
      <c r="J26" s="14"/>
      <c r="K26" s="14"/>
      <c r="L26" s="15"/>
      <c r="M26" s="14"/>
      <c r="N26" s="14"/>
      <c r="O26" s="14"/>
      <c r="P26" s="14"/>
      <c r="Q26" s="16"/>
      <c r="R26" s="14"/>
      <c r="Z26" s="16"/>
      <c r="AC26" s="14"/>
      <c r="AD26" s="14"/>
      <c r="AE26" s="14"/>
      <c r="AF26" s="14"/>
      <c r="AG26" s="14"/>
      <c r="AH26" s="14"/>
      <c r="AI26" s="14"/>
      <c r="AJ26" s="14"/>
      <c r="AK26" s="14"/>
      <c r="AL26" s="14"/>
      <c r="AS26" s="14"/>
      <c r="AT26" s="14"/>
      <c r="AU26" s="14"/>
      <c r="AV26" s="14"/>
      <c r="AW26" s="14"/>
      <c r="AX26" s="14"/>
      <c r="AY26" s="14"/>
      <c r="BA26" s="14"/>
      <c r="BE26" s="16"/>
      <c r="BH26" s="14"/>
      <c r="BI26" s="14"/>
      <c r="BJ26" s="14"/>
      <c r="BK26" s="14"/>
      <c r="BL26" s="14"/>
      <c r="BM26" s="14"/>
      <c r="BN26" s="14"/>
      <c r="BO26" s="14"/>
      <c r="BP26" s="14"/>
      <c r="BQ26" s="14"/>
      <c r="BX26" s="14"/>
      <c r="BY26" s="14"/>
      <c r="BZ26" s="14"/>
      <c r="CA26" s="14"/>
      <c r="CB26" s="14"/>
      <c r="CC26" s="14"/>
      <c r="CD26" s="14"/>
      <c r="CF26" s="14"/>
      <c r="CJ26" s="16"/>
      <c r="CM26" s="14"/>
      <c r="CN26" s="14"/>
      <c r="CO26" s="14"/>
      <c r="CP26" s="14"/>
      <c r="CQ26" s="14"/>
      <c r="CR26" s="14"/>
      <c r="CS26" s="14"/>
      <c r="CT26" s="14"/>
      <c r="CU26" s="14"/>
      <c r="CV26" s="14"/>
    </row>
    <row r="27" spans="1:100" x14ac:dyDescent="0.2">
      <c r="A27" s="14"/>
      <c r="B27" s="14"/>
      <c r="C27" s="14"/>
      <c r="D27" s="14"/>
      <c r="E27" s="14"/>
      <c r="F27" s="14"/>
      <c r="G27" s="14"/>
      <c r="H27" s="14"/>
      <c r="I27" s="14"/>
      <c r="J27" s="14"/>
      <c r="K27" s="14"/>
      <c r="L27" s="15"/>
      <c r="M27" s="14"/>
      <c r="N27" s="14"/>
      <c r="O27" s="14"/>
      <c r="P27" s="14"/>
      <c r="Q27" s="16"/>
      <c r="R27" s="14"/>
      <c r="Z27" s="16"/>
      <c r="AC27" s="14"/>
      <c r="AD27" s="14"/>
      <c r="AE27" s="14"/>
      <c r="AF27" s="14"/>
      <c r="AG27" s="14"/>
      <c r="AH27" s="14"/>
      <c r="AI27" s="14"/>
      <c r="AJ27" s="14"/>
      <c r="AK27" s="14"/>
      <c r="AL27" s="14"/>
      <c r="AS27" s="14"/>
      <c r="AT27" s="14"/>
      <c r="AU27" s="14"/>
      <c r="AV27" s="14"/>
      <c r="AW27" s="14"/>
      <c r="AX27" s="14"/>
      <c r="AY27" s="14"/>
      <c r="BA27" s="14"/>
      <c r="BE27" s="16"/>
      <c r="BH27" s="14"/>
      <c r="BI27" s="14"/>
      <c r="BJ27" s="14"/>
      <c r="BK27" s="14"/>
      <c r="BL27" s="14"/>
      <c r="BM27" s="14"/>
      <c r="BN27" s="14"/>
      <c r="BO27" s="14"/>
      <c r="BP27" s="14"/>
      <c r="BQ27" s="14"/>
      <c r="BX27" s="14"/>
      <c r="BY27" s="14"/>
      <c r="BZ27" s="14"/>
      <c r="CA27" s="14"/>
      <c r="CB27" s="14"/>
      <c r="CC27" s="14"/>
      <c r="CD27" s="14"/>
      <c r="CF27" s="14"/>
      <c r="CJ27" s="16"/>
      <c r="CM27" s="14"/>
      <c r="CN27" s="14"/>
      <c r="CO27" s="14"/>
      <c r="CP27" s="14"/>
      <c r="CQ27" s="14"/>
      <c r="CR27" s="14"/>
      <c r="CS27" s="14"/>
      <c r="CT27" s="14"/>
      <c r="CU27" s="14"/>
      <c r="CV27" s="14"/>
    </row>
    <row r="28" spans="1:100" x14ac:dyDescent="0.2">
      <c r="A28" s="14"/>
      <c r="B28" s="14"/>
      <c r="C28" s="14"/>
      <c r="D28" s="14"/>
      <c r="E28" s="14"/>
      <c r="F28" s="14"/>
      <c r="G28" s="14"/>
      <c r="H28" s="14"/>
      <c r="I28" s="14"/>
      <c r="J28" s="14"/>
      <c r="K28" s="14"/>
      <c r="L28" s="15"/>
      <c r="M28" s="14"/>
      <c r="N28" s="14"/>
      <c r="O28" s="14"/>
      <c r="P28" s="14"/>
      <c r="Q28" s="16"/>
      <c r="R28" s="14"/>
      <c r="Z28" s="16"/>
      <c r="AC28" s="14"/>
      <c r="AD28" s="14"/>
      <c r="AE28" s="14"/>
      <c r="AF28" s="14"/>
      <c r="AG28" s="14"/>
      <c r="AH28" s="14"/>
      <c r="AI28" s="14"/>
      <c r="AJ28" s="14"/>
      <c r="AK28" s="14"/>
      <c r="AL28" s="14"/>
      <c r="AS28" s="14"/>
      <c r="AT28" s="14"/>
      <c r="AU28" s="14"/>
      <c r="AV28" s="14"/>
      <c r="AW28" s="14"/>
      <c r="AX28" s="14"/>
      <c r="AY28" s="14"/>
      <c r="BA28" s="14"/>
      <c r="BE28" s="16"/>
      <c r="BH28" s="14"/>
      <c r="BI28" s="14"/>
      <c r="BJ28" s="14"/>
      <c r="BK28" s="14"/>
      <c r="BL28" s="14"/>
      <c r="BM28" s="14"/>
      <c r="BN28" s="14"/>
      <c r="BO28" s="14"/>
      <c r="BP28" s="14"/>
      <c r="BQ28" s="14"/>
      <c r="BX28" s="14"/>
      <c r="BY28" s="14"/>
      <c r="BZ28" s="14"/>
      <c r="CA28" s="14"/>
      <c r="CB28" s="14"/>
      <c r="CC28" s="14"/>
      <c r="CD28" s="14"/>
      <c r="CF28" s="14"/>
      <c r="CJ28" s="16"/>
      <c r="CM28" s="14"/>
      <c r="CN28" s="14"/>
      <c r="CO28" s="14"/>
      <c r="CP28" s="14"/>
      <c r="CQ28" s="14"/>
      <c r="CR28" s="14"/>
      <c r="CS28" s="14"/>
      <c r="CT28" s="14"/>
      <c r="CU28" s="14"/>
      <c r="CV28" s="14"/>
    </row>
    <row r="29" spans="1:100" x14ac:dyDescent="0.2">
      <c r="A29" s="14"/>
      <c r="B29" s="14"/>
      <c r="C29" s="14"/>
      <c r="D29" s="14"/>
      <c r="E29" s="14"/>
      <c r="F29" s="14"/>
      <c r="G29" s="14"/>
      <c r="H29" s="14"/>
      <c r="I29" s="14"/>
      <c r="J29" s="14"/>
      <c r="K29" s="14"/>
      <c r="L29" s="15"/>
      <c r="M29" s="14"/>
      <c r="N29" s="14"/>
      <c r="O29" s="14"/>
      <c r="P29" s="14"/>
      <c r="Q29" s="16"/>
      <c r="R29" s="14"/>
      <c r="Z29" s="16"/>
      <c r="AC29" s="14"/>
      <c r="AD29" s="14"/>
      <c r="AE29" s="14"/>
      <c r="AF29" s="14"/>
      <c r="AG29" s="14"/>
      <c r="AH29" s="14"/>
      <c r="AI29" s="14"/>
      <c r="AJ29" s="14"/>
      <c r="AK29" s="14"/>
      <c r="AL29" s="14"/>
      <c r="AS29" s="14"/>
      <c r="AT29" s="14"/>
      <c r="AU29" s="14"/>
      <c r="AV29" s="14"/>
      <c r="AW29" s="14"/>
      <c r="AX29" s="14"/>
      <c r="AY29" s="14"/>
      <c r="BA29" s="14"/>
      <c r="BE29" s="16"/>
      <c r="BH29" s="14"/>
      <c r="BI29" s="14"/>
      <c r="BJ29" s="14"/>
      <c r="BK29" s="14"/>
      <c r="BL29" s="14"/>
      <c r="BM29" s="14"/>
      <c r="BN29" s="14"/>
      <c r="BO29" s="14"/>
      <c r="BP29" s="14"/>
      <c r="BQ29" s="14"/>
      <c r="BX29" s="14"/>
      <c r="BY29" s="14"/>
      <c r="BZ29" s="14"/>
      <c r="CA29" s="14"/>
      <c r="CB29" s="14"/>
      <c r="CC29" s="14"/>
      <c r="CD29" s="14"/>
      <c r="CF29" s="14"/>
      <c r="CJ29" s="16"/>
      <c r="CM29" s="14"/>
      <c r="CN29" s="14"/>
      <c r="CO29" s="14"/>
      <c r="CP29" s="14"/>
      <c r="CQ29" s="14"/>
      <c r="CR29" s="14"/>
      <c r="CS29" s="14"/>
      <c r="CT29" s="14"/>
      <c r="CU29" s="14"/>
      <c r="CV29" s="14"/>
    </row>
    <row r="30" spans="1:100" x14ac:dyDescent="0.2">
      <c r="A30" s="14"/>
      <c r="B30" s="14"/>
      <c r="C30" s="14"/>
      <c r="D30" s="14"/>
      <c r="E30" s="14"/>
      <c r="F30" s="14"/>
      <c r="G30" s="14"/>
      <c r="H30" s="14"/>
      <c r="I30" s="14"/>
      <c r="J30" s="14"/>
      <c r="K30" s="14"/>
      <c r="L30" s="15"/>
      <c r="M30" s="14"/>
      <c r="N30" s="14"/>
      <c r="O30" s="14"/>
      <c r="P30" s="14"/>
      <c r="Q30" s="16"/>
      <c r="R30" s="14"/>
      <c r="Z30" s="16"/>
      <c r="AC30" s="14"/>
      <c r="AD30" s="14"/>
      <c r="AE30" s="14"/>
      <c r="AF30" s="14"/>
      <c r="AG30" s="14"/>
      <c r="AH30" s="14"/>
      <c r="AI30" s="14"/>
      <c r="AJ30" s="14"/>
      <c r="AK30" s="14"/>
      <c r="AL30" s="14"/>
      <c r="AS30" s="14"/>
      <c r="AT30" s="14"/>
      <c r="AU30" s="14"/>
      <c r="AV30" s="14"/>
      <c r="AW30" s="14"/>
      <c r="AX30" s="14"/>
      <c r="AY30" s="14"/>
      <c r="BA30" s="14"/>
      <c r="BE30" s="16"/>
      <c r="BH30" s="14"/>
      <c r="BI30" s="14"/>
      <c r="BJ30" s="14"/>
      <c r="BK30" s="14"/>
      <c r="BL30" s="14"/>
      <c r="BM30" s="14"/>
      <c r="BN30" s="14"/>
      <c r="BO30" s="14"/>
      <c r="BP30" s="14"/>
      <c r="BQ30" s="14"/>
      <c r="BX30" s="14"/>
      <c r="BY30" s="14"/>
      <c r="BZ30" s="14"/>
      <c r="CA30" s="14"/>
      <c r="CB30" s="14"/>
      <c r="CC30" s="14"/>
      <c r="CD30" s="14"/>
      <c r="CF30" s="14"/>
      <c r="CJ30" s="16"/>
      <c r="CM30" s="14"/>
      <c r="CN30" s="14"/>
      <c r="CO30" s="14"/>
      <c r="CP30" s="14"/>
      <c r="CQ30" s="14"/>
      <c r="CR30" s="14"/>
      <c r="CS30" s="14"/>
      <c r="CT30" s="14"/>
      <c r="CU30" s="14"/>
      <c r="CV30" s="14"/>
    </row>
    <row r="31" spans="1:100" x14ac:dyDescent="0.2">
      <c r="A31" s="14"/>
      <c r="B31" s="14"/>
      <c r="C31" s="14"/>
      <c r="D31" s="14"/>
      <c r="E31" s="14"/>
      <c r="F31" s="14"/>
      <c r="G31" s="14"/>
      <c r="H31" s="14"/>
      <c r="I31" s="14"/>
      <c r="J31" s="14"/>
      <c r="K31" s="14"/>
      <c r="L31" s="15"/>
      <c r="M31" s="14"/>
      <c r="N31" s="14"/>
      <c r="O31" s="14"/>
      <c r="P31" s="14"/>
      <c r="Q31" s="16"/>
      <c r="R31" s="14"/>
      <c r="Z31" s="16"/>
      <c r="AC31" s="14"/>
      <c r="AD31" s="14"/>
      <c r="AE31" s="14"/>
      <c r="AF31" s="14"/>
      <c r="AG31" s="14"/>
      <c r="AH31" s="14"/>
      <c r="AI31" s="14"/>
      <c r="AJ31" s="14"/>
      <c r="AK31" s="14"/>
      <c r="AL31" s="14"/>
      <c r="AS31" s="14"/>
      <c r="AT31" s="14"/>
      <c r="AU31" s="14"/>
      <c r="AV31" s="14"/>
      <c r="AW31" s="14"/>
      <c r="AX31" s="14"/>
      <c r="AY31" s="14"/>
      <c r="BA31" s="14"/>
      <c r="BE31" s="16"/>
      <c r="BH31" s="14"/>
      <c r="BI31" s="14"/>
      <c r="BJ31" s="14"/>
      <c r="BK31" s="14"/>
      <c r="BL31" s="14"/>
      <c r="BM31" s="14"/>
      <c r="BN31" s="14"/>
      <c r="BO31" s="14"/>
      <c r="BP31" s="14"/>
      <c r="BQ31" s="14"/>
      <c r="BX31" s="14"/>
      <c r="BY31" s="14"/>
      <c r="BZ31" s="14"/>
      <c r="CA31" s="14"/>
      <c r="CB31" s="14"/>
      <c r="CC31" s="14"/>
      <c r="CD31" s="14"/>
      <c r="CF31" s="14"/>
      <c r="CJ31" s="16"/>
      <c r="CM31" s="14"/>
      <c r="CN31" s="14"/>
      <c r="CO31" s="14"/>
      <c r="CP31" s="14"/>
      <c r="CQ31" s="14"/>
      <c r="CR31" s="14"/>
      <c r="CS31" s="14"/>
      <c r="CT31" s="14"/>
      <c r="CU31" s="14"/>
      <c r="CV31" s="14"/>
    </row>
    <row r="32" spans="1:100" x14ac:dyDescent="0.2">
      <c r="A32" s="14"/>
      <c r="B32" s="14"/>
      <c r="C32" s="14"/>
      <c r="D32" s="14"/>
      <c r="E32" s="14"/>
      <c r="F32" s="14"/>
      <c r="G32" s="14"/>
      <c r="H32" s="14"/>
      <c r="I32" s="14"/>
      <c r="J32" s="14"/>
      <c r="K32" s="14"/>
      <c r="L32" s="15"/>
      <c r="M32" s="14"/>
      <c r="N32" s="14"/>
      <c r="O32" s="14"/>
      <c r="P32" s="14"/>
      <c r="Q32" s="16"/>
      <c r="R32" s="14"/>
      <c r="Z32" s="16"/>
      <c r="AC32" s="14"/>
      <c r="AD32" s="14"/>
      <c r="AE32" s="14"/>
      <c r="AF32" s="14"/>
      <c r="AG32" s="14"/>
      <c r="AH32" s="14"/>
      <c r="AI32" s="14"/>
      <c r="AJ32" s="14"/>
      <c r="AK32" s="14"/>
      <c r="AL32" s="14"/>
      <c r="AS32" s="14"/>
      <c r="AT32" s="14"/>
      <c r="AU32" s="14"/>
      <c r="AV32" s="14"/>
      <c r="AW32" s="14"/>
      <c r="AX32" s="14"/>
      <c r="AY32" s="14"/>
      <c r="BA32" s="14"/>
      <c r="BE32" s="16"/>
      <c r="BH32" s="14"/>
      <c r="BI32" s="14"/>
      <c r="BJ32" s="14"/>
      <c r="BK32" s="14"/>
      <c r="BL32" s="14"/>
      <c r="BM32" s="14"/>
      <c r="BN32" s="14"/>
      <c r="BO32" s="14"/>
      <c r="BP32" s="14"/>
      <c r="BQ32" s="14"/>
      <c r="BX32" s="14"/>
      <c r="BY32" s="14"/>
      <c r="BZ32" s="14"/>
      <c r="CA32" s="14"/>
      <c r="CB32" s="14"/>
      <c r="CC32" s="14"/>
      <c r="CD32" s="14"/>
      <c r="CF32" s="14"/>
      <c r="CJ32" s="16"/>
      <c r="CM32" s="14"/>
      <c r="CN32" s="14"/>
      <c r="CO32" s="14"/>
      <c r="CP32" s="14"/>
      <c r="CQ32" s="14"/>
      <c r="CR32" s="14"/>
      <c r="CS32" s="14"/>
      <c r="CT32" s="14"/>
      <c r="CU32" s="14"/>
      <c r="CV32" s="14"/>
    </row>
    <row r="33" spans="1:100" x14ac:dyDescent="0.2">
      <c r="A33" s="14"/>
      <c r="B33" s="14"/>
      <c r="C33" s="14"/>
      <c r="D33" s="14"/>
      <c r="E33" s="14"/>
      <c r="F33" s="14"/>
      <c r="G33" s="14"/>
      <c r="H33" s="14"/>
      <c r="I33" s="14"/>
      <c r="J33" s="14"/>
      <c r="K33" s="14"/>
      <c r="L33" s="15"/>
      <c r="M33" s="14"/>
      <c r="N33" s="14"/>
      <c r="O33" s="14"/>
      <c r="P33" s="14"/>
      <c r="Q33" s="16"/>
      <c r="R33" s="14"/>
      <c r="Z33" s="16"/>
      <c r="AC33" s="14"/>
      <c r="AD33" s="14"/>
      <c r="AE33" s="14"/>
      <c r="AF33" s="14"/>
      <c r="AG33" s="14"/>
      <c r="AH33" s="14"/>
      <c r="AI33" s="14"/>
      <c r="AJ33" s="14"/>
      <c r="AK33" s="14"/>
      <c r="AL33" s="14"/>
      <c r="AS33" s="14"/>
      <c r="AT33" s="14"/>
      <c r="AU33" s="14"/>
      <c r="AV33" s="14"/>
      <c r="AW33" s="14"/>
      <c r="AX33" s="14"/>
      <c r="AY33" s="14"/>
      <c r="BA33" s="14"/>
      <c r="BE33" s="16"/>
      <c r="BH33" s="14"/>
      <c r="BI33" s="14"/>
      <c r="BJ33" s="14"/>
      <c r="BK33" s="14"/>
      <c r="BL33" s="14"/>
      <c r="BM33" s="14"/>
      <c r="BN33" s="14"/>
      <c r="BO33" s="14"/>
      <c r="BP33" s="14"/>
      <c r="BQ33" s="14"/>
      <c r="BX33" s="14"/>
      <c r="BY33" s="14"/>
      <c r="BZ33" s="14"/>
      <c r="CA33" s="14"/>
      <c r="CB33" s="14"/>
      <c r="CC33" s="14"/>
      <c r="CD33" s="14"/>
      <c r="CF33" s="14"/>
      <c r="CJ33" s="16"/>
      <c r="CM33" s="14"/>
      <c r="CN33" s="14"/>
      <c r="CO33" s="14"/>
      <c r="CP33" s="14"/>
      <c r="CQ33" s="14"/>
      <c r="CR33" s="14"/>
      <c r="CS33" s="14"/>
      <c r="CT33" s="14"/>
      <c r="CU33" s="14"/>
      <c r="CV33" s="14"/>
    </row>
    <row r="34" spans="1:100" x14ac:dyDescent="0.2">
      <c r="A34" s="14"/>
      <c r="B34" s="14"/>
      <c r="C34" s="14"/>
      <c r="D34" s="14"/>
      <c r="E34" s="14"/>
      <c r="F34" s="14"/>
      <c r="G34" s="14"/>
      <c r="H34" s="14"/>
      <c r="I34" s="14"/>
      <c r="J34" s="14"/>
      <c r="K34" s="14"/>
      <c r="L34" s="15"/>
      <c r="M34" s="14"/>
      <c r="N34" s="14"/>
      <c r="O34" s="14"/>
      <c r="P34" s="14"/>
      <c r="Q34" s="16"/>
      <c r="R34" s="14"/>
      <c r="Z34" s="16"/>
      <c r="AC34" s="14"/>
      <c r="AD34" s="14"/>
      <c r="AE34" s="14"/>
      <c r="AF34" s="14"/>
      <c r="AG34" s="14"/>
      <c r="AH34" s="14"/>
      <c r="AI34" s="14"/>
      <c r="AJ34" s="14"/>
      <c r="AK34" s="14"/>
      <c r="AL34" s="14"/>
      <c r="AS34" s="14"/>
      <c r="AT34" s="14"/>
      <c r="AU34" s="14"/>
      <c r="AV34" s="14"/>
      <c r="AW34" s="14"/>
      <c r="AX34" s="14"/>
      <c r="AY34" s="14"/>
      <c r="BA34" s="14"/>
      <c r="BE34" s="16"/>
      <c r="BH34" s="14"/>
      <c r="BI34" s="14"/>
      <c r="BJ34" s="14"/>
      <c r="BK34" s="14"/>
      <c r="BL34" s="14"/>
      <c r="BM34" s="14"/>
      <c r="BN34" s="14"/>
      <c r="BO34" s="14"/>
      <c r="BP34" s="14"/>
      <c r="BQ34" s="14"/>
      <c r="BX34" s="14"/>
      <c r="BY34" s="14"/>
      <c r="BZ34" s="14"/>
      <c r="CA34" s="14"/>
      <c r="CB34" s="14"/>
      <c r="CC34" s="14"/>
      <c r="CD34" s="14"/>
      <c r="CF34" s="14"/>
      <c r="CJ34" s="16"/>
      <c r="CM34" s="14"/>
      <c r="CN34" s="14"/>
      <c r="CO34" s="14"/>
      <c r="CP34" s="14"/>
      <c r="CQ34" s="14"/>
      <c r="CR34" s="14"/>
      <c r="CS34" s="14"/>
      <c r="CT34" s="14"/>
      <c r="CU34" s="14"/>
      <c r="CV34" s="14"/>
    </row>
    <row r="35" spans="1:100" x14ac:dyDescent="0.2">
      <c r="A35" s="14"/>
      <c r="B35" s="14"/>
      <c r="C35" s="14"/>
      <c r="D35" s="14"/>
      <c r="E35" s="14"/>
      <c r="F35" s="14"/>
      <c r="G35" s="14"/>
      <c r="H35" s="14"/>
      <c r="I35" s="14"/>
      <c r="J35" s="14"/>
      <c r="K35" s="14"/>
      <c r="L35" s="15"/>
      <c r="M35" s="14"/>
      <c r="N35" s="14"/>
      <c r="O35" s="14"/>
      <c r="P35" s="14"/>
      <c r="Q35" s="16"/>
      <c r="R35" s="14"/>
      <c r="Z35" s="16"/>
      <c r="AC35" s="14"/>
      <c r="AD35" s="14"/>
      <c r="AE35" s="14"/>
      <c r="AF35" s="14"/>
      <c r="AG35" s="14"/>
      <c r="AH35" s="14"/>
      <c r="AI35" s="14"/>
      <c r="AJ35" s="14"/>
      <c r="AK35" s="14"/>
      <c r="AL35" s="14"/>
      <c r="AS35" s="14"/>
      <c r="AT35" s="14"/>
      <c r="AU35" s="14"/>
      <c r="AV35" s="14"/>
      <c r="AW35" s="14"/>
      <c r="AX35" s="14"/>
      <c r="AY35" s="14"/>
      <c r="BA35" s="14"/>
      <c r="BE35" s="16"/>
      <c r="BH35" s="14"/>
      <c r="BI35" s="14"/>
      <c r="BJ35" s="14"/>
      <c r="BK35" s="14"/>
      <c r="BL35" s="14"/>
      <c r="BM35" s="14"/>
      <c r="BN35" s="14"/>
      <c r="BO35" s="14"/>
      <c r="BP35" s="14"/>
      <c r="BQ35" s="14"/>
      <c r="BX35" s="14"/>
      <c r="BY35" s="14"/>
      <c r="BZ35" s="14"/>
      <c r="CA35" s="14"/>
      <c r="CB35" s="14"/>
      <c r="CC35" s="14"/>
      <c r="CD35" s="14"/>
      <c r="CF35" s="14"/>
      <c r="CJ35" s="16"/>
      <c r="CM35" s="14"/>
      <c r="CN35" s="14"/>
      <c r="CO35" s="14"/>
      <c r="CP35" s="14"/>
      <c r="CQ35" s="14"/>
      <c r="CR35" s="14"/>
      <c r="CS35" s="14"/>
      <c r="CT35" s="14"/>
      <c r="CU35" s="14"/>
      <c r="CV35" s="14"/>
    </row>
    <row r="36" spans="1:100" x14ac:dyDescent="0.2">
      <c r="A36" s="14"/>
      <c r="B36" s="14"/>
      <c r="C36" s="14"/>
      <c r="D36" s="14"/>
      <c r="E36" s="14"/>
      <c r="F36" s="14"/>
      <c r="G36" s="14"/>
      <c r="H36" s="14"/>
      <c r="I36" s="14"/>
      <c r="J36" s="14"/>
      <c r="K36" s="14"/>
      <c r="L36" s="15"/>
      <c r="M36" s="14"/>
      <c r="N36" s="14"/>
      <c r="O36" s="14"/>
      <c r="P36" s="14"/>
      <c r="Q36" s="16"/>
      <c r="R36" s="14"/>
      <c r="Z36" s="16"/>
      <c r="AC36" s="14"/>
      <c r="AD36" s="14"/>
      <c r="AE36" s="14"/>
      <c r="AF36" s="14"/>
      <c r="AG36" s="14"/>
      <c r="AH36" s="14"/>
      <c r="AI36" s="14"/>
      <c r="AJ36" s="14"/>
      <c r="AK36" s="14"/>
      <c r="AL36" s="14"/>
      <c r="AS36" s="14"/>
      <c r="AT36" s="14"/>
      <c r="AU36" s="14"/>
      <c r="AV36" s="14"/>
      <c r="AW36" s="14"/>
      <c r="AX36" s="14"/>
      <c r="AY36" s="14"/>
      <c r="BA36" s="14"/>
      <c r="BE36" s="16"/>
      <c r="BH36" s="14"/>
      <c r="BI36" s="14"/>
      <c r="BJ36" s="14"/>
      <c r="BK36" s="14"/>
      <c r="BL36" s="14"/>
      <c r="BM36" s="14"/>
      <c r="BN36" s="14"/>
      <c r="BO36" s="14"/>
      <c r="BP36" s="14"/>
      <c r="BQ36" s="14"/>
      <c r="BX36" s="14"/>
      <c r="BY36" s="14"/>
      <c r="BZ36" s="14"/>
      <c r="CA36" s="14"/>
      <c r="CB36" s="14"/>
      <c r="CC36" s="14"/>
      <c r="CD36" s="14"/>
      <c r="CF36" s="14"/>
      <c r="CJ36" s="16"/>
      <c r="CM36" s="14"/>
      <c r="CN36" s="14"/>
      <c r="CO36" s="14"/>
      <c r="CP36" s="14"/>
      <c r="CQ36" s="14"/>
      <c r="CR36" s="14"/>
      <c r="CS36" s="14"/>
      <c r="CT36" s="14"/>
      <c r="CU36" s="14"/>
      <c r="CV36" s="14"/>
    </row>
    <row r="37" spans="1:100" x14ac:dyDescent="0.2">
      <c r="A37" s="14"/>
      <c r="B37" s="14"/>
      <c r="C37" s="14"/>
      <c r="D37" s="14"/>
      <c r="E37" s="14"/>
      <c r="F37" s="14"/>
      <c r="G37" s="14"/>
      <c r="H37" s="14"/>
      <c r="I37" s="14"/>
      <c r="J37" s="14"/>
      <c r="K37" s="14"/>
      <c r="L37" s="15"/>
      <c r="M37" s="14"/>
      <c r="N37" s="14"/>
      <c r="O37" s="14"/>
      <c r="P37" s="14"/>
      <c r="Q37" s="16"/>
      <c r="R37" s="14"/>
      <c r="Z37" s="16"/>
      <c r="AC37" s="14"/>
      <c r="AD37" s="14"/>
      <c r="AE37" s="14"/>
      <c r="AF37" s="14"/>
      <c r="AG37" s="14"/>
      <c r="AH37" s="14"/>
      <c r="AI37" s="14"/>
      <c r="AJ37" s="14"/>
      <c r="AK37" s="14"/>
      <c r="AL37" s="14"/>
      <c r="AS37" s="14"/>
      <c r="AT37" s="14"/>
      <c r="AU37" s="14"/>
      <c r="AV37" s="14"/>
      <c r="AW37" s="14"/>
      <c r="AX37" s="14"/>
      <c r="AY37" s="14"/>
      <c r="BA37" s="14"/>
      <c r="BE37" s="16"/>
      <c r="BH37" s="14"/>
      <c r="BI37" s="14"/>
      <c r="BJ37" s="14"/>
      <c r="BK37" s="14"/>
      <c r="BL37" s="14"/>
      <c r="BM37" s="14"/>
      <c r="BN37" s="14"/>
      <c r="BO37" s="14"/>
      <c r="BP37" s="14"/>
      <c r="BQ37" s="14"/>
      <c r="BX37" s="14"/>
      <c r="BY37" s="14"/>
      <c r="BZ37" s="14"/>
      <c r="CA37" s="14"/>
      <c r="CB37" s="14"/>
      <c r="CC37" s="14"/>
      <c r="CD37" s="14"/>
      <c r="CF37" s="14"/>
      <c r="CJ37" s="16"/>
      <c r="CM37" s="14"/>
      <c r="CN37" s="14"/>
      <c r="CO37" s="14"/>
      <c r="CP37" s="14"/>
      <c r="CQ37" s="14"/>
      <c r="CR37" s="14"/>
      <c r="CS37" s="14"/>
      <c r="CT37" s="14"/>
      <c r="CU37" s="14"/>
      <c r="CV37" s="14"/>
    </row>
    <row r="38" spans="1:100" x14ac:dyDescent="0.2">
      <c r="A38" s="14"/>
      <c r="B38" s="14"/>
      <c r="C38" s="14"/>
      <c r="D38" s="14"/>
      <c r="E38" s="14"/>
      <c r="F38" s="14"/>
      <c r="G38" s="14"/>
      <c r="H38" s="14"/>
      <c r="I38" s="14"/>
      <c r="J38" s="14"/>
      <c r="K38" s="14"/>
      <c r="L38" s="15"/>
      <c r="M38" s="14"/>
      <c r="N38" s="14"/>
      <c r="O38" s="14"/>
      <c r="P38" s="14"/>
      <c r="Q38" s="16"/>
      <c r="R38" s="14"/>
      <c r="Z38" s="16"/>
      <c r="AC38" s="14"/>
      <c r="AD38" s="14"/>
      <c r="AE38" s="14"/>
      <c r="AF38" s="14"/>
      <c r="AG38" s="14"/>
      <c r="AH38" s="14"/>
      <c r="AI38" s="14"/>
      <c r="AJ38" s="14"/>
      <c r="AK38" s="14"/>
      <c r="AL38" s="14"/>
      <c r="AS38" s="14"/>
      <c r="AT38" s="14"/>
      <c r="AU38" s="14"/>
      <c r="AV38" s="14"/>
      <c r="AW38" s="14"/>
      <c r="AX38" s="14"/>
      <c r="AY38" s="14"/>
      <c r="BA38" s="14"/>
      <c r="BE38" s="16"/>
      <c r="BH38" s="14"/>
      <c r="BI38" s="14"/>
      <c r="BJ38" s="14"/>
      <c r="BK38" s="14"/>
      <c r="BL38" s="14"/>
      <c r="BM38" s="14"/>
      <c r="BN38" s="14"/>
      <c r="BO38" s="14"/>
      <c r="BP38" s="14"/>
      <c r="BQ38" s="14"/>
      <c r="BX38" s="14"/>
      <c r="BY38" s="14"/>
      <c r="BZ38" s="14"/>
      <c r="CA38" s="14"/>
      <c r="CB38" s="14"/>
      <c r="CC38" s="14"/>
      <c r="CD38" s="14"/>
      <c r="CF38" s="14"/>
      <c r="CJ38" s="16"/>
      <c r="CM38" s="14"/>
      <c r="CN38" s="14"/>
      <c r="CO38" s="14"/>
      <c r="CP38" s="14"/>
      <c r="CQ38" s="14"/>
      <c r="CR38" s="14"/>
      <c r="CS38" s="14"/>
      <c r="CT38" s="14"/>
      <c r="CU38" s="14"/>
      <c r="CV38" s="14"/>
    </row>
    <row r="39" spans="1:100" x14ac:dyDescent="0.2">
      <c r="A39" s="14"/>
      <c r="B39" s="14"/>
      <c r="C39" s="14"/>
      <c r="D39" s="14"/>
      <c r="E39" s="14"/>
      <c r="F39" s="14"/>
      <c r="G39" s="14"/>
      <c r="H39" s="14"/>
      <c r="I39" s="14"/>
      <c r="J39" s="14"/>
      <c r="K39" s="14"/>
      <c r="L39" s="15"/>
      <c r="M39" s="14"/>
      <c r="N39" s="14"/>
      <c r="O39" s="14"/>
      <c r="P39" s="14"/>
      <c r="Q39" s="16"/>
      <c r="R39" s="14"/>
      <c r="Z39" s="16"/>
      <c r="AC39" s="14"/>
      <c r="AD39" s="14"/>
      <c r="AE39" s="14"/>
      <c r="AF39" s="14"/>
      <c r="AG39" s="14"/>
      <c r="AH39" s="14"/>
      <c r="AI39" s="14"/>
      <c r="AJ39" s="14"/>
      <c r="AK39" s="14"/>
      <c r="AL39" s="14"/>
      <c r="AS39" s="14"/>
      <c r="AT39" s="14"/>
      <c r="AU39" s="14"/>
      <c r="AV39" s="14"/>
      <c r="AW39" s="14"/>
      <c r="AX39" s="14"/>
      <c r="AY39" s="14"/>
      <c r="BA39" s="14"/>
      <c r="BE39" s="16"/>
      <c r="BH39" s="14"/>
      <c r="BI39" s="14"/>
      <c r="BJ39" s="14"/>
      <c r="BK39" s="14"/>
      <c r="BL39" s="14"/>
      <c r="BM39" s="14"/>
      <c r="BN39" s="14"/>
      <c r="BO39" s="14"/>
      <c r="BP39" s="14"/>
      <c r="BQ39" s="14"/>
      <c r="BX39" s="14"/>
      <c r="BY39" s="14"/>
      <c r="BZ39" s="14"/>
      <c r="CA39" s="14"/>
      <c r="CB39" s="14"/>
      <c r="CC39" s="14"/>
      <c r="CD39" s="14"/>
      <c r="CF39" s="14"/>
      <c r="CJ39" s="16"/>
      <c r="CM39" s="14"/>
      <c r="CN39" s="14"/>
      <c r="CO39" s="14"/>
      <c r="CP39" s="14"/>
      <c r="CQ39" s="14"/>
      <c r="CR39" s="14"/>
      <c r="CS39" s="14"/>
      <c r="CT39" s="14"/>
      <c r="CU39" s="14"/>
      <c r="CV39" s="14"/>
    </row>
    <row r="40" spans="1:100" x14ac:dyDescent="0.2">
      <c r="A40" s="14"/>
      <c r="B40" s="14"/>
      <c r="C40" s="14"/>
      <c r="D40" s="14"/>
      <c r="E40" s="14"/>
      <c r="F40" s="14"/>
      <c r="G40" s="14"/>
      <c r="H40" s="14"/>
      <c r="I40" s="14"/>
      <c r="J40" s="14"/>
      <c r="K40" s="14"/>
      <c r="L40" s="15"/>
      <c r="M40" s="14"/>
      <c r="N40" s="14"/>
      <c r="O40" s="14"/>
      <c r="P40" s="14"/>
      <c r="Q40" s="16"/>
      <c r="R40" s="14"/>
      <c r="Z40" s="16"/>
      <c r="AC40" s="14"/>
      <c r="AD40" s="14"/>
      <c r="AE40" s="14"/>
      <c r="AF40" s="14"/>
      <c r="AG40" s="14"/>
      <c r="AH40" s="14"/>
      <c r="AI40" s="14"/>
      <c r="AJ40" s="14"/>
      <c r="AK40" s="14"/>
      <c r="AL40" s="14"/>
      <c r="AS40" s="14"/>
      <c r="AT40" s="14"/>
      <c r="AU40" s="14"/>
      <c r="AV40" s="14"/>
      <c r="AW40" s="14"/>
      <c r="AX40" s="14"/>
      <c r="AY40" s="14"/>
      <c r="BA40" s="14"/>
      <c r="BE40" s="16"/>
      <c r="BH40" s="14"/>
      <c r="BI40" s="14"/>
      <c r="BJ40" s="14"/>
      <c r="BK40" s="14"/>
      <c r="BL40" s="14"/>
      <c r="BM40" s="14"/>
      <c r="BN40" s="14"/>
      <c r="BO40" s="14"/>
      <c r="BP40" s="14"/>
      <c r="BQ40" s="14"/>
      <c r="BX40" s="14"/>
      <c r="BY40" s="14"/>
      <c r="BZ40" s="14"/>
      <c r="CA40" s="14"/>
      <c r="CB40" s="14"/>
      <c r="CC40" s="14"/>
      <c r="CD40" s="14"/>
      <c r="CF40" s="14"/>
      <c r="CJ40" s="16"/>
      <c r="CM40" s="14"/>
      <c r="CN40" s="14"/>
      <c r="CO40" s="14"/>
      <c r="CP40" s="14"/>
      <c r="CQ40" s="14"/>
      <c r="CR40" s="14"/>
      <c r="CS40" s="14"/>
      <c r="CT40" s="14"/>
      <c r="CU40" s="14"/>
      <c r="CV40" s="14"/>
    </row>
    <row r="41" spans="1:100" x14ac:dyDescent="0.2">
      <c r="A41" s="14"/>
      <c r="B41" s="14"/>
      <c r="C41" s="14"/>
      <c r="D41" s="14"/>
      <c r="E41" s="14"/>
      <c r="F41" s="14"/>
      <c r="G41" s="14"/>
      <c r="H41" s="14"/>
      <c r="I41" s="14"/>
      <c r="J41" s="14"/>
      <c r="K41" s="14"/>
      <c r="L41" s="15"/>
      <c r="M41" s="14"/>
      <c r="N41" s="14"/>
      <c r="O41" s="14"/>
      <c r="P41" s="14"/>
      <c r="Q41" s="16"/>
      <c r="R41" s="14"/>
      <c r="Z41" s="16"/>
      <c r="AC41" s="14"/>
      <c r="AD41" s="14"/>
      <c r="AE41" s="14"/>
      <c r="AF41" s="14"/>
      <c r="AG41" s="14"/>
      <c r="AH41" s="14"/>
      <c r="AI41" s="14"/>
      <c r="AJ41" s="14"/>
      <c r="AK41" s="14"/>
      <c r="AL41" s="14"/>
      <c r="AS41" s="14"/>
      <c r="AT41" s="14"/>
      <c r="AU41" s="14"/>
      <c r="AV41" s="14"/>
      <c r="AW41" s="14"/>
      <c r="AX41" s="14"/>
      <c r="AY41" s="14"/>
      <c r="BA41" s="14"/>
      <c r="BE41" s="16"/>
      <c r="BH41" s="14"/>
      <c r="BI41" s="14"/>
      <c r="BJ41" s="14"/>
      <c r="BK41" s="14"/>
      <c r="BL41" s="14"/>
      <c r="BM41" s="14"/>
      <c r="BN41" s="14"/>
      <c r="BO41" s="14"/>
      <c r="BP41" s="14"/>
      <c r="BQ41" s="14"/>
      <c r="BX41" s="14"/>
      <c r="BY41" s="14"/>
      <c r="BZ41" s="14"/>
      <c r="CA41" s="14"/>
      <c r="CB41" s="14"/>
      <c r="CC41" s="14"/>
      <c r="CD41" s="14"/>
      <c r="CF41" s="14"/>
      <c r="CJ41" s="16"/>
      <c r="CM41" s="14"/>
      <c r="CN41" s="14"/>
      <c r="CO41" s="14"/>
      <c r="CP41" s="14"/>
      <c r="CQ41" s="14"/>
      <c r="CR41" s="14"/>
      <c r="CS41" s="14"/>
      <c r="CT41" s="14"/>
      <c r="CU41" s="14"/>
      <c r="CV41" s="14"/>
    </row>
    <row r="42" spans="1:100" x14ac:dyDescent="0.2">
      <c r="A42" s="14"/>
      <c r="B42" s="14"/>
      <c r="C42" s="14"/>
      <c r="D42" s="14"/>
      <c r="E42" s="14"/>
      <c r="F42" s="14"/>
      <c r="G42" s="14"/>
      <c r="H42" s="14"/>
      <c r="I42" s="14"/>
      <c r="J42" s="14"/>
      <c r="K42" s="14"/>
      <c r="L42" s="15"/>
      <c r="M42" s="14"/>
      <c r="N42" s="14"/>
      <c r="O42" s="14"/>
      <c r="P42" s="14"/>
      <c r="Q42" s="16"/>
      <c r="R42" s="14"/>
      <c r="Z42" s="16"/>
      <c r="AC42" s="14"/>
      <c r="AD42" s="14"/>
      <c r="AE42" s="14"/>
      <c r="AF42" s="14"/>
      <c r="AG42" s="14"/>
      <c r="AH42" s="14"/>
      <c r="AI42" s="14"/>
      <c r="AJ42" s="14"/>
      <c r="AK42" s="14"/>
      <c r="AL42" s="14"/>
      <c r="AS42" s="14"/>
      <c r="AT42" s="14"/>
      <c r="AU42" s="14"/>
      <c r="AV42" s="14"/>
      <c r="AW42" s="14"/>
      <c r="AX42" s="14"/>
      <c r="AY42" s="14"/>
      <c r="BA42" s="14"/>
      <c r="BE42" s="16"/>
      <c r="BH42" s="14"/>
      <c r="BI42" s="14"/>
      <c r="BJ42" s="14"/>
      <c r="BK42" s="14"/>
      <c r="BL42" s="14"/>
      <c r="BM42" s="14"/>
      <c r="BN42" s="14"/>
      <c r="BO42" s="14"/>
      <c r="BP42" s="14"/>
      <c r="BQ42" s="14"/>
      <c r="BX42" s="14"/>
      <c r="BY42" s="14"/>
      <c r="BZ42" s="14"/>
      <c r="CA42" s="14"/>
      <c r="CB42" s="14"/>
      <c r="CC42" s="14"/>
      <c r="CD42" s="14"/>
      <c r="CF42" s="14"/>
      <c r="CJ42" s="16"/>
      <c r="CM42" s="14"/>
      <c r="CN42" s="14"/>
      <c r="CO42" s="14"/>
      <c r="CP42" s="14"/>
      <c r="CQ42" s="14"/>
      <c r="CR42" s="14"/>
      <c r="CS42" s="14"/>
      <c r="CT42" s="14"/>
      <c r="CU42" s="14"/>
      <c r="CV42" s="14"/>
    </row>
    <row r="43" spans="1:100" x14ac:dyDescent="0.2">
      <c r="A43" s="14"/>
      <c r="B43" s="14"/>
      <c r="C43" s="14"/>
      <c r="D43" s="14"/>
      <c r="E43" s="14"/>
      <c r="F43" s="14"/>
      <c r="G43" s="14"/>
      <c r="H43" s="14"/>
      <c r="I43" s="14"/>
      <c r="J43" s="14"/>
      <c r="K43" s="14"/>
      <c r="L43" s="15"/>
      <c r="M43" s="14"/>
      <c r="N43" s="14"/>
      <c r="O43" s="14"/>
      <c r="P43" s="14"/>
      <c r="Q43" s="16"/>
      <c r="R43" s="14"/>
      <c r="Z43" s="16"/>
      <c r="AC43" s="14"/>
      <c r="AD43" s="14"/>
      <c r="AE43" s="14"/>
      <c r="AF43" s="14"/>
      <c r="AG43" s="14"/>
      <c r="AH43" s="14"/>
      <c r="AI43" s="14"/>
      <c r="AJ43" s="14"/>
      <c r="AK43" s="14"/>
      <c r="AL43" s="14"/>
      <c r="AS43" s="14"/>
      <c r="AT43" s="14"/>
      <c r="AU43" s="14"/>
      <c r="AV43" s="14"/>
      <c r="AW43" s="14"/>
      <c r="AX43" s="14"/>
      <c r="AY43" s="14"/>
      <c r="BA43" s="14"/>
      <c r="BE43" s="16"/>
      <c r="BH43" s="14"/>
      <c r="BI43" s="14"/>
      <c r="BJ43" s="14"/>
      <c r="BK43" s="14"/>
      <c r="BL43" s="14"/>
      <c r="BM43" s="14"/>
      <c r="BN43" s="14"/>
      <c r="BO43" s="14"/>
      <c r="BP43" s="14"/>
      <c r="BQ43" s="14"/>
      <c r="BX43" s="14"/>
      <c r="BY43" s="14"/>
      <c r="BZ43" s="14"/>
      <c r="CA43" s="14"/>
      <c r="CB43" s="14"/>
      <c r="CC43" s="14"/>
      <c r="CD43" s="14"/>
      <c r="CF43" s="14"/>
      <c r="CJ43" s="16"/>
      <c r="CM43" s="14"/>
      <c r="CN43" s="14"/>
      <c r="CO43" s="14"/>
      <c r="CP43" s="14"/>
      <c r="CQ43" s="14"/>
      <c r="CR43" s="14"/>
      <c r="CS43" s="14"/>
      <c r="CT43" s="14"/>
      <c r="CU43" s="14"/>
      <c r="CV43" s="14"/>
    </row>
    <row r="44" spans="1:100" x14ac:dyDescent="0.2">
      <c r="A44" s="14"/>
      <c r="B44" s="14"/>
      <c r="C44" s="14"/>
      <c r="D44" s="14"/>
      <c r="E44" s="14"/>
      <c r="F44" s="14"/>
      <c r="G44" s="14"/>
      <c r="H44" s="14"/>
      <c r="I44" s="14"/>
      <c r="J44" s="14"/>
      <c r="K44" s="14"/>
      <c r="L44" s="15"/>
      <c r="M44" s="14"/>
      <c r="N44" s="14"/>
      <c r="O44" s="14"/>
      <c r="P44" s="14"/>
      <c r="Q44" s="16"/>
      <c r="R44" s="14"/>
      <c r="Z44" s="16"/>
      <c r="AC44" s="14"/>
      <c r="AD44" s="14"/>
      <c r="AE44" s="14"/>
      <c r="AF44" s="14"/>
      <c r="AG44" s="14"/>
      <c r="AH44" s="14"/>
      <c r="AI44" s="14"/>
      <c r="AJ44" s="14"/>
      <c r="AK44" s="14"/>
      <c r="AL44" s="14"/>
      <c r="AS44" s="14"/>
      <c r="AT44" s="14"/>
      <c r="AU44" s="14"/>
      <c r="AV44" s="14"/>
      <c r="AW44" s="14"/>
      <c r="AX44" s="14"/>
      <c r="AY44" s="14"/>
      <c r="BA44" s="14"/>
      <c r="BE44" s="16"/>
      <c r="BH44" s="14"/>
      <c r="BI44" s="14"/>
      <c r="BJ44" s="14"/>
      <c r="BK44" s="14"/>
      <c r="BL44" s="14"/>
      <c r="BM44" s="14"/>
      <c r="BN44" s="14"/>
      <c r="BO44" s="14"/>
      <c r="BP44" s="14"/>
      <c r="BQ44" s="14"/>
      <c r="BX44" s="14"/>
      <c r="BY44" s="14"/>
      <c r="BZ44" s="14"/>
      <c r="CA44" s="14"/>
      <c r="CB44" s="14"/>
      <c r="CC44" s="14"/>
      <c r="CD44" s="14"/>
      <c r="CF44" s="14"/>
      <c r="CJ44" s="16"/>
      <c r="CM44" s="14"/>
      <c r="CN44" s="14"/>
      <c r="CO44" s="14"/>
      <c r="CP44" s="14"/>
      <c r="CQ44" s="14"/>
      <c r="CR44" s="14"/>
      <c r="CS44" s="14"/>
      <c r="CT44" s="14"/>
      <c r="CU44" s="14"/>
      <c r="CV44" s="14"/>
    </row>
    <row r="45" spans="1:100" x14ac:dyDescent="0.2">
      <c r="A45" s="14"/>
      <c r="B45" s="14"/>
      <c r="C45" s="14"/>
      <c r="D45" s="14"/>
      <c r="E45" s="14"/>
      <c r="F45" s="14"/>
      <c r="G45" s="14"/>
      <c r="H45" s="14"/>
      <c r="I45" s="14"/>
      <c r="J45" s="14"/>
      <c r="K45" s="14"/>
      <c r="L45" s="15"/>
      <c r="M45" s="14"/>
      <c r="N45" s="14"/>
      <c r="O45" s="14"/>
      <c r="P45" s="14"/>
      <c r="Q45" s="16"/>
      <c r="R45" s="14"/>
      <c r="Z45" s="16"/>
      <c r="AC45" s="14"/>
      <c r="AD45" s="14"/>
      <c r="AE45" s="14"/>
      <c r="AF45" s="14"/>
      <c r="AG45" s="14"/>
      <c r="AH45" s="14"/>
      <c r="AI45" s="14"/>
      <c r="AJ45" s="14"/>
      <c r="AK45" s="14"/>
      <c r="AL45" s="14"/>
      <c r="AS45" s="14"/>
      <c r="AT45" s="14"/>
      <c r="AU45" s="14"/>
      <c r="AV45" s="14"/>
      <c r="AW45" s="14"/>
      <c r="AX45" s="14"/>
      <c r="AY45" s="14"/>
      <c r="BA45" s="14"/>
      <c r="BE45" s="16"/>
      <c r="BH45" s="14"/>
      <c r="BI45" s="14"/>
      <c r="BJ45" s="14"/>
      <c r="BK45" s="14"/>
      <c r="BL45" s="14"/>
      <c r="BM45" s="14"/>
      <c r="BN45" s="14"/>
      <c r="BO45" s="14"/>
      <c r="BP45" s="14"/>
      <c r="BQ45" s="14"/>
      <c r="BX45" s="14"/>
      <c r="BY45" s="14"/>
      <c r="BZ45" s="14"/>
      <c r="CA45" s="14"/>
      <c r="CB45" s="14"/>
      <c r="CC45" s="14"/>
      <c r="CD45" s="14"/>
      <c r="CF45" s="14"/>
      <c r="CJ45" s="16"/>
      <c r="CM45" s="14"/>
      <c r="CN45" s="14"/>
      <c r="CO45" s="14"/>
      <c r="CP45" s="14"/>
      <c r="CQ45" s="14"/>
      <c r="CR45" s="14"/>
      <c r="CS45" s="14"/>
      <c r="CT45" s="14"/>
      <c r="CU45" s="14"/>
      <c r="CV45" s="14"/>
    </row>
    <row r="46" spans="1:100" x14ac:dyDescent="0.2">
      <c r="A46" s="14"/>
      <c r="B46" s="14"/>
      <c r="C46" s="14"/>
      <c r="D46" s="14"/>
      <c r="E46" s="14"/>
      <c r="F46" s="14"/>
      <c r="G46" s="14"/>
      <c r="H46" s="14"/>
      <c r="I46" s="14"/>
      <c r="J46" s="14"/>
      <c r="K46" s="14"/>
      <c r="L46" s="15"/>
      <c r="M46" s="14"/>
      <c r="N46" s="14"/>
      <c r="O46" s="14"/>
      <c r="P46" s="14"/>
      <c r="Q46" s="16"/>
      <c r="R46" s="14"/>
      <c r="Z46" s="16"/>
      <c r="AC46" s="14"/>
      <c r="AD46" s="14"/>
      <c r="AE46" s="14"/>
      <c r="AF46" s="14"/>
      <c r="AG46" s="14"/>
      <c r="AH46" s="14"/>
      <c r="AI46" s="14"/>
      <c r="AJ46" s="14"/>
      <c r="AK46" s="14"/>
      <c r="AL46" s="14"/>
      <c r="AS46" s="14"/>
      <c r="AT46" s="14"/>
      <c r="AU46" s="14"/>
      <c r="AV46" s="14"/>
      <c r="AW46" s="14"/>
      <c r="AX46" s="14"/>
      <c r="AY46" s="14"/>
      <c r="BA46" s="14"/>
      <c r="BE46" s="16"/>
      <c r="BH46" s="14"/>
      <c r="BI46" s="14"/>
      <c r="BJ46" s="14"/>
      <c r="BK46" s="14"/>
      <c r="BL46" s="14"/>
      <c r="BM46" s="14"/>
      <c r="BN46" s="14"/>
      <c r="BO46" s="14"/>
      <c r="BP46" s="14"/>
      <c r="BQ46" s="14"/>
      <c r="BX46" s="14"/>
      <c r="BY46" s="14"/>
      <c r="BZ46" s="14"/>
      <c r="CA46" s="14"/>
      <c r="CB46" s="14"/>
      <c r="CC46" s="14"/>
      <c r="CD46" s="14"/>
      <c r="CF46" s="14"/>
      <c r="CJ46" s="16"/>
      <c r="CM46" s="14"/>
      <c r="CN46" s="14"/>
      <c r="CO46" s="14"/>
      <c r="CP46" s="14"/>
      <c r="CQ46" s="14"/>
      <c r="CR46" s="14"/>
      <c r="CS46" s="14"/>
      <c r="CT46" s="14"/>
      <c r="CU46" s="14"/>
      <c r="CV46" s="14"/>
    </row>
    <row r="47" spans="1:100" x14ac:dyDescent="0.2">
      <c r="A47" s="14"/>
      <c r="B47" s="14"/>
      <c r="C47" s="14"/>
      <c r="D47" s="14"/>
      <c r="E47" s="14"/>
      <c r="F47" s="14"/>
      <c r="G47" s="14"/>
      <c r="H47" s="14"/>
      <c r="I47" s="14"/>
      <c r="J47" s="14"/>
      <c r="K47" s="14"/>
      <c r="L47" s="15"/>
      <c r="M47" s="14"/>
      <c r="N47" s="14"/>
      <c r="O47" s="14"/>
      <c r="P47" s="14"/>
      <c r="Q47" s="16"/>
      <c r="R47" s="14"/>
      <c r="Z47" s="16"/>
      <c r="AC47" s="14"/>
      <c r="AD47" s="14"/>
      <c r="AE47" s="14"/>
      <c r="AF47" s="14"/>
      <c r="AG47" s="14"/>
      <c r="AH47" s="14"/>
      <c r="AI47" s="14"/>
      <c r="AJ47" s="14"/>
      <c r="AK47" s="14"/>
      <c r="AL47" s="14"/>
      <c r="AS47" s="14"/>
      <c r="AT47" s="14"/>
      <c r="AU47" s="14"/>
      <c r="AV47" s="14"/>
      <c r="AW47" s="14"/>
      <c r="AX47" s="14"/>
      <c r="AY47" s="14"/>
      <c r="BA47" s="14"/>
      <c r="BE47" s="16"/>
      <c r="BH47" s="14"/>
      <c r="BI47" s="14"/>
      <c r="BJ47" s="14"/>
      <c r="BK47" s="14"/>
      <c r="BL47" s="14"/>
      <c r="BM47" s="14"/>
      <c r="BN47" s="14"/>
      <c r="BO47" s="14"/>
      <c r="BP47" s="14"/>
      <c r="BQ47" s="14"/>
      <c r="BX47" s="14"/>
      <c r="BY47" s="14"/>
      <c r="BZ47" s="14"/>
      <c r="CA47" s="14"/>
      <c r="CB47" s="14"/>
      <c r="CC47" s="14"/>
      <c r="CD47" s="14"/>
      <c r="CF47" s="14"/>
      <c r="CJ47" s="16"/>
      <c r="CM47" s="14"/>
      <c r="CN47" s="14"/>
      <c r="CO47" s="14"/>
      <c r="CP47" s="14"/>
      <c r="CQ47" s="14"/>
      <c r="CR47" s="14"/>
      <c r="CS47" s="14"/>
      <c r="CT47" s="14"/>
      <c r="CU47" s="14"/>
      <c r="CV47" s="14"/>
    </row>
    <row r="48" spans="1:100" x14ac:dyDescent="0.2">
      <c r="A48" s="14"/>
      <c r="B48" s="14"/>
      <c r="C48" s="14"/>
      <c r="D48" s="14"/>
      <c r="E48" s="14"/>
      <c r="F48" s="14"/>
      <c r="G48" s="14"/>
      <c r="H48" s="14"/>
      <c r="I48" s="14"/>
      <c r="J48" s="14"/>
      <c r="K48" s="14"/>
      <c r="L48" s="15"/>
      <c r="M48" s="14"/>
      <c r="N48" s="14"/>
      <c r="O48" s="14"/>
      <c r="P48" s="14"/>
      <c r="Q48" s="16"/>
      <c r="R48" s="14"/>
      <c r="Z48" s="16"/>
      <c r="AC48" s="14"/>
      <c r="AD48" s="14"/>
      <c r="AE48" s="14"/>
      <c r="AF48" s="14"/>
      <c r="AG48" s="14"/>
      <c r="AH48" s="14"/>
      <c r="AI48" s="14"/>
      <c r="AJ48" s="14"/>
      <c r="AK48" s="14"/>
      <c r="AL48" s="14"/>
      <c r="AS48" s="14"/>
      <c r="AT48" s="14"/>
      <c r="AU48" s="14"/>
      <c r="AV48" s="14"/>
      <c r="AW48" s="14"/>
      <c r="AX48" s="14"/>
      <c r="AY48" s="14"/>
      <c r="BA48" s="14"/>
      <c r="BE48" s="16"/>
      <c r="BH48" s="14"/>
      <c r="BI48" s="14"/>
      <c r="BJ48" s="14"/>
      <c r="BK48" s="14"/>
      <c r="BL48" s="14"/>
      <c r="BM48" s="14"/>
      <c r="BN48" s="14"/>
      <c r="BO48" s="14"/>
      <c r="BP48" s="14"/>
      <c r="BQ48" s="14"/>
      <c r="BX48" s="14"/>
      <c r="BY48" s="14"/>
      <c r="BZ48" s="14"/>
      <c r="CA48" s="14"/>
      <c r="CB48" s="14"/>
      <c r="CC48" s="14"/>
      <c r="CD48" s="14"/>
      <c r="CF48" s="14"/>
      <c r="CJ48" s="16"/>
      <c r="CM48" s="14"/>
      <c r="CN48" s="14"/>
      <c r="CO48" s="14"/>
      <c r="CP48" s="14"/>
      <c r="CQ48" s="14"/>
      <c r="CR48" s="14"/>
      <c r="CS48" s="14"/>
      <c r="CT48" s="14"/>
      <c r="CU48" s="14"/>
      <c r="CV48" s="14"/>
    </row>
    <row r="49" spans="1:100" x14ac:dyDescent="0.2">
      <c r="A49" s="14"/>
      <c r="B49" s="14"/>
      <c r="C49" s="14"/>
      <c r="D49" s="14"/>
      <c r="E49" s="14"/>
      <c r="F49" s="14"/>
      <c r="G49" s="14"/>
      <c r="H49" s="14"/>
      <c r="I49" s="14"/>
      <c r="J49" s="14"/>
      <c r="K49" s="14"/>
      <c r="L49" s="15"/>
      <c r="M49" s="14"/>
      <c r="N49" s="14"/>
      <c r="O49" s="14"/>
      <c r="P49" s="14"/>
      <c r="Q49" s="16"/>
      <c r="R49" s="14"/>
      <c r="Z49" s="16"/>
      <c r="AC49" s="14"/>
      <c r="AD49" s="14"/>
      <c r="AE49" s="14"/>
      <c r="AF49" s="14"/>
      <c r="AG49" s="14"/>
      <c r="AH49" s="14"/>
      <c r="AI49" s="14"/>
      <c r="AJ49" s="14"/>
      <c r="AK49" s="14"/>
      <c r="AL49" s="14"/>
      <c r="AS49" s="14"/>
      <c r="AT49" s="14"/>
      <c r="AU49" s="14"/>
      <c r="AV49" s="14"/>
      <c r="AW49" s="14"/>
      <c r="AX49" s="14"/>
      <c r="AY49" s="14"/>
      <c r="BA49" s="14"/>
      <c r="BE49" s="16"/>
      <c r="BH49" s="14"/>
      <c r="BI49" s="14"/>
      <c r="BJ49" s="14"/>
      <c r="BK49" s="14"/>
      <c r="BL49" s="14"/>
      <c r="BM49" s="14"/>
      <c r="BN49" s="14"/>
      <c r="BO49" s="14"/>
      <c r="BP49" s="14"/>
      <c r="BQ49" s="14"/>
      <c r="BX49" s="14"/>
      <c r="BY49" s="14"/>
      <c r="BZ49" s="14"/>
      <c r="CA49" s="14"/>
      <c r="CB49" s="14"/>
      <c r="CC49" s="14"/>
      <c r="CD49" s="14"/>
      <c r="CF49" s="14"/>
      <c r="CJ49" s="16"/>
      <c r="CM49" s="14"/>
      <c r="CN49" s="14"/>
      <c r="CO49" s="14"/>
      <c r="CP49" s="14"/>
      <c r="CQ49" s="14"/>
      <c r="CR49" s="14"/>
      <c r="CS49" s="14"/>
      <c r="CT49" s="14"/>
      <c r="CU49" s="14"/>
      <c r="CV49" s="14"/>
    </row>
    <row r="50" spans="1:100" x14ac:dyDescent="0.2">
      <c r="A50" s="14"/>
      <c r="B50" s="14"/>
      <c r="C50" s="14"/>
      <c r="D50" s="14"/>
      <c r="E50" s="14"/>
      <c r="F50" s="14"/>
      <c r="G50" s="14"/>
      <c r="H50" s="14"/>
      <c r="I50" s="14"/>
      <c r="J50" s="14"/>
      <c r="K50" s="14"/>
      <c r="L50" s="15"/>
      <c r="M50" s="14"/>
      <c r="N50" s="14"/>
      <c r="O50" s="14"/>
      <c r="P50" s="14"/>
      <c r="Q50" s="16"/>
      <c r="R50" s="14"/>
      <c r="Z50" s="16"/>
      <c r="AC50" s="14"/>
      <c r="AD50" s="14"/>
      <c r="AE50" s="14"/>
      <c r="AF50" s="14"/>
      <c r="AG50" s="14"/>
      <c r="AH50" s="14"/>
      <c r="AI50" s="14"/>
      <c r="AJ50" s="14"/>
      <c r="AK50" s="14"/>
      <c r="AL50" s="14"/>
      <c r="AS50" s="14"/>
      <c r="AT50" s="14"/>
      <c r="AU50" s="14"/>
      <c r="AV50" s="14"/>
      <c r="AW50" s="14"/>
      <c r="AX50" s="14"/>
      <c r="AY50" s="14"/>
      <c r="BA50" s="14"/>
      <c r="BE50" s="16"/>
      <c r="BH50" s="14"/>
      <c r="BI50" s="14"/>
      <c r="BJ50" s="14"/>
      <c r="BK50" s="14"/>
      <c r="BL50" s="14"/>
      <c r="BM50" s="14"/>
      <c r="BN50" s="14"/>
      <c r="BO50" s="14"/>
      <c r="BP50" s="14"/>
      <c r="BQ50" s="14"/>
      <c r="BX50" s="14"/>
      <c r="BY50" s="14"/>
      <c r="BZ50" s="14"/>
      <c r="CA50" s="14"/>
      <c r="CB50" s="14"/>
      <c r="CC50" s="14"/>
      <c r="CD50" s="14"/>
      <c r="CF50" s="14"/>
      <c r="CJ50" s="16"/>
      <c r="CM50" s="14"/>
      <c r="CN50" s="14"/>
      <c r="CO50" s="14"/>
      <c r="CP50" s="14"/>
      <c r="CQ50" s="14"/>
      <c r="CR50" s="14"/>
      <c r="CS50" s="14"/>
      <c r="CT50" s="14"/>
      <c r="CU50" s="14"/>
      <c r="CV50" s="14"/>
    </row>
    <row r="51" spans="1:100" x14ac:dyDescent="0.2">
      <c r="A51" s="14"/>
      <c r="B51" s="14"/>
      <c r="C51" s="14"/>
      <c r="D51" s="14"/>
      <c r="E51" s="14"/>
      <c r="F51" s="14"/>
      <c r="G51" s="14"/>
      <c r="H51" s="14"/>
      <c r="I51" s="14"/>
      <c r="J51" s="14"/>
      <c r="K51" s="14"/>
      <c r="L51" s="15"/>
      <c r="M51" s="14"/>
      <c r="N51" s="14"/>
      <c r="O51" s="14"/>
      <c r="P51" s="14"/>
      <c r="Q51" s="16"/>
      <c r="R51" s="14"/>
      <c r="Z51" s="16"/>
      <c r="AC51" s="14"/>
      <c r="AD51" s="14"/>
      <c r="AE51" s="14"/>
      <c r="AF51" s="14"/>
      <c r="AG51" s="14"/>
      <c r="AH51" s="14"/>
      <c r="AI51" s="14"/>
      <c r="AJ51" s="14"/>
      <c r="AK51" s="14"/>
      <c r="AL51" s="14"/>
      <c r="AS51" s="14"/>
      <c r="AT51" s="14"/>
      <c r="AU51" s="14"/>
      <c r="AV51" s="14"/>
      <c r="AW51" s="14"/>
      <c r="AX51" s="14"/>
      <c r="AY51" s="14"/>
      <c r="BA51" s="14"/>
      <c r="BE51" s="16"/>
      <c r="BH51" s="14"/>
      <c r="BI51" s="14"/>
      <c r="BJ51" s="14"/>
      <c r="BK51" s="14"/>
      <c r="BL51" s="14"/>
      <c r="BM51" s="14"/>
      <c r="BN51" s="14"/>
      <c r="BO51" s="14"/>
      <c r="BP51" s="14"/>
      <c r="BQ51" s="14"/>
      <c r="BX51" s="14"/>
      <c r="BY51" s="14"/>
      <c r="BZ51" s="14"/>
      <c r="CA51" s="14"/>
      <c r="CB51" s="14"/>
      <c r="CC51" s="14"/>
      <c r="CD51" s="14"/>
      <c r="CF51" s="14"/>
      <c r="CJ51" s="16"/>
      <c r="CM51" s="14"/>
      <c r="CN51" s="14"/>
      <c r="CO51" s="14"/>
      <c r="CP51" s="14"/>
      <c r="CQ51" s="14"/>
      <c r="CR51" s="14"/>
      <c r="CS51" s="14"/>
      <c r="CT51" s="14"/>
      <c r="CU51" s="14"/>
      <c r="CV51" s="14"/>
    </row>
    <row r="52" spans="1:100" x14ac:dyDescent="0.2">
      <c r="A52" s="14"/>
      <c r="B52" s="14"/>
      <c r="C52" s="14"/>
      <c r="D52" s="14"/>
      <c r="E52" s="14"/>
      <c r="F52" s="14"/>
      <c r="G52" s="14"/>
      <c r="H52" s="14"/>
      <c r="I52" s="14"/>
      <c r="J52" s="14"/>
      <c r="K52" s="14"/>
      <c r="L52" s="15"/>
      <c r="M52" s="14"/>
      <c r="N52" s="14"/>
      <c r="O52" s="14"/>
      <c r="P52" s="14"/>
      <c r="Q52" s="16"/>
      <c r="R52" s="14"/>
      <c r="Z52" s="16"/>
      <c r="AC52" s="14"/>
      <c r="AD52" s="14"/>
      <c r="AE52" s="14"/>
      <c r="AF52" s="14"/>
      <c r="AG52" s="14"/>
      <c r="AH52" s="14"/>
      <c r="AI52" s="14"/>
      <c r="AJ52" s="14"/>
      <c r="AK52" s="14"/>
      <c r="AL52" s="14"/>
      <c r="AS52" s="14"/>
      <c r="AT52" s="14"/>
      <c r="AU52" s="14"/>
      <c r="AV52" s="14"/>
      <c r="AW52" s="14"/>
      <c r="AX52" s="14"/>
      <c r="AY52" s="14"/>
      <c r="BA52" s="14"/>
      <c r="BE52" s="16"/>
      <c r="BH52" s="14"/>
      <c r="BI52" s="14"/>
      <c r="BJ52" s="14"/>
      <c r="BK52" s="14"/>
      <c r="BL52" s="14"/>
      <c r="BM52" s="14"/>
      <c r="BN52" s="14"/>
      <c r="BO52" s="14"/>
      <c r="BP52" s="14"/>
      <c r="BQ52" s="14"/>
      <c r="BX52" s="14"/>
      <c r="BY52" s="14"/>
      <c r="BZ52" s="14"/>
      <c r="CA52" s="14"/>
      <c r="CB52" s="14"/>
      <c r="CC52" s="14"/>
      <c r="CD52" s="14"/>
      <c r="CF52" s="14"/>
      <c r="CJ52" s="16"/>
      <c r="CM52" s="14"/>
      <c r="CN52" s="14"/>
      <c r="CO52" s="14"/>
      <c r="CP52" s="14"/>
      <c r="CQ52" s="14"/>
      <c r="CR52" s="14"/>
      <c r="CS52" s="14"/>
      <c r="CT52" s="14"/>
      <c r="CU52" s="14"/>
      <c r="CV52" s="14"/>
    </row>
    <row r="53" spans="1:100" x14ac:dyDescent="0.2">
      <c r="A53" s="14"/>
      <c r="B53" s="14"/>
      <c r="C53" s="14"/>
      <c r="D53" s="14"/>
      <c r="E53" s="14"/>
      <c r="F53" s="14"/>
      <c r="G53" s="14"/>
      <c r="H53" s="14"/>
      <c r="I53" s="14"/>
      <c r="J53" s="14"/>
      <c r="K53" s="14"/>
      <c r="L53" s="15"/>
      <c r="M53" s="14"/>
      <c r="N53" s="14"/>
      <c r="O53" s="14"/>
      <c r="P53" s="14"/>
      <c r="Q53" s="16"/>
      <c r="R53" s="14"/>
      <c r="Z53" s="16"/>
      <c r="AC53" s="14"/>
      <c r="AD53" s="14"/>
      <c r="AE53" s="14"/>
      <c r="AF53" s="14"/>
      <c r="AG53" s="14"/>
      <c r="AH53" s="14"/>
      <c r="AI53" s="14"/>
      <c r="AJ53" s="14"/>
      <c r="AK53" s="14"/>
      <c r="AL53" s="14"/>
      <c r="AS53" s="14"/>
      <c r="AT53" s="14"/>
      <c r="AU53" s="14"/>
      <c r="AV53" s="14"/>
      <c r="AW53" s="14"/>
      <c r="AX53" s="14"/>
      <c r="AY53" s="14"/>
      <c r="BA53" s="14"/>
      <c r="BE53" s="16"/>
      <c r="BH53" s="14"/>
      <c r="BI53" s="14"/>
      <c r="BJ53" s="14"/>
      <c r="BK53" s="14"/>
      <c r="BL53" s="14"/>
      <c r="BM53" s="14"/>
      <c r="BN53" s="14"/>
      <c r="BO53" s="14"/>
      <c r="BP53" s="14"/>
      <c r="BQ53" s="14"/>
      <c r="BX53" s="14"/>
      <c r="BY53" s="14"/>
      <c r="BZ53" s="14"/>
      <c r="CA53" s="14"/>
      <c r="CB53" s="14"/>
      <c r="CC53" s="14"/>
      <c r="CD53" s="14"/>
      <c r="CF53" s="14"/>
      <c r="CJ53" s="16"/>
      <c r="CM53" s="14"/>
      <c r="CN53" s="14"/>
      <c r="CO53" s="14"/>
      <c r="CP53" s="14"/>
      <c r="CQ53" s="14"/>
      <c r="CR53" s="14"/>
      <c r="CS53" s="14"/>
      <c r="CT53" s="14"/>
      <c r="CU53" s="14"/>
      <c r="CV53" s="14"/>
    </row>
    <row r="54" spans="1:100" x14ac:dyDescent="0.2">
      <c r="A54" s="14"/>
      <c r="B54" s="14"/>
      <c r="C54" s="14"/>
      <c r="D54" s="14"/>
      <c r="E54" s="14"/>
      <c r="F54" s="14"/>
      <c r="G54" s="14"/>
      <c r="H54" s="14"/>
      <c r="I54" s="14"/>
      <c r="J54" s="14"/>
      <c r="K54" s="14"/>
      <c r="L54" s="15"/>
      <c r="M54" s="14"/>
      <c r="N54" s="14"/>
      <c r="O54" s="14"/>
      <c r="P54" s="14"/>
      <c r="Q54" s="16"/>
      <c r="R54" s="14"/>
      <c r="Z54" s="16"/>
      <c r="AC54" s="14"/>
      <c r="AD54" s="14"/>
      <c r="AE54" s="14"/>
      <c r="AF54" s="14"/>
      <c r="AG54" s="14"/>
      <c r="AH54" s="14"/>
      <c r="AI54" s="14"/>
      <c r="AJ54" s="14"/>
      <c r="AK54" s="14"/>
      <c r="AL54" s="14"/>
      <c r="AS54" s="14"/>
      <c r="AT54" s="14"/>
      <c r="AU54" s="14"/>
      <c r="AV54" s="14"/>
      <c r="AW54" s="14"/>
      <c r="AX54" s="14"/>
      <c r="AY54" s="14"/>
      <c r="BA54" s="14"/>
      <c r="BE54" s="16"/>
      <c r="BH54" s="14"/>
      <c r="BI54" s="14"/>
      <c r="BJ54" s="14"/>
      <c r="BK54" s="14"/>
      <c r="BL54" s="14"/>
      <c r="BM54" s="14"/>
      <c r="BN54" s="14"/>
      <c r="BO54" s="14"/>
      <c r="BP54" s="14"/>
      <c r="BQ54" s="14"/>
      <c r="BX54" s="14"/>
      <c r="BY54" s="14"/>
      <c r="BZ54" s="14"/>
      <c r="CA54" s="14"/>
      <c r="CB54" s="14"/>
      <c r="CC54" s="14"/>
      <c r="CD54" s="14"/>
      <c r="CF54" s="14"/>
      <c r="CJ54" s="16"/>
      <c r="CM54" s="14"/>
      <c r="CN54" s="14"/>
      <c r="CO54" s="14"/>
      <c r="CP54" s="14"/>
      <c r="CQ54" s="14"/>
      <c r="CR54" s="14"/>
      <c r="CS54" s="14"/>
      <c r="CT54" s="14"/>
      <c r="CU54" s="14"/>
      <c r="CV54" s="14"/>
    </row>
    <row r="55" spans="1:100" x14ac:dyDescent="0.2">
      <c r="A55" s="14"/>
      <c r="B55" s="14"/>
      <c r="C55" s="14"/>
      <c r="D55" s="14"/>
      <c r="E55" s="14"/>
      <c r="F55" s="14"/>
      <c r="G55" s="14"/>
      <c r="H55" s="14"/>
      <c r="I55" s="14"/>
      <c r="J55" s="14"/>
      <c r="K55" s="14"/>
      <c r="L55" s="15"/>
      <c r="M55" s="14"/>
      <c r="N55" s="14"/>
      <c r="O55" s="14"/>
      <c r="P55" s="14"/>
      <c r="Q55" s="16"/>
      <c r="R55" s="14"/>
      <c r="Z55" s="16"/>
      <c r="AC55" s="14"/>
      <c r="AD55" s="14"/>
      <c r="AE55" s="14"/>
      <c r="AF55" s="14"/>
      <c r="AG55" s="14"/>
      <c r="AH55" s="14"/>
      <c r="AI55" s="14"/>
      <c r="AJ55" s="14"/>
      <c r="AK55" s="14"/>
      <c r="AL55" s="14"/>
      <c r="AS55" s="14"/>
      <c r="AT55" s="14"/>
      <c r="AU55" s="14"/>
      <c r="AV55" s="14"/>
      <c r="AW55" s="14"/>
      <c r="AX55" s="14"/>
      <c r="AY55" s="14"/>
      <c r="BA55" s="14"/>
      <c r="BE55" s="16"/>
      <c r="BH55" s="14"/>
      <c r="BI55" s="14"/>
      <c r="BJ55" s="14"/>
      <c r="BK55" s="14"/>
      <c r="BL55" s="14"/>
      <c r="BM55" s="14"/>
      <c r="BN55" s="14"/>
      <c r="BO55" s="14"/>
      <c r="BP55" s="14"/>
      <c r="BQ55" s="14"/>
      <c r="BX55" s="14"/>
      <c r="BY55" s="14"/>
      <c r="BZ55" s="14"/>
      <c r="CA55" s="14"/>
      <c r="CB55" s="14"/>
      <c r="CC55" s="14"/>
      <c r="CD55" s="14"/>
      <c r="CF55" s="14"/>
      <c r="CJ55" s="16"/>
      <c r="CM55" s="14"/>
      <c r="CN55" s="14"/>
      <c r="CO55" s="14"/>
      <c r="CP55" s="14"/>
      <c r="CQ55" s="14"/>
      <c r="CR55" s="14"/>
      <c r="CS55" s="14"/>
      <c r="CT55" s="14"/>
      <c r="CU55" s="14"/>
      <c r="CV55" s="14"/>
    </row>
    <row r="56" spans="1:100" x14ac:dyDescent="0.2">
      <c r="A56" s="14"/>
      <c r="B56" s="14"/>
      <c r="C56" s="14"/>
      <c r="D56" s="14"/>
      <c r="E56" s="14"/>
      <c r="F56" s="14"/>
      <c r="G56" s="14"/>
      <c r="H56" s="14"/>
      <c r="I56" s="14"/>
      <c r="J56" s="14"/>
      <c r="K56" s="14"/>
      <c r="L56" s="15"/>
      <c r="M56" s="14"/>
      <c r="N56" s="14"/>
      <c r="O56" s="14"/>
      <c r="P56" s="14"/>
      <c r="Q56" s="16"/>
      <c r="R56" s="14"/>
      <c r="Z56" s="16"/>
      <c r="AC56" s="14"/>
      <c r="AD56" s="14"/>
      <c r="AE56" s="14"/>
      <c r="AF56" s="14"/>
      <c r="AG56" s="14"/>
      <c r="AH56" s="14"/>
      <c r="AI56" s="14"/>
      <c r="AJ56" s="14"/>
      <c r="AK56" s="14"/>
      <c r="AL56" s="14"/>
      <c r="AS56" s="14"/>
      <c r="AT56" s="14"/>
      <c r="AU56" s="14"/>
      <c r="AV56" s="14"/>
      <c r="AW56" s="14"/>
      <c r="AX56" s="14"/>
      <c r="AY56" s="14"/>
      <c r="BA56" s="14"/>
      <c r="BE56" s="16"/>
      <c r="BH56" s="14"/>
      <c r="BI56" s="14"/>
      <c r="BJ56" s="14"/>
      <c r="BK56" s="14"/>
      <c r="BL56" s="14"/>
      <c r="BM56" s="14"/>
      <c r="BN56" s="14"/>
      <c r="BO56" s="14"/>
      <c r="BP56" s="14"/>
      <c r="BQ56" s="14"/>
      <c r="BX56" s="14"/>
      <c r="BY56" s="14"/>
      <c r="BZ56" s="14"/>
      <c r="CA56" s="14"/>
      <c r="CB56" s="14"/>
      <c r="CC56" s="14"/>
      <c r="CD56" s="14"/>
      <c r="CF56" s="14"/>
      <c r="CJ56" s="16"/>
      <c r="CM56" s="14"/>
      <c r="CN56" s="14"/>
      <c r="CO56" s="14"/>
      <c r="CP56" s="14"/>
      <c r="CQ56" s="14"/>
      <c r="CR56" s="14"/>
      <c r="CS56" s="14"/>
      <c r="CT56" s="14"/>
      <c r="CU56" s="14"/>
      <c r="CV56" s="14"/>
    </row>
    <row r="57" spans="1:100" x14ac:dyDescent="0.2">
      <c r="A57" s="14"/>
      <c r="B57" s="14"/>
      <c r="C57" s="14"/>
      <c r="D57" s="14"/>
      <c r="E57" s="14"/>
      <c r="F57" s="14"/>
      <c r="G57" s="14"/>
      <c r="H57" s="14"/>
      <c r="I57" s="14"/>
      <c r="J57" s="14"/>
      <c r="K57" s="14"/>
      <c r="L57" s="15"/>
      <c r="M57" s="14"/>
      <c r="N57" s="14"/>
      <c r="O57" s="14"/>
      <c r="P57" s="14"/>
      <c r="Q57" s="16"/>
      <c r="R57" s="14"/>
      <c r="Z57" s="16"/>
      <c r="AC57" s="14"/>
      <c r="AD57" s="14"/>
      <c r="AE57" s="14"/>
      <c r="AF57" s="14"/>
      <c r="AG57" s="14"/>
      <c r="AH57" s="14"/>
      <c r="AI57" s="14"/>
      <c r="AJ57" s="14"/>
      <c r="AK57" s="14"/>
      <c r="AL57" s="14"/>
      <c r="AS57" s="14"/>
      <c r="AT57" s="14"/>
      <c r="AU57" s="14"/>
      <c r="AV57" s="14"/>
      <c r="AW57" s="14"/>
      <c r="AX57" s="14"/>
      <c r="AY57" s="14"/>
      <c r="BA57" s="14"/>
      <c r="BE57" s="16"/>
      <c r="BH57" s="14"/>
      <c r="BI57" s="14"/>
      <c r="BJ57" s="14"/>
      <c r="BK57" s="14"/>
      <c r="BL57" s="14"/>
      <c r="BM57" s="14"/>
      <c r="BN57" s="14"/>
      <c r="BO57" s="14"/>
      <c r="BP57" s="14"/>
      <c r="BQ57" s="14"/>
      <c r="BX57" s="14"/>
      <c r="BY57" s="14"/>
      <c r="BZ57" s="14"/>
      <c r="CA57" s="14"/>
      <c r="CB57" s="14"/>
      <c r="CC57" s="14"/>
      <c r="CD57" s="14"/>
      <c r="CF57" s="14"/>
      <c r="CJ57" s="16"/>
      <c r="CM57" s="14"/>
      <c r="CN57" s="14"/>
      <c r="CO57" s="14"/>
      <c r="CP57" s="14"/>
      <c r="CQ57" s="14"/>
      <c r="CR57" s="14"/>
      <c r="CS57" s="14"/>
      <c r="CT57" s="14"/>
      <c r="CU57" s="14"/>
      <c r="CV57" s="14"/>
    </row>
    <row r="58" spans="1:100" x14ac:dyDescent="0.2">
      <c r="A58" s="14"/>
      <c r="B58" s="14"/>
      <c r="C58" s="14"/>
      <c r="D58" s="14"/>
      <c r="E58" s="14"/>
      <c r="F58" s="14"/>
      <c r="G58" s="14"/>
      <c r="H58" s="14"/>
      <c r="I58" s="14"/>
      <c r="J58" s="14"/>
      <c r="K58" s="14"/>
      <c r="L58" s="15"/>
      <c r="M58" s="14"/>
      <c r="N58" s="14"/>
      <c r="O58" s="14"/>
      <c r="P58" s="14"/>
      <c r="Q58" s="16"/>
      <c r="R58" s="14"/>
      <c r="Z58" s="16"/>
      <c r="AC58" s="14"/>
      <c r="AD58" s="14"/>
      <c r="AE58" s="14"/>
      <c r="AF58" s="14"/>
      <c r="AG58" s="14"/>
      <c r="AH58" s="14"/>
      <c r="AI58" s="14"/>
      <c r="AJ58" s="14"/>
      <c r="AK58" s="14"/>
      <c r="AL58" s="14"/>
      <c r="AS58" s="14"/>
      <c r="AT58" s="14"/>
      <c r="AU58" s="14"/>
      <c r="AV58" s="14"/>
      <c r="AW58" s="14"/>
      <c r="AX58" s="14"/>
      <c r="AY58" s="14"/>
      <c r="BA58" s="14"/>
      <c r="BE58" s="16"/>
      <c r="BH58" s="14"/>
      <c r="BI58" s="14"/>
      <c r="BJ58" s="14"/>
      <c r="BK58" s="14"/>
      <c r="BL58" s="14"/>
      <c r="BM58" s="14"/>
      <c r="BN58" s="14"/>
      <c r="BO58" s="14"/>
      <c r="BP58" s="14"/>
      <c r="BQ58" s="14"/>
      <c r="BX58" s="14"/>
      <c r="BY58" s="14"/>
      <c r="BZ58" s="14"/>
      <c r="CA58" s="14"/>
      <c r="CB58" s="14"/>
      <c r="CC58" s="14"/>
      <c r="CD58" s="14"/>
      <c r="CF58" s="14"/>
      <c r="CJ58" s="16"/>
      <c r="CM58" s="14"/>
      <c r="CN58" s="14"/>
      <c r="CO58" s="14"/>
      <c r="CP58" s="14"/>
      <c r="CQ58" s="14"/>
      <c r="CR58" s="14"/>
      <c r="CS58" s="14"/>
      <c r="CT58" s="14"/>
      <c r="CU58" s="14"/>
      <c r="CV58" s="14"/>
    </row>
    <row r="59" spans="1:100" x14ac:dyDescent="0.2">
      <c r="A59" s="14"/>
      <c r="B59" s="14"/>
      <c r="C59" s="14"/>
      <c r="D59" s="14"/>
      <c r="E59" s="14"/>
      <c r="F59" s="14"/>
      <c r="G59" s="14"/>
      <c r="H59" s="14"/>
      <c r="I59" s="14"/>
      <c r="J59" s="14"/>
      <c r="K59" s="14"/>
      <c r="L59" s="15"/>
      <c r="M59" s="14"/>
      <c r="N59" s="14"/>
      <c r="O59" s="14"/>
      <c r="P59" s="14"/>
      <c r="Q59" s="16"/>
      <c r="R59" s="14"/>
      <c r="Z59" s="16"/>
      <c r="AC59" s="14"/>
      <c r="AD59" s="14"/>
      <c r="AE59" s="14"/>
      <c r="AF59" s="14"/>
      <c r="AG59" s="14"/>
      <c r="AH59" s="14"/>
      <c r="AI59" s="14"/>
      <c r="AJ59" s="14"/>
      <c r="AK59" s="14"/>
      <c r="AL59" s="14"/>
      <c r="AS59" s="14"/>
      <c r="AT59" s="14"/>
      <c r="AU59" s="14"/>
      <c r="AV59" s="14"/>
      <c r="AW59" s="14"/>
      <c r="AX59" s="14"/>
      <c r="AY59" s="14"/>
      <c r="BA59" s="14"/>
      <c r="BE59" s="16"/>
      <c r="BH59" s="14"/>
      <c r="BI59" s="14"/>
      <c r="BJ59" s="14"/>
      <c r="BK59" s="14"/>
      <c r="BL59" s="14"/>
      <c r="BM59" s="14"/>
      <c r="BN59" s="14"/>
      <c r="BO59" s="14"/>
      <c r="BP59" s="14"/>
      <c r="BQ59" s="14"/>
      <c r="BX59" s="14"/>
      <c r="BY59" s="14"/>
      <c r="BZ59" s="14"/>
      <c r="CA59" s="14"/>
      <c r="CB59" s="14"/>
      <c r="CC59" s="14"/>
      <c r="CD59" s="14"/>
      <c r="CF59" s="14"/>
      <c r="CJ59" s="16"/>
      <c r="CM59" s="14"/>
      <c r="CN59" s="14"/>
      <c r="CO59" s="14"/>
      <c r="CP59" s="14"/>
      <c r="CQ59" s="14"/>
      <c r="CR59" s="14"/>
      <c r="CS59" s="14"/>
      <c r="CT59" s="14"/>
      <c r="CU59" s="14"/>
      <c r="CV59" s="14"/>
    </row>
    <row r="60" spans="1:100" x14ac:dyDescent="0.2">
      <c r="A60" s="14"/>
      <c r="B60" s="14"/>
      <c r="C60" s="14"/>
      <c r="D60" s="14"/>
      <c r="E60" s="14"/>
      <c r="F60" s="14"/>
      <c r="G60" s="14"/>
      <c r="H60" s="14"/>
      <c r="I60" s="14"/>
      <c r="J60" s="14"/>
      <c r="K60" s="14"/>
      <c r="L60" s="15"/>
      <c r="M60" s="14"/>
      <c r="N60" s="14"/>
      <c r="O60" s="14"/>
      <c r="P60" s="14"/>
      <c r="Q60" s="16"/>
      <c r="R60" s="14"/>
      <c r="Z60" s="16"/>
      <c r="AC60" s="14"/>
      <c r="AD60" s="14"/>
      <c r="AE60" s="14"/>
      <c r="AF60" s="14"/>
      <c r="AG60" s="14"/>
      <c r="AH60" s="14"/>
      <c r="AI60" s="14"/>
      <c r="AJ60" s="14"/>
      <c r="AK60" s="14"/>
      <c r="AL60" s="14"/>
      <c r="AS60" s="14"/>
      <c r="AT60" s="14"/>
      <c r="AU60" s="14"/>
      <c r="AV60" s="14"/>
      <c r="AW60" s="14"/>
      <c r="AX60" s="14"/>
      <c r="AY60" s="14"/>
      <c r="BA60" s="14"/>
      <c r="BE60" s="16"/>
      <c r="BH60" s="14"/>
      <c r="BI60" s="14"/>
      <c r="BJ60" s="14"/>
      <c r="BK60" s="14"/>
      <c r="BL60" s="14"/>
      <c r="BM60" s="14"/>
      <c r="BN60" s="14"/>
      <c r="BO60" s="14"/>
      <c r="BP60" s="14"/>
      <c r="BQ60" s="14"/>
      <c r="BX60" s="14"/>
      <c r="BY60" s="14"/>
      <c r="BZ60" s="14"/>
      <c r="CA60" s="14"/>
      <c r="CB60" s="14"/>
      <c r="CC60" s="14"/>
      <c r="CD60" s="14"/>
      <c r="CF60" s="14"/>
      <c r="CJ60" s="16"/>
      <c r="CM60" s="14"/>
      <c r="CN60" s="14"/>
      <c r="CO60" s="14"/>
      <c r="CP60" s="14"/>
      <c r="CQ60" s="14"/>
      <c r="CR60" s="14"/>
      <c r="CS60" s="14"/>
      <c r="CT60" s="14"/>
      <c r="CU60" s="14"/>
      <c r="CV60" s="14"/>
    </row>
    <row r="61" spans="1:100" x14ac:dyDescent="0.2">
      <c r="A61" s="14"/>
      <c r="B61" s="14"/>
      <c r="C61" s="14"/>
      <c r="D61" s="14"/>
      <c r="E61" s="14"/>
      <c r="F61" s="14"/>
      <c r="G61" s="14"/>
      <c r="H61" s="14"/>
      <c r="I61" s="14"/>
      <c r="J61" s="14"/>
      <c r="K61" s="14"/>
      <c r="L61" s="15"/>
      <c r="M61" s="14"/>
      <c r="N61" s="14"/>
      <c r="O61" s="14"/>
      <c r="P61" s="14"/>
      <c r="Q61" s="16"/>
      <c r="R61" s="14"/>
      <c r="Z61" s="16"/>
      <c r="AC61" s="14"/>
      <c r="AD61" s="14"/>
      <c r="AE61" s="14"/>
      <c r="AF61" s="14"/>
      <c r="AG61" s="14"/>
      <c r="AH61" s="14"/>
      <c r="AI61" s="14"/>
      <c r="AJ61" s="14"/>
      <c r="AK61" s="14"/>
      <c r="AL61" s="14"/>
      <c r="AS61" s="14"/>
      <c r="AT61" s="14"/>
      <c r="AU61" s="14"/>
      <c r="AV61" s="14"/>
      <c r="AW61" s="14"/>
      <c r="AX61" s="14"/>
      <c r="AY61" s="14"/>
      <c r="BA61" s="14"/>
      <c r="BE61" s="16"/>
      <c r="BH61" s="14"/>
      <c r="BI61" s="14"/>
      <c r="BJ61" s="14"/>
      <c r="BK61" s="14"/>
      <c r="BL61" s="14"/>
      <c r="BM61" s="14"/>
      <c r="BN61" s="14"/>
      <c r="BO61" s="14"/>
      <c r="BP61" s="14"/>
      <c r="BQ61" s="14"/>
      <c r="BX61" s="14"/>
      <c r="BY61" s="14"/>
      <c r="BZ61" s="14"/>
      <c r="CA61" s="14"/>
      <c r="CB61" s="14"/>
      <c r="CC61" s="14"/>
      <c r="CD61" s="14"/>
      <c r="CF61" s="14"/>
      <c r="CJ61" s="16"/>
      <c r="CM61" s="14"/>
      <c r="CN61" s="14"/>
      <c r="CO61" s="14"/>
      <c r="CP61" s="14"/>
      <c r="CQ61" s="14"/>
      <c r="CR61" s="14"/>
      <c r="CS61" s="14"/>
      <c r="CT61" s="14"/>
      <c r="CU61" s="14"/>
      <c r="CV61" s="14"/>
    </row>
    <row r="62" spans="1:100" x14ac:dyDescent="0.2">
      <c r="A62" s="14"/>
      <c r="B62" s="14"/>
      <c r="C62" s="14"/>
      <c r="D62" s="14"/>
      <c r="E62" s="14"/>
      <c r="F62" s="14"/>
      <c r="G62" s="14"/>
      <c r="H62" s="14"/>
      <c r="I62" s="14"/>
      <c r="J62" s="14"/>
      <c r="K62" s="14"/>
      <c r="L62" s="15"/>
      <c r="M62" s="14"/>
      <c r="N62" s="14"/>
      <c r="O62" s="14"/>
      <c r="P62" s="14"/>
      <c r="Q62" s="16"/>
      <c r="R62" s="14"/>
      <c r="Z62" s="16"/>
      <c r="AC62" s="14"/>
      <c r="AD62" s="14"/>
      <c r="AE62" s="14"/>
      <c r="AF62" s="14"/>
      <c r="AG62" s="14"/>
      <c r="AH62" s="14"/>
      <c r="AI62" s="14"/>
      <c r="AJ62" s="14"/>
      <c r="AK62" s="14"/>
      <c r="AL62" s="14"/>
      <c r="AS62" s="14"/>
      <c r="AT62" s="14"/>
      <c r="AU62" s="14"/>
      <c r="AV62" s="14"/>
      <c r="AW62" s="14"/>
      <c r="AX62" s="14"/>
      <c r="AY62" s="14"/>
      <c r="BA62" s="14"/>
      <c r="BE62" s="16"/>
      <c r="BH62" s="14"/>
      <c r="BI62" s="14"/>
      <c r="BJ62" s="14"/>
      <c r="BK62" s="14"/>
      <c r="BL62" s="14"/>
      <c r="BM62" s="14"/>
      <c r="BN62" s="14"/>
      <c r="BO62" s="14"/>
      <c r="BP62" s="14"/>
      <c r="BQ62" s="14"/>
      <c r="BX62" s="14"/>
      <c r="BY62" s="14"/>
      <c r="BZ62" s="14"/>
      <c r="CA62" s="14"/>
      <c r="CB62" s="14"/>
      <c r="CC62" s="14"/>
      <c r="CD62" s="14"/>
      <c r="CF62" s="14"/>
      <c r="CJ62" s="16"/>
      <c r="CM62" s="14"/>
      <c r="CN62" s="14"/>
      <c r="CO62" s="14"/>
      <c r="CP62" s="14"/>
      <c r="CQ62" s="14"/>
      <c r="CR62" s="14"/>
      <c r="CS62" s="14"/>
      <c r="CT62" s="14"/>
      <c r="CU62" s="14"/>
      <c r="CV62" s="14"/>
    </row>
    <row r="63" spans="1:100" x14ac:dyDescent="0.2">
      <c r="A63" s="14"/>
      <c r="B63" s="14"/>
      <c r="C63" s="14"/>
      <c r="D63" s="14"/>
      <c r="E63" s="14"/>
      <c r="F63" s="14"/>
      <c r="G63" s="14"/>
      <c r="H63" s="14"/>
      <c r="I63" s="14"/>
      <c r="J63" s="14"/>
      <c r="K63" s="14"/>
      <c r="L63" s="15"/>
      <c r="M63" s="14"/>
      <c r="N63" s="14"/>
      <c r="O63" s="14"/>
      <c r="P63" s="14"/>
      <c r="Q63" s="16"/>
      <c r="R63" s="14"/>
      <c r="Z63" s="16"/>
      <c r="AC63" s="14"/>
      <c r="AD63" s="14"/>
      <c r="AE63" s="14"/>
      <c r="AF63" s="14"/>
      <c r="AG63" s="14"/>
      <c r="AH63" s="14"/>
      <c r="AI63" s="14"/>
      <c r="AJ63" s="14"/>
      <c r="AK63" s="14"/>
      <c r="AL63" s="14"/>
      <c r="AS63" s="14"/>
      <c r="AT63" s="14"/>
      <c r="AU63" s="14"/>
      <c r="AV63" s="14"/>
      <c r="AW63" s="14"/>
      <c r="AX63" s="14"/>
      <c r="AY63" s="14"/>
      <c r="BA63" s="14"/>
      <c r="BE63" s="16"/>
      <c r="BH63" s="14"/>
      <c r="BI63" s="14"/>
      <c r="BJ63" s="14"/>
      <c r="BK63" s="14"/>
      <c r="BL63" s="14"/>
      <c r="BM63" s="14"/>
      <c r="BN63" s="14"/>
      <c r="BO63" s="14"/>
      <c r="BP63" s="14"/>
      <c r="BQ63" s="14"/>
      <c r="BX63" s="14"/>
      <c r="BY63" s="14"/>
      <c r="BZ63" s="14"/>
      <c r="CA63" s="14"/>
      <c r="CB63" s="14"/>
      <c r="CC63" s="14"/>
      <c r="CD63" s="14"/>
      <c r="CF63" s="14"/>
      <c r="CJ63" s="16"/>
      <c r="CM63" s="14"/>
      <c r="CN63" s="14"/>
      <c r="CO63" s="14"/>
      <c r="CP63" s="14"/>
      <c r="CQ63" s="14"/>
      <c r="CR63" s="14"/>
      <c r="CS63" s="14"/>
      <c r="CT63" s="14"/>
      <c r="CU63" s="14"/>
      <c r="CV63" s="14"/>
    </row>
    <row r="64" spans="1:100" x14ac:dyDescent="0.2">
      <c r="A64" s="14"/>
      <c r="B64" s="14"/>
      <c r="C64" s="14"/>
      <c r="D64" s="14"/>
      <c r="E64" s="14"/>
      <c r="F64" s="14"/>
      <c r="G64" s="14"/>
      <c r="H64" s="14"/>
      <c r="I64" s="14"/>
      <c r="J64" s="14"/>
      <c r="K64" s="14"/>
      <c r="L64" s="15"/>
      <c r="M64" s="14"/>
      <c r="N64" s="14"/>
      <c r="O64" s="14"/>
      <c r="P64" s="14"/>
      <c r="Q64" s="16"/>
      <c r="R64" s="14"/>
      <c r="Z64" s="16"/>
      <c r="AC64" s="14"/>
      <c r="AD64" s="14"/>
      <c r="AE64" s="14"/>
      <c r="AF64" s="14"/>
      <c r="AG64" s="14"/>
      <c r="AH64" s="14"/>
      <c r="AI64" s="14"/>
      <c r="AJ64" s="14"/>
      <c r="AK64" s="14"/>
      <c r="AL64" s="14"/>
      <c r="AS64" s="14"/>
      <c r="AT64" s="14"/>
      <c r="AU64" s="14"/>
      <c r="AV64" s="14"/>
      <c r="AW64" s="14"/>
      <c r="AX64" s="14"/>
      <c r="AY64" s="14"/>
      <c r="BA64" s="14"/>
      <c r="BE64" s="16"/>
      <c r="BH64" s="14"/>
      <c r="BI64" s="14"/>
      <c r="BJ64" s="14"/>
      <c r="BK64" s="14"/>
      <c r="BL64" s="14"/>
      <c r="BM64" s="14"/>
      <c r="BN64" s="14"/>
      <c r="BO64" s="14"/>
      <c r="BP64" s="14"/>
      <c r="BQ64" s="14"/>
      <c r="BX64" s="14"/>
      <c r="BY64" s="14"/>
      <c r="BZ64" s="14"/>
      <c r="CA64" s="14"/>
      <c r="CB64" s="14"/>
      <c r="CC64" s="14"/>
      <c r="CD64" s="14"/>
      <c r="CF64" s="14"/>
      <c r="CJ64" s="16"/>
      <c r="CM64" s="14"/>
      <c r="CN64" s="14"/>
      <c r="CO64" s="14"/>
      <c r="CP64" s="14"/>
      <c r="CQ64" s="14"/>
      <c r="CR64" s="14"/>
      <c r="CS64" s="14"/>
      <c r="CT64" s="14"/>
      <c r="CU64" s="14"/>
      <c r="CV64" s="14"/>
    </row>
    <row r="65" spans="1:100" x14ac:dyDescent="0.2">
      <c r="A65" s="14"/>
      <c r="B65" s="14"/>
      <c r="C65" s="14"/>
      <c r="D65" s="14"/>
      <c r="E65" s="14"/>
      <c r="F65" s="14"/>
      <c r="G65" s="14"/>
      <c r="H65" s="14"/>
      <c r="I65" s="14"/>
      <c r="J65" s="14"/>
      <c r="K65" s="14"/>
      <c r="L65" s="15"/>
      <c r="M65" s="14"/>
      <c r="N65" s="14"/>
      <c r="O65" s="14"/>
      <c r="P65" s="14"/>
      <c r="Q65" s="16"/>
      <c r="R65" s="14"/>
      <c r="Z65" s="16"/>
      <c r="AC65" s="14"/>
      <c r="AD65" s="14"/>
      <c r="AE65" s="14"/>
      <c r="AF65" s="14"/>
      <c r="AG65" s="14"/>
      <c r="AH65" s="14"/>
      <c r="AI65" s="14"/>
      <c r="AJ65" s="14"/>
      <c r="AK65" s="14"/>
      <c r="AL65" s="14"/>
      <c r="AS65" s="14"/>
      <c r="AT65" s="14"/>
      <c r="AU65" s="14"/>
      <c r="AV65" s="14"/>
      <c r="AW65" s="14"/>
      <c r="AX65" s="14"/>
      <c r="AY65" s="14"/>
      <c r="BA65" s="14"/>
      <c r="BE65" s="16"/>
      <c r="BH65" s="14"/>
      <c r="BI65" s="14"/>
      <c r="BJ65" s="14"/>
      <c r="BK65" s="14"/>
      <c r="BL65" s="14"/>
      <c r="BM65" s="14"/>
      <c r="BN65" s="14"/>
      <c r="BO65" s="14"/>
      <c r="BP65" s="14"/>
      <c r="BQ65" s="14"/>
      <c r="BX65" s="14"/>
      <c r="BY65" s="14"/>
      <c r="BZ65" s="14"/>
      <c r="CA65" s="14"/>
      <c r="CB65" s="14"/>
      <c r="CC65" s="14"/>
      <c r="CD65" s="14"/>
      <c r="CF65" s="14"/>
      <c r="CJ65" s="16"/>
      <c r="CM65" s="14"/>
      <c r="CN65" s="14"/>
      <c r="CO65" s="14"/>
      <c r="CP65" s="14"/>
      <c r="CQ65" s="14"/>
      <c r="CR65" s="14"/>
      <c r="CS65" s="14"/>
      <c r="CT65" s="14"/>
      <c r="CU65" s="14"/>
      <c r="CV65" s="14"/>
    </row>
    <row r="66" spans="1:100" x14ac:dyDescent="0.2">
      <c r="A66" s="14"/>
      <c r="B66" s="14"/>
      <c r="C66" s="14"/>
      <c r="D66" s="14"/>
      <c r="E66" s="14"/>
      <c r="F66" s="14"/>
      <c r="G66" s="14"/>
      <c r="H66" s="14"/>
      <c r="I66" s="14"/>
      <c r="J66" s="14"/>
      <c r="K66" s="14"/>
      <c r="L66" s="15"/>
      <c r="M66" s="14"/>
      <c r="N66" s="14"/>
      <c r="O66" s="14"/>
      <c r="P66" s="14"/>
      <c r="Q66" s="16"/>
      <c r="R66" s="14"/>
      <c r="Z66" s="16"/>
      <c r="AC66" s="14"/>
      <c r="AD66" s="14"/>
      <c r="AE66" s="14"/>
      <c r="AF66" s="14"/>
      <c r="AG66" s="14"/>
      <c r="AH66" s="14"/>
      <c r="AI66" s="14"/>
      <c r="AJ66" s="14"/>
      <c r="AK66" s="14"/>
      <c r="AL66" s="14"/>
      <c r="AS66" s="14"/>
      <c r="AT66" s="14"/>
      <c r="AU66" s="14"/>
      <c r="AV66" s="14"/>
      <c r="AW66" s="14"/>
      <c r="AX66" s="14"/>
      <c r="AY66" s="14"/>
      <c r="BA66" s="14"/>
      <c r="BE66" s="16"/>
      <c r="BH66" s="14"/>
      <c r="BI66" s="14"/>
      <c r="BJ66" s="14"/>
      <c r="BK66" s="14"/>
      <c r="BL66" s="14"/>
      <c r="BM66" s="14"/>
      <c r="BN66" s="14"/>
      <c r="BO66" s="14"/>
      <c r="BP66" s="14"/>
      <c r="BQ66" s="14"/>
      <c r="BX66" s="14"/>
      <c r="BY66" s="14"/>
      <c r="BZ66" s="14"/>
      <c r="CA66" s="14"/>
      <c r="CB66" s="14"/>
      <c r="CC66" s="14"/>
      <c r="CD66" s="14"/>
      <c r="CF66" s="14"/>
      <c r="CJ66" s="16"/>
      <c r="CM66" s="14"/>
      <c r="CN66" s="14"/>
      <c r="CO66" s="14"/>
      <c r="CP66" s="14"/>
      <c r="CQ66" s="14"/>
      <c r="CR66" s="14"/>
      <c r="CS66" s="14"/>
      <c r="CT66" s="14"/>
      <c r="CU66" s="14"/>
      <c r="CV66" s="14"/>
    </row>
    <row r="67" spans="1:100" x14ac:dyDescent="0.2">
      <c r="A67" s="14"/>
      <c r="B67" s="14"/>
      <c r="C67" s="14"/>
      <c r="D67" s="14"/>
      <c r="E67" s="14"/>
      <c r="F67" s="14"/>
      <c r="G67" s="14"/>
      <c r="H67" s="14"/>
      <c r="I67" s="14"/>
      <c r="J67" s="14"/>
      <c r="K67" s="14"/>
      <c r="L67" s="15"/>
      <c r="M67" s="14"/>
      <c r="N67" s="14"/>
      <c r="O67" s="14"/>
      <c r="P67" s="14"/>
      <c r="Q67" s="16"/>
      <c r="R67" s="14"/>
      <c r="Z67" s="16"/>
      <c r="AC67" s="14"/>
      <c r="AD67" s="14"/>
      <c r="AE67" s="14"/>
      <c r="AF67" s="14"/>
      <c r="AG67" s="14"/>
      <c r="AH67" s="14"/>
      <c r="AI67" s="14"/>
      <c r="AJ67" s="14"/>
      <c r="AK67" s="14"/>
      <c r="AL67" s="14"/>
      <c r="AS67" s="14"/>
      <c r="AT67" s="14"/>
      <c r="AU67" s="14"/>
      <c r="AV67" s="14"/>
      <c r="AW67" s="14"/>
      <c r="AX67" s="14"/>
      <c r="AY67" s="14"/>
      <c r="BA67" s="14"/>
      <c r="BE67" s="16"/>
      <c r="BH67" s="14"/>
      <c r="BI67" s="14"/>
      <c r="BJ67" s="14"/>
      <c r="BK67" s="14"/>
      <c r="BL67" s="14"/>
      <c r="BM67" s="14"/>
      <c r="BN67" s="14"/>
      <c r="BO67" s="14"/>
      <c r="BP67" s="14"/>
      <c r="BQ67" s="14"/>
      <c r="BX67" s="14"/>
      <c r="BY67" s="14"/>
      <c r="BZ67" s="14"/>
      <c r="CA67" s="14"/>
      <c r="CB67" s="14"/>
      <c r="CC67" s="14"/>
      <c r="CD67" s="14"/>
      <c r="CF67" s="14"/>
      <c r="CJ67" s="16"/>
      <c r="CM67" s="14"/>
      <c r="CN67" s="14"/>
      <c r="CO67" s="14"/>
      <c r="CP67" s="14"/>
      <c r="CQ67" s="14"/>
      <c r="CR67" s="14"/>
      <c r="CS67" s="14"/>
      <c r="CT67" s="14"/>
      <c r="CU67" s="14"/>
      <c r="CV67" s="14"/>
    </row>
    <row r="68" spans="1:100" x14ac:dyDescent="0.2">
      <c r="A68" s="14"/>
      <c r="B68" s="14"/>
      <c r="C68" s="14"/>
      <c r="D68" s="14"/>
      <c r="E68" s="14"/>
      <c r="F68" s="14"/>
      <c r="G68" s="14"/>
      <c r="H68" s="14"/>
      <c r="I68" s="14"/>
      <c r="J68" s="14"/>
      <c r="K68" s="14"/>
      <c r="L68" s="15"/>
      <c r="M68" s="14"/>
      <c r="N68" s="14"/>
      <c r="O68" s="14"/>
      <c r="P68" s="14"/>
      <c r="Q68" s="16"/>
      <c r="R68" s="14"/>
      <c r="Z68" s="16"/>
      <c r="AC68" s="14"/>
      <c r="AD68" s="14"/>
      <c r="AE68" s="14"/>
      <c r="AF68" s="14"/>
      <c r="AG68" s="14"/>
      <c r="AH68" s="14"/>
      <c r="AI68" s="14"/>
      <c r="AJ68" s="14"/>
      <c r="AK68" s="14"/>
      <c r="AL68" s="14"/>
      <c r="AS68" s="14"/>
      <c r="AT68" s="14"/>
      <c r="AU68" s="14"/>
      <c r="AV68" s="14"/>
      <c r="AW68" s="14"/>
      <c r="AX68" s="14"/>
      <c r="AY68" s="14"/>
      <c r="BA68" s="14"/>
      <c r="BE68" s="16"/>
      <c r="BH68" s="14"/>
      <c r="BI68" s="14"/>
      <c r="BJ68" s="14"/>
      <c r="BK68" s="14"/>
      <c r="BL68" s="14"/>
      <c r="BM68" s="14"/>
      <c r="BN68" s="14"/>
      <c r="BO68" s="14"/>
      <c r="BP68" s="14"/>
      <c r="BQ68" s="14"/>
      <c r="BX68" s="14"/>
      <c r="BY68" s="14"/>
      <c r="BZ68" s="14"/>
      <c r="CA68" s="14"/>
      <c r="CB68" s="14"/>
      <c r="CC68" s="14"/>
      <c r="CD68" s="14"/>
      <c r="CF68" s="14"/>
      <c r="CJ68" s="16"/>
      <c r="CM68" s="14"/>
      <c r="CN68" s="14"/>
      <c r="CO68" s="14"/>
      <c r="CP68" s="14"/>
      <c r="CQ68" s="14"/>
      <c r="CR68" s="14"/>
      <c r="CS68" s="14"/>
      <c r="CT68" s="14"/>
      <c r="CU68" s="14"/>
      <c r="CV68" s="14"/>
    </row>
    <row r="69" spans="1:100" x14ac:dyDescent="0.2">
      <c r="A69" s="14"/>
      <c r="B69" s="14"/>
      <c r="C69" s="14"/>
      <c r="D69" s="14"/>
      <c r="E69" s="14"/>
      <c r="F69" s="14"/>
      <c r="G69" s="14"/>
      <c r="H69" s="14"/>
      <c r="I69" s="14"/>
      <c r="J69" s="14"/>
      <c r="K69" s="14"/>
      <c r="L69" s="15"/>
      <c r="M69" s="14"/>
      <c r="N69" s="14"/>
      <c r="O69" s="14"/>
      <c r="P69" s="14"/>
      <c r="Q69" s="16"/>
      <c r="R69" s="14"/>
      <c r="Z69" s="16"/>
      <c r="AC69" s="14"/>
      <c r="AD69" s="14"/>
      <c r="AE69" s="14"/>
      <c r="AF69" s="14"/>
      <c r="AG69" s="14"/>
      <c r="AH69" s="14"/>
      <c r="AI69" s="14"/>
      <c r="AJ69" s="14"/>
      <c r="AK69" s="14"/>
      <c r="AL69" s="14"/>
      <c r="AS69" s="14"/>
      <c r="AT69" s="14"/>
      <c r="AU69" s="14"/>
      <c r="AV69" s="14"/>
      <c r="AW69" s="14"/>
      <c r="AX69" s="14"/>
      <c r="AY69" s="14"/>
      <c r="BA69" s="14"/>
      <c r="BE69" s="16"/>
      <c r="BH69" s="14"/>
      <c r="BI69" s="14"/>
      <c r="BJ69" s="14"/>
      <c r="BK69" s="14"/>
      <c r="BL69" s="14"/>
      <c r="BM69" s="14"/>
      <c r="BN69" s="14"/>
      <c r="BO69" s="14"/>
      <c r="BP69" s="14"/>
      <c r="BQ69" s="14"/>
      <c r="BX69" s="14"/>
      <c r="BY69" s="14"/>
      <c r="BZ69" s="14"/>
      <c r="CA69" s="14"/>
      <c r="CB69" s="14"/>
      <c r="CC69" s="14"/>
      <c r="CD69" s="14"/>
      <c r="CF69" s="14"/>
      <c r="CJ69" s="16"/>
      <c r="CM69" s="14"/>
      <c r="CN69" s="14"/>
      <c r="CO69" s="14"/>
      <c r="CP69" s="14"/>
      <c r="CQ69" s="14"/>
      <c r="CR69" s="14"/>
      <c r="CS69" s="14"/>
      <c r="CT69" s="14"/>
      <c r="CU69" s="14"/>
      <c r="CV69" s="14"/>
    </row>
    <row r="70" spans="1:100" x14ac:dyDescent="0.2">
      <c r="A70" s="14"/>
      <c r="B70" s="14"/>
      <c r="C70" s="14"/>
      <c r="D70" s="14"/>
      <c r="E70" s="14"/>
      <c r="F70" s="14"/>
      <c r="G70" s="14"/>
      <c r="H70" s="14"/>
      <c r="I70" s="14"/>
      <c r="J70" s="14"/>
      <c r="K70" s="14"/>
      <c r="L70" s="15"/>
      <c r="M70" s="14"/>
      <c r="N70" s="14"/>
      <c r="O70" s="14"/>
      <c r="P70" s="14"/>
      <c r="Q70" s="16"/>
      <c r="R70" s="14"/>
      <c r="Z70" s="16"/>
      <c r="AC70" s="14"/>
      <c r="AD70" s="14"/>
      <c r="AE70" s="14"/>
      <c r="AF70" s="14"/>
      <c r="AG70" s="14"/>
      <c r="AH70" s="14"/>
      <c r="AI70" s="14"/>
      <c r="AJ70" s="14"/>
      <c r="AK70" s="14"/>
      <c r="AL70" s="14"/>
      <c r="AS70" s="14"/>
      <c r="AT70" s="14"/>
      <c r="AU70" s="14"/>
      <c r="AV70" s="14"/>
      <c r="AW70" s="14"/>
      <c r="AX70" s="14"/>
      <c r="AY70" s="14"/>
      <c r="BA70" s="14"/>
      <c r="BE70" s="16"/>
      <c r="BH70" s="14"/>
      <c r="BI70" s="14"/>
      <c r="BJ70" s="14"/>
      <c r="BK70" s="14"/>
      <c r="BL70" s="14"/>
      <c r="BM70" s="14"/>
      <c r="BN70" s="14"/>
      <c r="BO70" s="14"/>
      <c r="BP70" s="14"/>
      <c r="BQ70" s="14"/>
      <c r="BX70" s="14"/>
      <c r="BY70" s="14"/>
      <c r="BZ70" s="14"/>
      <c r="CA70" s="14"/>
      <c r="CB70" s="14"/>
      <c r="CC70" s="14"/>
      <c r="CD70" s="14"/>
      <c r="CF70" s="14"/>
      <c r="CJ70" s="16"/>
      <c r="CM70" s="14"/>
      <c r="CN70" s="14"/>
      <c r="CO70" s="14"/>
      <c r="CP70" s="14"/>
      <c r="CQ70" s="14"/>
      <c r="CR70" s="14"/>
      <c r="CS70" s="14"/>
      <c r="CT70" s="14"/>
      <c r="CU70" s="14"/>
      <c r="CV70" s="14"/>
    </row>
    <row r="71" spans="1:100" x14ac:dyDescent="0.2">
      <c r="A71" s="14"/>
      <c r="B71" s="14"/>
      <c r="C71" s="14"/>
      <c r="D71" s="14"/>
      <c r="E71" s="14"/>
      <c r="F71" s="14"/>
      <c r="G71" s="14"/>
      <c r="H71" s="14"/>
      <c r="I71" s="14"/>
      <c r="J71" s="14"/>
      <c r="K71" s="14"/>
      <c r="L71" s="15"/>
      <c r="M71" s="14"/>
      <c r="N71" s="14"/>
      <c r="O71" s="14"/>
      <c r="P71" s="14"/>
      <c r="Q71" s="16"/>
      <c r="R71" s="14"/>
      <c r="Z71" s="16"/>
      <c r="AC71" s="14"/>
      <c r="AD71" s="14"/>
      <c r="AE71" s="14"/>
      <c r="AF71" s="14"/>
      <c r="AG71" s="14"/>
      <c r="AH71" s="14"/>
      <c r="AI71" s="14"/>
      <c r="AJ71" s="14"/>
      <c r="AK71" s="14"/>
      <c r="AL71" s="14"/>
      <c r="AS71" s="14"/>
      <c r="AT71" s="14"/>
      <c r="AU71" s="14"/>
      <c r="AV71" s="14"/>
      <c r="AW71" s="14"/>
      <c r="AX71" s="14"/>
      <c r="AY71" s="14"/>
      <c r="BA71" s="14"/>
      <c r="BE71" s="16"/>
      <c r="BH71" s="14"/>
      <c r="BI71" s="14"/>
      <c r="BJ71" s="14"/>
      <c r="BK71" s="14"/>
      <c r="BL71" s="14"/>
      <c r="BM71" s="14"/>
      <c r="BN71" s="14"/>
      <c r="BO71" s="14"/>
      <c r="BP71" s="14"/>
      <c r="BQ71" s="14"/>
      <c r="BX71" s="14"/>
      <c r="BY71" s="14"/>
      <c r="BZ71" s="14"/>
      <c r="CA71" s="14"/>
      <c r="CB71" s="14"/>
      <c r="CC71" s="14"/>
      <c r="CD71" s="14"/>
      <c r="CF71" s="14"/>
      <c r="CJ71" s="16"/>
      <c r="CM71" s="14"/>
      <c r="CN71" s="14"/>
      <c r="CO71" s="14"/>
      <c r="CP71" s="14"/>
      <c r="CQ71" s="14"/>
      <c r="CR71" s="14"/>
      <c r="CS71" s="14"/>
      <c r="CT71" s="14"/>
      <c r="CU71" s="14"/>
      <c r="CV71" s="14"/>
    </row>
    <row r="72" spans="1:100" x14ac:dyDescent="0.2">
      <c r="A72" s="14"/>
      <c r="B72" s="14"/>
      <c r="C72" s="14"/>
      <c r="D72" s="14"/>
      <c r="E72" s="14"/>
      <c r="F72" s="14"/>
      <c r="G72" s="14"/>
      <c r="H72" s="14"/>
      <c r="I72" s="14"/>
      <c r="J72" s="14"/>
      <c r="K72" s="14"/>
      <c r="L72" s="15"/>
      <c r="M72" s="14"/>
      <c r="N72" s="14"/>
      <c r="O72" s="14"/>
      <c r="P72" s="14"/>
      <c r="Q72" s="16"/>
      <c r="R72" s="14"/>
      <c r="Z72" s="16"/>
      <c r="AC72" s="14"/>
      <c r="AD72" s="14"/>
      <c r="AE72" s="14"/>
      <c r="AF72" s="14"/>
      <c r="AG72" s="14"/>
      <c r="AH72" s="14"/>
      <c r="AI72" s="14"/>
      <c r="AJ72" s="14"/>
      <c r="AK72" s="14"/>
      <c r="AL72" s="14"/>
      <c r="AS72" s="14"/>
      <c r="AT72" s="14"/>
      <c r="AU72" s="14"/>
      <c r="AV72" s="14"/>
      <c r="AW72" s="14"/>
      <c r="AX72" s="14"/>
      <c r="AY72" s="14"/>
      <c r="BA72" s="14"/>
      <c r="BE72" s="16"/>
      <c r="BH72" s="14"/>
      <c r="BI72" s="14"/>
      <c r="BJ72" s="14"/>
      <c r="BK72" s="14"/>
      <c r="BL72" s="14"/>
      <c r="BM72" s="14"/>
      <c r="BN72" s="14"/>
      <c r="BO72" s="14"/>
      <c r="BP72" s="14"/>
      <c r="BQ72" s="14"/>
      <c r="BX72" s="14"/>
      <c r="BY72" s="14"/>
      <c r="BZ72" s="14"/>
      <c r="CA72" s="14"/>
      <c r="CB72" s="14"/>
      <c r="CC72" s="14"/>
      <c r="CD72" s="14"/>
      <c r="CF72" s="14"/>
      <c r="CJ72" s="16"/>
      <c r="CM72" s="14"/>
      <c r="CN72" s="14"/>
      <c r="CO72" s="14"/>
      <c r="CP72" s="14"/>
      <c r="CQ72" s="14"/>
      <c r="CR72" s="14"/>
      <c r="CS72" s="14"/>
      <c r="CT72" s="14"/>
      <c r="CU72" s="14"/>
      <c r="CV72" s="14"/>
    </row>
    <row r="73" spans="1:100" x14ac:dyDescent="0.2">
      <c r="A73" s="14"/>
      <c r="B73" s="14"/>
      <c r="C73" s="14"/>
      <c r="D73" s="14"/>
      <c r="E73" s="14"/>
      <c r="F73" s="14"/>
      <c r="G73" s="14"/>
      <c r="H73" s="14"/>
      <c r="I73" s="14"/>
      <c r="J73" s="14"/>
      <c r="K73" s="14"/>
      <c r="L73" s="15"/>
      <c r="M73" s="14"/>
      <c r="N73" s="14"/>
      <c r="O73" s="14"/>
      <c r="P73" s="14"/>
      <c r="Q73" s="16"/>
      <c r="R73" s="14"/>
      <c r="Z73" s="16"/>
      <c r="AC73" s="14"/>
      <c r="AD73" s="14"/>
      <c r="AE73" s="14"/>
      <c r="AF73" s="14"/>
      <c r="AG73" s="14"/>
      <c r="AH73" s="14"/>
      <c r="AI73" s="14"/>
      <c r="AJ73" s="14"/>
      <c r="AK73" s="14"/>
      <c r="AL73" s="14"/>
      <c r="AS73" s="14"/>
      <c r="AT73" s="14"/>
      <c r="AU73" s="14"/>
      <c r="AV73" s="14"/>
      <c r="AW73" s="14"/>
      <c r="AX73" s="14"/>
      <c r="AY73" s="14"/>
      <c r="BA73" s="14"/>
      <c r="BE73" s="16"/>
      <c r="BH73" s="14"/>
      <c r="BI73" s="14"/>
      <c r="BJ73" s="14"/>
      <c r="BK73" s="14"/>
      <c r="BL73" s="14"/>
      <c r="BM73" s="14"/>
      <c r="BN73" s="14"/>
      <c r="BO73" s="14"/>
      <c r="BP73" s="14"/>
      <c r="BQ73" s="14"/>
      <c r="BX73" s="14"/>
      <c r="BY73" s="14"/>
      <c r="BZ73" s="14"/>
      <c r="CA73" s="14"/>
      <c r="CB73" s="14"/>
      <c r="CC73" s="14"/>
      <c r="CD73" s="14"/>
      <c r="CF73" s="14"/>
      <c r="CJ73" s="16"/>
      <c r="CM73" s="14"/>
      <c r="CN73" s="14"/>
      <c r="CO73" s="14"/>
      <c r="CP73" s="14"/>
      <c r="CQ73" s="14"/>
      <c r="CR73" s="14"/>
      <c r="CS73" s="14"/>
      <c r="CT73" s="14"/>
      <c r="CU73" s="14"/>
      <c r="CV73" s="14"/>
    </row>
    <row r="74" spans="1:100" x14ac:dyDescent="0.2">
      <c r="A74" s="14"/>
      <c r="B74" s="14"/>
      <c r="C74" s="14"/>
      <c r="D74" s="14"/>
      <c r="E74" s="14"/>
      <c r="F74" s="14"/>
      <c r="G74" s="14"/>
      <c r="H74" s="14"/>
      <c r="I74" s="14"/>
      <c r="J74" s="14"/>
      <c r="K74" s="14"/>
      <c r="L74" s="15"/>
      <c r="M74" s="14"/>
      <c r="N74" s="14"/>
      <c r="O74" s="14"/>
      <c r="P74" s="14"/>
      <c r="Q74" s="16"/>
      <c r="R74" s="14"/>
      <c r="Z74" s="16"/>
      <c r="AC74" s="14"/>
      <c r="AD74" s="14"/>
      <c r="AE74" s="14"/>
      <c r="AF74" s="14"/>
      <c r="AG74" s="14"/>
      <c r="AH74" s="14"/>
      <c r="AI74" s="14"/>
      <c r="AJ74" s="14"/>
      <c r="AK74" s="14"/>
      <c r="AL74" s="14"/>
      <c r="AS74" s="14"/>
      <c r="AT74" s="14"/>
      <c r="AU74" s="14"/>
      <c r="AV74" s="14"/>
      <c r="AW74" s="14"/>
      <c r="AX74" s="14"/>
      <c r="AY74" s="14"/>
      <c r="BA74" s="14"/>
      <c r="BE74" s="16"/>
      <c r="BH74" s="14"/>
      <c r="BI74" s="14"/>
      <c r="BJ74" s="14"/>
      <c r="BK74" s="14"/>
      <c r="BL74" s="14"/>
      <c r="BM74" s="14"/>
      <c r="BN74" s="14"/>
      <c r="BO74" s="14"/>
      <c r="BP74" s="14"/>
      <c r="BQ74" s="14"/>
      <c r="BX74" s="14"/>
      <c r="BY74" s="14"/>
      <c r="BZ74" s="14"/>
      <c r="CA74" s="14"/>
      <c r="CB74" s="14"/>
      <c r="CC74" s="14"/>
      <c r="CD74" s="14"/>
      <c r="CF74" s="14"/>
      <c r="CJ74" s="16"/>
      <c r="CM74" s="14"/>
      <c r="CN74" s="14"/>
      <c r="CO74" s="14"/>
      <c r="CP74" s="14"/>
      <c r="CQ74" s="14"/>
      <c r="CR74" s="14"/>
      <c r="CS74" s="14"/>
      <c r="CT74" s="14"/>
      <c r="CU74" s="14"/>
      <c r="CV74" s="14"/>
    </row>
    <row r="75" spans="1:100" x14ac:dyDescent="0.2">
      <c r="A75" s="14"/>
      <c r="B75" s="14"/>
      <c r="C75" s="14"/>
      <c r="D75" s="14"/>
      <c r="E75" s="14"/>
      <c r="F75" s="14"/>
      <c r="G75" s="14"/>
      <c r="H75" s="14"/>
      <c r="I75" s="14"/>
      <c r="J75" s="14"/>
      <c r="K75" s="14"/>
      <c r="L75" s="15"/>
      <c r="M75" s="14"/>
      <c r="N75" s="14"/>
      <c r="O75" s="14"/>
      <c r="P75" s="14"/>
      <c r="Q75" s="16"/>
      <c r="R75" s="14"/>
      <c r="Z75" s="16"/>
      <c r="AC75" s="14"/>
      <c r="AD75" s="14"/>
      <c r="AE75" s="14"/>
      <c r="AF75" s="14"/>
      <c r="AG75" s="14"/>
      <c r="AH75" s="14"/>
      <c r="AI75" s="14"/>
      <c r="AJ75" s="14"/>
      <c r="AK75" s="14"/>
      <c r="AL75" s="14"/>
      <c r="AS75" s="14"/>
      <c r="AT75" s="14"/>
      <c r="AU75" s="14"/>
      <c r="AV75" s="14"/>
      <c r="AW75" s="14"/>
      <c r="AX75" s="14"/>
      <c r="AY75" s="14"/>
      <c r="BA75" s="14"/>
      <c r="BE75" s="16"/>
      <c r="BH75" s="14"/>
      <c r="BI75" s="14"/>
      <c r="BJ75" s="14"/>
      <c r="BK75" s="14"/>
      <c r="BL75" s="14"/>
      <c r="BM75" s="14"/>
      <c r="BN75" s="14"/>
      <c r="BO75" s="14"/>
      <c r="BP75" s="14"/>
      <c r="BQ75" s="14"/>
      <c r="BX75" s="14"/>
      <c r="BY75" s="14"/>
      <c r="BZ75" s="14"/>
      <c r="CA75" s="14"/>
      <c r="CB75" s="14"/>
      <c r="CC75" s="14"/>
      <c r="CD75" s="14"/>
      <c r="CF75" s="14"/>
      <c r="CJ75" s="16"/>
      <c r="CM75" s="14"/>
      <c r="CN75" s="14"/>
      <c r="CO75" s="14"/>
      <c r="CP75" s="14"/>
      <c r="CQ75" s="14"/>
      <c r="CR75" s="14"/>
      <c r="CS75" s="14"/>
      <c r="CT75" s="14"/>
      <c r="CU75" s="14"/>
      <c r="CV75" s="14"/>
    </row>
    <row r="76" spans="1:100" x14ac:dyDescent="0.2">
      <c r="A76" s="14"/>
      <c r="B76" s="14"/>
      <c r="C76" s="14"/>
      <c r="D76" s="14"/>
      <c r="E76" s="14"/>
      <c r="F76" s="14"/>
      <c r="G76" s="14"/>
      <c r="H76" s="14"/>
      <c r="I76" s="14"/>
      <c r="J76" s="14"/>
      <c r="K76" s="14"/>
      <c r="L76" s="15"/>
      <c r="M76" s="14"/>
      <c r="N76" s="14"/>
      <c r="O76" s="14"/>
      <c r="P76" s="14"/>
      <c r="Q76" s="16"/>
      <c r="R76" s="14"/>
      <c r="Z76" s="16"/>
      <c r="AC76" s="14"/>
      <c r="AD76" s="14"/>
      <c r="AE76" s="14"/>
      <c r="AF76" s="14"/>
      <c r="AG76" s="14"/>
      <c r="AH76" s="14"/>
      <c r="AI76" s="14"/>
      <c r="AJ76" s="14"/>
      <c r="AK76" s="14"/>
      <c r="AL76" s="14"/>
      <c r="AS76" s="14"/>
      <c r="AT76" s="14"/>
      <c r="AU76" s="14"/>
      <c r="AV76" s="14"/>
      <c r="AW76" s="14"/>
      <c r="AX76" s="14"/>
      <c r="AY76" s="14"/>
      <c r="BA76" s="14"/>
      <c r="BE76" s="16"/>
      <c r="BH76" s="14"/>
      <c r="BI76" s="14"/>
      <c r="BJ76" s="14"/>
      <c r="BK76" s="14"/>
      <c r="BL76" s="14"/>
      <c r="BM76" s="14"/>
      <c r="BN76" s="14"/>
      <c r="BO76" s="14"/>
      <c r="BP76" s="14"/>
      <c r="BQ76" s="14"/>
      <c r="BX76" s="14"/>
      <c r="BY76" s="14"/>
      <c r="BZ76" s="14"/>
      <c r="CA76" s="14"/>
      <c r="CB76" s="14"/>
      <c r="CC76" s="14"/>
      <c r="CD76" s="14"/>
      <c r="CF76" s="14"/>
      <c r="CJ76" s="16"/>
      <c r="CM76" s="14"/>
      <c r="CN76" s="14"/>
      <c r="CO76" s="14"/>
      <c r="CP76" s="14"/>
      <c r="CQ76" s="14"/>
      <c r="CR76" s="14"/>
      <c r="CS76" s="14"/>
      <c r="CT76" s="14"/>
      <c r="CU76" s="14"/>
      <c r="CV76" s="14"/>
    </row>
    <row r="77" spans="1:100" x14ac:dyDescent="0.2">
      <c r="A77" s="14"/>
      <c r="B77" s="14"/>
      <c r="C77" s="14"/>
      <c r="D77" s="14"/>
      <c r="E77" s="14"/>
      <c r="F77" s="14"/>
      <c r="G77" s="14"/>
      <c r="H77" s="14"/>
      <c r="I77" s="14"/>
      <c r="J77" s="14"/>
      <c r="K77" s="14"/>
      <c r="L77" s="15"/>
      <c r="M77" s="14"/>
      <c r="N77" s="14"/>
      <c r="O77" s="14"/>
      <c r="P77" s="14"/>
      <c r="Q77" s="16"/>
      <c r="R77" s="14"/>
      <c r="Z77" s="16"/>
      <c r="AC77" s="14"/>
      <c r="AD77" s="14"/>
      <c r="AE77" s="14"/>
      <c r="AF77" s="14"/>
      <c r="AG77" s="14"/>
      <c r="AH77" s="14"/>
      <c r="AI77" s="14"/>
      <c r="AJ77" s="14"/>
      <c r="AK77" s="14"/>
      <c r="AL77" s="14"/>
      <c r="AS77" s="14"/>
      <c r="AT77" s="14"/>
      <c r="AU77" s="14"/>
      <c r="AV77" s="14"/>
      <c r="AW77" s="14"/>
      <c r="AX77" s="14"/>
      <c r="AY77" s="14"/>
      <c r="BA77" s="14"/>
      <c r="BE77" s="16"/>
      <c r="BH77" s="14"/>
      <c r="BI77" s="14"/>
      <c r="BJ77" s="14"/>
      <c r="BK77" s="14"/>
      <c r="BL77" s="14"/>
      <c r="BM77" s="14"/>
      <c r="BN77" s="14"/>
      <c r="BO77" s="14"/>
      <c r="BP77" s="14"/>
      <c r="BQ77" s="14"/>
      <c r="BX77" s="14"/>
      <c r="BY77" s="14"/>
      <c r="BZ77" s="14"/>
      <c r="CA77" s="14"/>
      <c r="CB77" s="14"/>
      <c r="CC77" s="14"/>
      <c r="CD77" s="14"/>
      <c r="CF77" s="14"/>
      <c r="CJ77" s="16"/>
      <c r="CM77" s="14"/>
      <c r="CN77" s="14"/>
      <c r="CO77" s="14"/>
      <c r="CP77" s="14"/>
      <c r="CQ77" s="14"/>
      <c r="CR77" s="14"/>
      <c r="CS77" s="14"/>
      <c r="CT77" s="14"/>
      <c r="CU77" s="14"/>
      <c r="CV77" s="14"/>
    </row>
    <row r="78" spans="1:100" x14ac:dyDescent="0.2">
      <c r="A78" s="14"/>
      <c r="B78" s="14"/>
      <c r="C78" s="14"/>
      <c r="D78" s="14"/>
      <c r="E78" s="14"/>
      <c r="F78" s="14"/>
      <c r="G78" s="14"/>
      <c r="H78" s="14"/>
      <c r="I78" s="14"/>
      <c r="J78" s="14"/>
      <c r="K78" s="14"/>
      <c r="L78" s="15"/>
      <c r="M78" s="14"/>
      <c r="N78" s="14"/>
      <c r="O78" s="14"/>
      <c r="P78" s="14"/>
      <c r="Q78" s="16"/>
      <c r="R78" s="14"/>
      <c r="Z78" s="16"/>
      <c r="AC78" s="14"/>
      <c r="AD78" s="14"/>
      <c r="AE78" s="14"/>
      <c r="AF78" s="14"/>
      <c r="AG78" s="14"/>
      <c r="AH78" s="14"/>
      <c r="AI78" s="14"/>
      <c r="AJ78" s="14"/>
      <c r="AK78" s="14"/>
      <c r="AL78" s="14"/>
      <c r="AS78" s="14"/>
      <c r="AT78" s="14"/>
      <c r="AU78" s="14"/>
      <c r="AV78" s="14"/>
      <c r="AW78" s="14"/>
      <c r="AX78" s="14"/>
      <c r="AY78" s="14"/>
      <c r="BA78" s="14"/>
      <c r="BE78" s="16"/>
      <c r="BH78" s="14"/>
      <c r="BI78" s="14"/>
      <c r="BJ78" s="14"/>
      <c r="BK78" s="14"/>
      <c r="BL78" s="14"/>
      <c r="BM78" s="14"/>
      <c r="BN78" s="14"/>
      <c r="BO78" s="14"/>
      <c r="BP78" s="14"/>
      <c r="BQ78" s="14"/>
      <c r="BX78" s="14"/>
      <c r="BY78" s="14"/>
      <c r="BZ78" s="14"/>
      <c r="CA78" s="14"/>
      <c r="CB78" s="14"/>
      <c r="CC78" s="14"/>
      <c r="CD78" s="14"/>
      <c r="CF78" s="14"/>
      <c r="CJ78" s="16"/>
      <c r="CM78" s="14"/>
      <c r="CN78" s="14"/>
      <c r="CO78" s="14"/>
      <c r="CP78" s="14"/>
      <c r="CQ78" s="14"/>
      <c r="CR78" s="14"/>
      <c r="CS78" s="14"/>
      <c r="CT78" s="14"/>
      <c r="CU78" s="14"/>
      <c r="CV78" s="14"/>
    </row>
    <row r="79" spans="1:100" x14ac:dyDescent="0.2">
      <c r="A79" s="14"/>
      <c r="B79" s="14"/>
      <c r="C79" s="14"/>
      <c r="D79" s="14"/>
      <c r="E79" s="14"/>
      <c r="F79" s="14"/>
      <c r="G79" s="14"/>
      <c r="H79" s="14"/>
      <c r="I79" s="14"/>
      <c r="J79" s="14"/>
      <c r="K79" s="14"/>
      <c r="L79" s="15"/>
      <c r="M79" s="14"/>
      <c r="N79" s="14"/>
      <c r="O79" s="14"/>
      <c r="P79" s="14"/>
      <c r="Q79" s="16"/>
      <c r="R79" s="14"/>
      <c r="Z79" s="16"/>
      <c r="AC79" s="14"/>
      <c r="AD79" s="14"/>
      <c r="AE79" s="14"/>
      <c r="AF79" s="14"/>
      <c r="AG79" s="14"/>
      <c r="AH79" s="14"/>
      <c r="AI79" s="14"/>
      <c r="AJ79" s="14"/>
      <c r="AK79" s="14"/>
      <c r="AL79" s="14"/>
      <c r="AS79" s="14"/>
      <c r="AT79" s="14"/>
      <c r="AU79" s="14"/>
      <c r="AV79" s="14"/>
      <c r="AW79" s="14"/>
      <c r="AX79" s="14"/>
      <c r="AY79" s="14"/>
      <c r="BA79" s="14"/>
      <c r="BE79" s="16"/>
      <c r="BH79" s="14"/>
      <c r="BI79" s="14"/>
      <c r="BJ79" s="14"/>
      <c r="BK79" s="14"/>
      <c r="BL79" s="14"/>
      <c r="BM79" s="14"/>
      <c r="BN79" s="14"/>
      <c r="BO79" s="14"/>
      <c r="BP79" s="14"/>
      <c r="BQ79" s="14"/>
      <c r="BX79" s="14"/>
      <c r="BY79" s="14"/>
      <c r="BZ79" s="14"/>
      <c r="CA79" s="14"/>
      <c r="CB79" s="14"/>
      <c r="CC79" s="14"/>
      <c r="CD79" s="14"/>
      <c r="CF79" s="14"/>
      <c r="CJ79" s="16"/>
      <c r="CM79" s="14"/>
      <c r="CN79" s="14"/>
      <c r="CO79" s="14"/>
      <c r="CP79" s="14"/>
      <c r="CQ79" s="14"/>
      <c r="CR79" s="14"/>
      <c r="CS79" s="14"/>
      <c r="CT79" s="14"/>
      <c r="CU79" s="14"/>
      <c r="CV79" s="14"/>
    </row>
    <row r="80" spans="1:100" x14ac:dyDescent="0.2">
      <c r="A80" s="14"/>
      <c r="B80" s="14"/>
      <c r="C80" s="14"/>
      <c r="D80" s="14"/>
      <c r="E80" s="14"/>
      <c r="F80" s="14"/>
      <c r="G80" s="14"/>
      <c r="H80" s="14"/>
      <c r="I80" s="14"/>
      <c r="J80" s="14"/>
      <c r="K80" s="14"/>
      <c r="L80" s="15"/>
      <c r="M80" s="14"/>
      <c r="N80" s="14"/>
      <c r="O80" s="14"/>
      <c r="P80" s="14"/>
      <c r="Q80" s="16"/>
      <c r="R80" s="14"/>
      <c r="Z80" s="16"/>
      <c r="AC80" s="14"/>
      <c r="AD80" s="14"/>
      <c r="AE80" s="14"/>
      <c r="AF80" s="14"/>
      <c r="AG80" s="14"/>
      <c r="AH80" s="14"/>
      <c r="AI80" s="14"/>
      <c r="AJ80" s="14"/>
      <c r="AK80" s="14"/>
      <c r="AL80" s="14"/>
      <c r="AS80" s="14"/>
      <c r="AT80" s="14"/>
      <c r="AU80" s="14"/>
      <c r="AV80" s="14"/>
      <c r="AW80" s="14"/>
      <c r="AX80" s="14"/>
      <c r="AY80" s="14"/>
      <c r="BA80" s="14"/>
      <c r="BE80" s="16"/>
      <c r="BH80" s="14"/>
      <c r="BI80" s="14"/>
      <c r="BJ80" s="14"/>
      <c r="BK80" s="14"/>
      <c r="BL80" s="14"/>
      <c r="BM80" s="14"/>
      <c r="BN80" s="14"/>
      <c r="BO80" s="14"/>
      <c r="BP80" s="14"/>
      <c r="BQ80" s="14"/>
      <c r="BX80" s="14"/>
      <c r="BY80" s="14"/>
      <c r="BZ80" s="14"/>
      <c r="CA80" s="14"/>
      <c r="CB80" s="14"/>
      <c r="CC80" s="14"/>
      <c r="CD80" s="14"/>
      <c r="CF80" s="14"/>
      <c r="CJ80" s="16"/>
      <c r="CM80" s="14"/>
      <c r="CN80" s="14"/>
      <c r="CO80" s="14"/>
      <c r="CP80" s="14"/>
      <c r="CQ80" s="14"/>
      <c r="CR80" s="14"/>
      <c r="CS80" s="14"/>
      <c r="CT80" s="14"/>
      <c r="CU80" s="14"/>
      <c r="CV80" s="14"/>
    </row>
    <row r="81" spans="1:100" x14ac:dyDescent="0.2">
      <c r="A81" s="14"/>
      <c r="B81" s="14"/>
      <c r="C81" s="14"/>
      <c r="D81" s="14"/>
      <c r="E81" s="14"/>
      <c r="F81" s="14"/>
      <c r="G81" s="14"/>
      <c r="H81" s="14"/>
      <c r="I81" s="14"/>
      <c r="J81" s="14"/>
      <c r="K81" s="14"/>
      <c r="L81" s="15"/>
      <c r="M81" s="14"/>
      <c r="N81" s="14"/>
      <c r="O81" s="14"/>
      <c r="P81" s="14"/>
      <c r="Q81" s="16"/>
      <c r="R81" s="14"/>
      <c r="Z81" s="16"/>
      <c r="AC81" s="14"/>
      <c r="AD81" s="14"/>
      <c r="AE81" s="14"/>
      <c r="AF81" s="14"/>
      <c r="AG81" s="14"/>
      <c r="AH81" s="14"/>
      <c r="AI81" s="14"/>
      <c r="AJ81" s="14"/>
      <c r="AK81" s="14"/>
      <c r="AL81" s="14"/>
      <c r="AS81" s="14"/>
      <c r="AT81" s="14"/>
      <c r="AU81" s="14"/>
      <c r="AV81" s="14"/>
      <c r="AW81" s="14"/>
      <c r="AX81" s="14"/>
      <c r="AY81" s="14"/>
      <c r="BA81" s="14"/>
      <c r="BE81" s="16"/>
      <c r="BH81" s="14"/>
      <c r="BI81" s="14"/>
      <c r="BJ81" s="14"/>
      <c r="BK81" s="14"/>
      <c r="BL81" s="14"/>
      <c r="BM81" s="14"/>
      <c r="BN81" s="14"/>
      <c r="BO81" s="14"/>
      <c r="BP81" s="14"/>
      <c r="BQ81" s="14"/>
      <c r="BX81" s="14"/>
      <c r="BY81" s="14"/>
      <c r="BZ81" s="14"/>
      <c r="CA81" s="14"/>
      <c r="CB81" s="14"/>
      <c r="CC81" s="14"/>
      <c r="CD81" s="14"/>
      <c r="CF81" s="14"/>
      <c r="CJ81" s="16"/>
      <c r="CM81" s="14"/>
      <c r="CN81" s="14"/>
      <c r="CO81" s="14"/>
      <c r="CP81" s="14"/>
      <c r="CQ81" s="14"/>
      <c r="CR81" s="14"/>
      <c r="CS81" s="14"/>
      <c r="CT81" s="14"/>
      <c r="CU81" s="14"/>
      <c r="CV81" s="14"/>
    </row>
    <row r="82" spans="1:100" x14ac:dyDescent="0.2">
      <c r="A82" s="14"/>
      <c r="B82" s="14"/>
      <c r="C82" s="14"/>
      <c r="D82" s="14"/>
      <c r="E82" s="14"/>
      <c r="F82" s="14"/>
      <c r="G82" s="14"/>
      <c r="H82" s="14"/>
      <c r="I82" s="14"/>
      <c r="J82" s="14"/>
      <c r="K82" s="14"/>
      <c r="L82" s="15"/>
      <c r="M82" s="14"/>
      <c r="N82" s="14"/>
      <c r="O82" s="14"/>
      <c r="P82" s="14"/>
      <c r="Q82" s="16"/>
      <c r="R82" s="14"/>
      <c r="Z82" s="16"/>
      <c r="AC82" s="14"/>
      <c r="AD82" s="14"/>
      <c r="AE82" s="14"/>
      <c r="AF82" s="14"/>
      <c r="AG82" s="14"/>
      <c r="AH82" s="14"/>
      <c r="AI82" s="14"/>
      <c r="AJ82" s="14"/>
      <c r="AK82" s="14"/>
      <c r="AL82" s="14"/>
      <c r="AS82" s="14"/>
      <c r="AT82" s="14"/>
      <c r="AU82" s="14"/>
      <c r="AV82" s="14"/>
      <c r="AW82" s="14"/>
      <c r="AX82" s="14"/>
      <c r="AY82" s="14"/>
      <c r="BA82" s="14"/>
      <c r="BE82" s="16"/>
      <c r="BH82" s="14"/>
      <c r="BI82" s="14"/>
      <c r="BJ82" s="14"/>
      <c r="BK82" s="14"/>
      <c r="BL82" s="14"/>
      <c r="BM82" s="14"/>
      <c r="BN82" s="14"/>
      <c r="BO82" s="14"/>
      <c r="BP82" s="14"/>
      <c r="BQ82" s="14"/>
      <c r="BX82" s="14"/>
      <c r="BY82" s="14"/>
      <c r="BZ82" s="14"/>
      <c r="CA82" s="14"/>
      <c r="CB82" s="14"/>
      <c r="CC82" s="14"/>
      <c r="CD82" s="14"/>
      <c r="CF82" s="14"/>
      <c r="CJ82" s="16"/>
      <c r="CM82" s="14"/>
      <c r="CN82" s="14"/>
      <c r="CO82" s="14"/>
      <c r="CP82" s="14"/>
      <c r="CQ82" s="14"/>
      <c r="CR82" s="14"/>
      <c r="CS82" s="14"/>
      <c r="CT82" s="14"/>
      <c r="CU82" s="14"/>
      <c r="CV82" s="14"/>
    </row>
    <row r="83" spans="1:100" x14ac:dyDescent="0.2">
      <c r="A83" s="14"/>
      <c r="B83" s="14"/>
      <c r="C83" s="14"/>
      <c r="D83" s="14"/>
      <c r="E83" s="14"/>
      <c r="F83" s="14"/>
      <c r="G83" s="14"/>
      <c r="H83" s="14"/>
      <c r="I83" s="14"/>
      <c r="J83" s="14"/>
      <c r="K83" s="14"/>
      <c r="L83" s="15"/>
      <c r="M83" s="14"/>
      <c r="N83" s="14"/>
      <c r="O83" s="14"/>
      <c r="P83" s="14"/>
      <c r="Q83" s="16"/>
      <c r="R83" s="14"/>
      <c r="Z83" s="16"/>
      <c r="AC83" s="14"/>
      <c r="AD83" s="14"/>
      <c r="AE83" s="14"/>
      <c r="AF83" s="14"/>
      <c r="AG83" s="14"/>
      <c r="AH83" s="14"/>
      <c r="AI83" s="14"/>
      <c r="AJ83" s="14"/>
      <c r="AK83" s="14"/>
      <c r="AL83" s="14"/>
      <c r="AS83" s="14"/>
      <c r="AT83" s="14"/>
      <c r="AU83" s="14"/>
      <c r="AV83" s="14"/>
      <c r="AW83" s="14"/>
      <c r="AX83" s="14"/>
      <c r="AY83" s="14"/>
      <c r="BA83" s="14"/>
      <c r="BE83" s="16"/>
      <c r="BH83" s="14"/>
      <c r="BI83" s="14"/>
      <c r="BJ83" s="14"/>
      <c r="BK83" s="14"/>
      <c r="BL83" s="14"/>
      <c r="BM83" s="14"/>
      <c r="BN83" s="14"/>
      <c r="BO83" s="14"/>
      <c r="BP83" s="14"/>
      <c r="BQ83" s="14"/>
      <c r="BX83" s="14"/>
      <c r="BY83" s="14"/>
      <c r="BZ83" s="14"/>
      <c r="CA83" s="14"/>
      <c r="CB83" s="14"/>
      <c r="CC83" s="14"/>
      <c r="CD83" s="14"/>
      <c r="CF83" s="14"/>
      <c r="CJ83" s="16"/>
      <c r="CM83" s="14"/>
      <c r="CN83" s="14"/>
      <c r="CO83" s="14"/>
      <c r="CP83" s="14"/>
      <c r="CQ83" s="14"/>
      <c r="CR83" s="14"/>
      <c r="CS83" s="14"/>
      <c r="CT83" s="14"/>
      <c r="CU83" s="14"/>
      <c r="CV83" s="14"/>
    </row>
    <row r="84" spans="1:100" x14ac:dyDescent="0.2">
      <c r="A84" s="14"/>
      <c r="B84" s="14"/>
      <c r="C84" s="14"/>
      <c r="D84" s="14"/>
      <c r="E84" s="14"/>
      <c r="F84" s="14"/>
      <c r="G84" s="14"/>
      <c r="H84" s="14"/>
      <c r="I84" s="14"/>
      <c r="J84" s="14"/>
      <c r="K84" s="14"/>
      <c r="L84" s="15"/>
      <c r="M84" s="14"/>
      <c r="N84" s="14"/>
      <c r="O84" s="14"/>
      <c r="P84" s="14"/>
      <c r="Q84" s="16"/>
      <c r="R84" s="14"/>
      <c r="Z84" s="16"/>
      <c r="AC84" s="14"/>
      <c r="AD84" s="14"/>
      <c r="AE84" s="14"/>
      <c r="AF84" s="14"/>
      <c r="AG84" s="14"/>
      <c r="AH84" s="14"/>
      <c r="AI84" s="14"/>
      <c r="AJ84" s="14"/>
      <c r="AK84" s="14"/>
      <c r="AL84" s="14"/>
      <c r="AS84" s="14"/>
      <c r="AT84" s="14"/>
      <c r="AU84" s="14"/>
      <c r="AV84" s="14"/>
      <c r="AW84" s="14"/>
      <c r="AX84" s="14"/>
      <c r="AY84" s="14"/>
      <c r="BA84" s="14"/>
      <c r="BE84" s="16"/>
      <c r="BH84" s="14"/>
      <c r="BI84" s="14"/>
      <c r="BJ84" s="14"/>
      <c r="BK84" s="14"/>
      <c r="BL84" s="14"/>
      <c r="BM84" s="14"/>
      <c r="BN84" s="14"/>
      <c r="BO84" s="14"/>
      <c r="BP84" s="14"/>
      <c r="BQ84" s="14"/>
      <c r="BX84" s="14"/>
      <c r="BY84" s="14"/>
      <c r="BZ84" s="14"/>
      <c r="CA84" s="14"/>
      <c r="CB84" s="14"/>
      <c r="CC84" s="14"/>
      <c r="CD84" s="14"/>
      <c r="CF84" s="14"/>
      <c r="CJ84" s="16"/>
      <c r="CM84" s="14"/>
      <c r="CN84" s="14"/>
      <c r="CO84" s="14"/>
      <c r="CP84" s="14"/>
      <c r="CQ84" s="14"/>
      <c r="CR84" s="14"/>
      <c r="CS84" s="14"/>
      <c r="CT84" s="14"/>
      <c r="CU84" s="14"/>
      <c r="CV84" s="14"/>
    </row>
    <row r="85" spans="1:100" x14ac:dyDescent="0.2">
      <c r="A85" s="14"/>
      <c r="B85" s="14"/>
      <c r="C85" s="14"/>
      <c r="D85" s="14"/>
      <c r="E85" s="14"/>
      <c r="F85" s="14"/>
      <c r="G85" s="14"/>
      <c r="H85" s="14"/>
      <c r="I85" s="14"/>
      <c r="J85" s="14"/>
      <c r="K85" s="14"/>
      <c r="L85" s="15"/>
      <c r="M85" s="14"/>
      <c r="N85" s="14"/>
      <c r="O85" s="14"/>
      <c r="P85" s="14"/>
      <c r="Q85" s="16"/>
      <c r="R85" s="14"/>
      <c r="Z85" s="16"/>
      <c r="AC85" s="14"/>
      <c r="AD85" s="14"/>
      <c r="AE85" s="14"/>
      <c r="AF85" s="14"/>
      <c r="AG85" s="14"/>
      <c r="AH85" s="14"/>
      <c r="AI85" s="14"/>
      <c r="AJ85" s="14"/>
      <c r="AK85" s="14"/>
      <c r="AL85" s="14"/>
      <c r="AS85" s="14"/>
      <c r="AT85" s="14"/>
      <c r="AU85" s="14"/>
      <c r="AV85" s="14"/>
      <c r="AW85" s="14"/>
      <c r="AX85" s="14"/>
      <c r="AY85" s="14"/>
      <c r="BA85" s="14"/>
      <c r="BE85" s="16"/>
      <c r="BH85" s="14"/>
      <c r="BI85" s="14"/>
      <c r="BJ85" s="14"/>
      <c r="BK85" s="14"/>
      <c r="BL85" s="14"/>
      <c r="BM85" s="14"/>
      <c r="BN85" s="14"/>
      <c r="BO85" s="14"/>
      <c r="BP85" s="14"/>
      <c r="BQ85" s="14"/>
      <c r="BX85" s="14"/>
      <c r="BY85" s="14"/>
      <c r="BZ85" s="14"/>
      <c r="CA85" s="14"/>
      <c r="CB85" s="14"/>
      <c r="CC85" s="14"/>
      <c r="CD85" s="14"/>
      <c r="CF85" s="14"/>
      <c r="CJ85" s="16"/>
      <c r="CM85" s="14"/>
      <c r="CN85" s="14"/>
      <c r="CO85" s="14"/>
      <c r="CP85" s="14"/>
      <c r="CQ85" s="14"/>
      <c r="CR85" s="14"/>
      <c r="CS85" s="14"/>
      <c r="CT85" s="14"/>
      <c r="CU85" s="14"/>
      <c r="CV85" s="14"/>
    </row>
    <row r="86" spans="1:100" x14ac:dyDescent="0.2">
      <c r="A86" s="14"/>
      <c r="B86" s="14"/>
      <c r="C86" s="14"/>
      <c r="D86" s="14"/>
      <c r="E86" s="14"/>
      <c r="F86" s="14"/>
      <c r="G86" s="14"/>
      <c r="H86" s="14"/>
      <c r="I86" s="14"/>
      <c r="J86" s="14"/>
      <c r="K86" s="14"/>
      <c r="L86" s="15"/>
      <c r="M86" s="14"/>
      <c r="N86" s="14"/>
      <c r="O86" s="14"/>
      <c r="P86" s="14"/>
      <c r="Q86" s="16"/>
      <c r="R86" s="14"/>
      <c r="Z86" s="16"/>
      <c r="AC86" s="14"/>
      <c r="AD86" s="14"/>
      <c r="AE86" s="14"/>
      <c r="AF86" s="14"/>
      <c r="AG86" s="14"/>
      <c r="AH86" s="14"/>
      <c r="AI86" s="14"/>
      <c r="AJ86" s="14"/>
      <c r="AK86" s="14"/>
      <c r="AL86" s="14"/>
      <c r="AS86" s="14"/>
      <c r="AT86" s="14"/>
      <c r="AU86" s="14"/>
      <c r="AV86" s="14"/>
      <c r="AW86" s="14"/>
      <c r="AX86" s="14"/>
      <c r="AY86" s="14"/>
      <c r="BA86" s="14"/>
      <c r="BE86" s="16"/>
      <c r="BH86" s="14"/>
      <c r="BI86" s="14"/>
      <c r="BJ86" s="14"/>
      <c r="BK86" s="14"/>
      <c r="BL86" s="14"/>
      <c r="BM86" s="14"/>
      <c r="BN86" s="14"/>
      <c r="BO86" s="14"/>
      <c r="BP86" s="14"/>
      <c r="BQ86" s="14"/>
      <c r="BX86" s="14"/>
      <c r="BY86" s="14"/>
      <c r="BZ86" s="14"/>
      <c r="CA86" s="14"/>
      <c r="CB86" s="14"/>
      <c r="CC86" s="14"/>
      <c r="CD86" s="14"/>
      <c r="CF86" s="14"/>
      <c r="CJ86" s="16"/>
      <c r="CM86" s="14"/>
      <c r="CN86" s="14"/>
      <c r="CO86" s="14"/>
      <c r="CP86" s="14"/>
      <c r="CQ86" s="14"/>
      <c r="CR86" s="14"/>
      <c r="CS86" s="14"/>
      <c r="CT86" s="14"/>
      <c r="CU86" s="14"/>
      <c r="CV86" s="14"/>
    </row>
    <row r="87" spans="1:100" x14ac:dyDescent="0.2">
      <c r="A87" s="14"/>
      <c r="B87" s="14"/>
      <c r="C87" s="14"/>
      <c r="D87" s="14"/>
      <c r="E87" s="14"/>
      <c r="F87" s="14"/>
      <c r="G87" s="14"/>
      <c r="H87" s="14"/>
      <c r="I87" s="14"/>
      <c r="J87" s="14"/>
      <c r="K87" s="14"/>
      <c r="L87" s="15"/>
      <c r="M87" s="14"/>
      <c r="N87" s="14"/>
      <c r="O87" s="14"/>
      <c r="P87" s="14"/>
      <c r="Q87" s="16"/>
      <c r="R87" s="14"/>
      <c r="Z87" s="16"/>
      <c r="AC87" s="14"/>
      <c r="AD87" s="14"/>
      <c r="AE87" s="14"/>
      <c r="AF87" s="14"/>
      <c r="AG87" s="14"/>
      <c r="AH87" s="14"/>
      <c r="AI87" s="14"/>
      <c r="AJ87" s="14"/>
      <c r="AK87" s="14"/>
      <c r="AL87" s="14"/>
      <c r="AS87" s="14"/>
      <c r="AT87" s="14"/>
      <c r="AU87" s="14"/>
      <c r="AV87" s="14"/>
      <c r="AW87" s="14"/>
      <c r="AX87" s="14"/>
      <c r="AY87" s="14"/>
      <c r="BA87" s="14"/>
      <c r="BE87" s="16"/>
      <c r="BH87" s="14"/>
      <c r="BI87" s="14"/>
      <c r="BJ87" s="14"/>
      <c r="BK87" s="14"/>
      <c r="BL87" s="14"/>
      <c r="BM87" s="14"/>
      <c r="BN87" s="14"/>
      <c r="BO87" s="14"/>
      <c r="BP87" s="14"/>
      <c r="BQ87" s="14"/>
      <c r="BX87" s="14"/>
      <c r="BY87" s="14"/>
      <c r="BZ87" s="14"/>
      <c r="CA87" s="14"/>
      <c r="CB87" s="14"/>
      <c r="CC87" s="14"/>
      <c r="CD87" s="14"/>
      <c r="CF87" s="14"/>
      <c r="CJ87" s="16"/>
      <c r="CM87" s="14"/>
      <c r="CN87" s="14"/>
      <c r="CO87" s="14"/>
      <c r="CP87" s="14"/>
      <c r="CQ87" s="14"/>
      <c r="CR87" s="14"/>
      <c r="CS87" s="14"/>
      <c r="CT87" s="14"/>
      <c r="CU87" s="14"/>
      <c r="CV87" s="14"/>
    </row>
    <row r="88" spans="1:100" x14ac:dyDescent="0.2">
      <c r="A88" s="14"/>
      <c r="B88" s="14"/>
      <c r="C88" s="14"/>
      <c r="D88" s="14"/>
      <c r="E88" s="14"/>
      <c r="F88" s="14"/>
      <c r="G88" s="14"/>
      <c r="H88" s="14"/>
      <c r="I88" s="14"/>
      <c r="J88" s="14"/>
      <c r="K88" s="14"/>
      <c r="L88" s="15"/>
      <c r="M88" s="14"/>
      <c r="N88" s="14"/>
      <c r="O88" s="14"/>
      <c r="P88" s="14"/>
      <c r="Q88" s="16"/>
      <c r="R88" s="14"/>
      <c r="Z88" s="16"/>
      <c r="AC88" s="14"/>
      <c r="AD88" s="14"/>
      <c r="AE88" s="14"/>
      <c r="AF88" s="14"/>
      <c r="AG88" s="14"/>
      <c r="AH88" s="14"/>
      <c r="AI88" s="14"/>
      <c r="AJ88" s="14"/>
      <c r="AK88" s="14"/>
      <c r="AL88" s="14"/>
      <c r="AS88" s="14"/>
      <c r="AT88" s="14"/>
      <c r="AU88" s="14"/>
      <c r="AV88" s="14"/>
      <c r="AW88" s="14"/>
      <c r="AX88" s="14"/>
      <c r="AY88" s="14"/>
      <c r="BA88" s="14"/>
      <c r="BE88" s="16"/>
      <c r="BH88" s="14"/>
      <c r="BI88" s="14"/>
      <c r="BJ88" s="14"/>
      <c r="BK88" s="14"/>
      <c r="BL88" s="14"/>
      <c r="BM88" s="14"/>
      <c r="BN88" s="14"/>
      <c r="BO88" s="14"/>
      <c r="BP88" s="14"/>
      <c r="BQ88" s="14"/>
      <c r="BX88" s="14"/>
      <c r="BY88" s="14"/>
      <c r="BZ88" s="14"/>
      <c r="CA88" s="14"/>
      <c r="CB88" s="14"/>
      <c r="CC88" s="14"/>
      <c r="CD88" s="14"/>
      <c r="CF88" s="14"/>
      <c r="CJ88" s="16"/>
      <c r="CM88" s="14"/>
      <c r="CN88" s="14"/>
      <c r="CO88" s="14"/>
      <c r="CP88" s="14"/>
      <c r="CQ88" s="14"/>
      <c r="CR88" s="14"/>
      <c r="CS88" s="14"/>
      <c r="CT88" s="14"/>
      <c r="CU88" s="14"/>
      <c r="CV88" s="14"/>
    </row>
    <row r="89" spans="1:100" x14ac:dyDescent="0.2">
      <c r="A89" s="14"/>
      <c r="B89" s="14"/>
      <c r="C89" s="14"/>
      <c r="D89" s="14"/>
      <c r="E89" s="14"/>
      <c r="F89" s="14"/>
      <c r="G89" s="14"/>
      <c r="H89" s="14"/>
      <c r="I89" s="14"/>
      <c r="J89" s="14"/>
      <c r="K89" s="14"/>
      <c r="L89" s="15"/>
      <c r="M89" s="14"/>
      <c r="N89" s="14"/>
      <c r="O89" s="14"/>
      <c r="P89" s="14"/>
      <c r="Q89" s="16"/>
      <c r="R89" s="14"/>
      <c r="Z89" s="16"/>
      <c r="AC89" s="14"/>
      <c r="AD89" s="14"/>
      <c r="AE89" s="14"/>
      <c r="AF89" s="14"/>
      <c r="AG89" s="14"/>
      <c r="AH89" s="14"/>
      <c r="AI89" s="14"/>
      <c r="AJ89" s="14"/>
      <c r="AK89" s="14"/>
      <c r="AL89" s="14"/>
      <c r="AS89" s="14"/>
      <c r="AT89" s="14"/>
      <c r="AU89" s="14"/>
      <c r="AV89" s="14"/>
      <c r="AW89" s="14"/>
      <c r="AX89" s="14"/>
      <c r="AY89" s="14"/>
      <c r="BA89" s="14"/>
      <c r="BE89" s="16"/>
      <c r="BH89" s="14"/>
      <c r="BI89" s="14"/>
      <c r="BJ89" s="14"/>
      <c r="BK89" s="14"/>
      <c r="BL89" s="14"/>
      <c r="BM89" s="14"/>
      <c r="BN89" s="14"/>
      <c r="BO89" s="14"/>
      <c r="BP89" s="14"/>
      <c r="BQ89" s="14"/>
      <c r="BX89" s="14"/>
      <c r="BY89" s="14"/>
      <c r="BZ89" s="14"/>
      <c r="CA89" s="14"/>
      <c r="CB89" s="14"/>
      <c r="CC89" s="14"/>
      <c r="CD89" s="14"/>
      <c r="CF89" s="14"/>
      <c r="CJ89" s="16"/>
      <c r="CM89" s="14"/>
      <c r="CN89" s="14"/>
      <c r="CO89" s="14"/>
      <c r="CP89" s="14"/>
      <c r="CQ89" s="14"/>
      <c r="CR89" s="14"/>
      <c r="CS89" s="14"/>
      <c r="CT89" s="14"/>
      <c r="CU89" s="14"/>
      <c r="CV89" s="14"/>
    </row>
    <row r="90" spans="1:100" x14ac:dyDescent="0.2">
      <c r="A90" s="14"/>
      <c r="B90" s="14"/>
      <c r="C90" s="14"/>
      <c r="D90" s="14"/>
      <c r="E90" s="14"/>
      <c r="F90" s="14"/>
      <c r="G90" s="14"/>
      <c r="H90" s="14"/>
      <c r="I90" s="14"/>
      <c r="J90" s="14"/>
      <c r="K90" s="14"/>
      <c r="L90" s="15"/>
      <c r="M90" s="14"/>
      <c r="N90" s="14"/>
      <c r="O90" s="14"/>
      <c r="P90" s="14"/>
      <c r="Q90" s="16"/>
      <c r="R90" s="14"/>
      <c r="Z90" s="16"/>
      <c r="AC90" s="14"/>
      <c r="AD90" s="14"/>
      <c r="AE90" s="14"/>
      <c r="AF90" s="14"/>
      <c r="AG90" s="14"/>
      <c r="AH90" s="14"/>
      <c r="AI90" s="14"/>
      <c r="AJ90" s="14"/>
      <c r="AK90" s="14"/>
      <c r="AL90" s="14"/>
      <c r="AS90" s="14"/>
      <c r="AT90" s="14"/>
      <c r="AU90" s="14"/>
      <c r="AV90" s="14"/>
      <c r="AW90" s="14"/>
      <c r="AX90" s="14"/>
      <c r="AY90" s="14"/>
      <c r="BA90" s="14"/>
      <c r="BE90" s="16"/>
      <c r="BH90" s="14"/>
      <c r="BI90" s="14"/>
      <c r="BJ90" s="14"/>
      <c r="BK90" s="14"/>
      <c r="BL90" s="14"/>
      <c r="BM90" s="14"/>
      <c r="BN90" s="14"/>
      <c r="BO90" s="14"/>
      <c r="BP90" s="14"/>
      <c r="BQ90" s="14"/>
      <c r="BX90" s="14"/>
      <c r="BY90" s="14"/>
      <c r="BZ90" s="14"/>
      <c r="CA90" s="14"/>
      <c r="CB90" s="14"/>
      <c r="CC90" s="14"/>
      <c r="CD90" s="14"/>
      <c r="CF90" s="14"/>
      <c r="CJ90" s="16"/>
      <c r="CM90" s="14"/>
      <c r="CN90" s="14"/>
      <c r="CO90" s="14"/>
      <c r="CP90" s="14"/>
      <c r="CQ90" s="14"/>
      <c r="CR90" s="14"/>
      <c r="CS90" s="14"/>
      <c r="CT90" s="14"/>
      <c r="CU90" s="14"/>
      <c r="CV90" s="14"/>
    </row>
    <row r="91" spans="1:100" x14ac:dyDescent="0.2">
      <c r="A91" s="14"/>
      <c r="B91" s="14"/>
      <c r="C91" s="14"/>
      <c r="D91" s="14"/>
      <c r="E91" s="14"/>
      <c r="F91" s="14"/>
      <c r="G91" s="14"/>
      <c r="H91" s="14"/>
      <c r="I91" s="14"/>
      <c r="J91" s="14"/>
      <c r="K91" s="14"/>
      <c r="L91" s="15"/>
      <c r="M91" s="14"/>
      <c r="N91" s="14"/>
      <c r="O91" s="14"/>
      <c r="P91" s="14"/>
      <c r="Q91" s="16"/>
      <c r="R91" s="14"/>
      <c r="Z91" s="16"/>
      <c r="AC91" s="14"/>
      <c r="AD91" s="14"/>
      <c r="AE91" s="14"/>
      <c r="AF91" s="14"/>
      <c r="AG91" s="14"/>
      <c r="AH91" s="14"/>
      <c r="AI91" s="14"/>
      <c r="AJ91" s="14"/>
      <c r="AK91" s="14"/>
      <c r="AL91" s="14"/>
      <c r="AS91" s="14"/>
      <c r="AT91" s="14"/>
      <c r="AU91" s="14"/>
      <c r="AV91" s="14"/>
      <c r="AW91" s="14"/>
      <c r="AX91" s="14"/>
      <c r="AY91" s="14"/>
      <c r="BA91" s="14"/>
      <c r="BE91" s="16"/>
      <c r="BH91" s="14"/>
      <c r="BI91" s="14"/>
      <c r="BJ91" s="14"/>
      <c r="BK91" s="14"/>
      <c r="BL91" s="14"/>
      <c r="BM91" s="14"/>
      <c r="BN91" s="14"/>
      <c r="BO91" s="14"/>
      <c r="BP91" s="14"/>
      <c r="BQ91" s="14"/>
      <c r="BX91" s="14"/>
      <c r="BY91" s="14"/>
      <c r="BZ91" s="14"/>
      <c r="CA91" s="14"/>
      <c r="CB91" s="14"/>
      <c r="CC91" s="14"/>
      <c r="CD91" s="14"/>
      <c r="CF91" s="14"/>
      <c r="CJ91" s="16"/>
      <c r="CM91" s="14"/>
      <c r="CN91" s="14"/>
      <c r="CO91" s="14"/>
      <c r="CP91" s="14"/>
      <c r="CQ91" s="14"/>
      <c r="CR91" s="14"/>
      <c r="CS91" s="14"/>
      <c r="CT91" s="14"/>
      <c r="CU91" s="14"/>
      <c r="CV91" s="14"/>
    </row>
    <row r="92" spans="1:100" x14ac:dyDescent="0.2">
      <c r="A92" s="14"/>
      <c r="B92" s="14"/>
      <c r="C92" s="14"/>
      <c r="D92" s="14"/>
      <c r="E92" s="14"/>
      <c r="F92" s="14"/>
      <c r="G92" s="14"/>
      <c r="H92" s="14"/>
      <c r="I92" s="14"/>
      <c r="J92" s="14"/>
      <c r="K92" s="14"/>
      <c r="L92" s="15"/>
      <c r="M92" s="14"/>
      <c r="N92" s="14"/>
      <c r="O92" s="14"/>
      <c r="P92" s="14"/>
      <c r="Q92" s="16"/>
      <c r="R92" s="14"/>
      <c r="Z92" s="16"/>
      <c r="AC92" s="14"/>
      <c r="AD92" s="14"/>
      <c r="AE92" s="14"/>
      <c r="AF92" s="14"/>
      <c r="AG92" s="14"/>
      <c r="AH92" s="14"/>
      <c r="AI92" s="14"/>
      <c r="AJ92" s="14"/>
      <c r="AK92" s="14"/>
      <c r="AL92" s="14"/>
      <c r="AS92" s="14"/>
      <c r="AT92" s="14"/>
      <c r="AU92" s="14"/>
      <c r="AV92" s="14"/>
      <c r="AW92" s="14"/>
      <c r="AX92" s="14"/>
      <c r="AY92" s="14"/>
      <c r="BA92" s="14"/>
      <c r="BE92" s="16"/>
      <c r="BH92" s="14"/>
      <c r="BI92" s="14"/>
      <c r="BJ92" s="14"/>
      <c r="BK92" s="14"/>
      <c r="BL92" s="14"/>
      <c r="BM92" s="14"/>
      <c r="BN92" s="14"/>
      <c r="BO92" s="14"/>
      <c r="BP92" s="14"/>
      <c r="BQ92" s="14"/>
      <c r="BX92" s="14"/>
      <c r="BY92" s="14"/>
      <c r="BZ92" s="14"/>
      <c r="CA92" s="14"/>
      <c r="CB92" s="14"/>
      <c r="CC92" s="14"/>
      <c r="CD92" s="14"/>
      <c r="CF92" s="14"/>
      <c r="CJ92" s="16"/>
      <c r="CM92" s="14"/>
      <c r="CN92" s="14"/>
      <c r="CO92" s="14"/>
      <c r="CP92" s="14"/>
      <c r="CQ92" s="14"/>
      <c r="CR92" s="14"/>
      <c r="CS92" s="14"/>
      <c r="CT92" s="14"/>
      <c r="CU92" s="14"/>
      <c r="CV92" s="14"/>
    </row>
    <row r="93" spans="1:100" x14ac:dyDescent="0.2">
      <c r="A93" s="14"/>
      <c r="B93" s="14"/>
      <c r="C93" s="14"/>
      <c r="D93" s="14"/>
      <c r="E93" s="14"/>
      <c r="F93" s="14"/>
      <c r="G93" s="14"/>
      <c r="H93" s="14"/>
      <c r="I93" s="14"/>
      <c r="J93" s="14"/>
      <c r="K93" s="14"/>
      <c r="L93" s="15"/>
      <c r="M93" s="14"/>
      <c r="N93" s="14"/>
      <c r="O93" s="14"/>
      <c r="P93" s="14"/>
      <c r="Q93" s="16"/>
      <c r="R93" s="14"/>
      <c r="Z93" s="16"/>
      <c r="AC93" s="14"/>
      <c r="AD93" s="14"/>
      <c r="AE93" s="14"/>
      <c r="AF93" s="14"/>
      <c r="AG93" s="14"/>
      <c r="AH93" s="14"/>
      <c r="AI93" s="14"/>
      <c r="AJ93" s="14"/>
      <c r="AK93" s="14"/>
      <c r="AL93" s="14"/>
      <c r="AS93" s="14"/>
      <c r="AT93" s="14"/>
      <c r="AU93" s="14"/>
      <c r="AV93" s="14"/>
      <c r="AW93" s="14"/>
      <c r="AX93" s="14"/>
      <c r="AY93" s="14"/>
      <c r="BA93" s="14"/>
      <c r="BE93" s="16"/>
      <c r="BH93" s="14"/>
      <c r="BI93" s="14"/>
      <c r="BJ93" s="14"/>
      <c r="BK93" s="14"/>
      <c r="BL93" s="14"/>
      <c r="BM93" s="14"/>
      <c r="BN93" s="14"/>
      <c r="BO93" s="14"/>
      <c r="BP93" s="14"/>
      <c r="BQ93" s="14"/>
      <c r="BX93" s="14"/>
      <c r="BY93" s="14"/>
      <c r="BZ93" s="14"/>
      <c r="CA93" s="14"/>
      <c r="CB93" s="14"/>
      <c r="CC93" s="14"/>
      <c r="CD93" s="14"/>
      <c r="CF93" s="14"/>
      <c r="CJ93" s="16"/>
      <c r="CM93" s="14"/>
      <c r="CN93" s="14"/>
      <c r="CO93" s="14"/>
      <c r="CP93" s="14"/>
      <c r="CQ93" s="14"/>
      <c r="CR93" s="14"/>
      <c r="CS93" s="14"/>
      <c r="CT93" s="14"/>
      <c r="CU93" s="14"/>
      <c r="CV93" s="14"/>
    </row>
    <row r="94" spans="1:100" x14ac:dyDescent="0.2">
      <c r="A94" s="14"/>
      <c r="B94" s="14"/>
      <c r="C94" s="14"/>
      <c r="D94" s="14"/>
      <c r="E94" s="14"/>
      <c r="F94" s="14"/>
      <c r="G94" s="14"/>
      <c r="H94" s="14"/>
      <c r="I94" s="14"/>
      <c r="J94" s="14"/>
      <c r="K94" s="14"/>
      <c r="L94" s="15"/>
      <c r="M94" s="14"/>
      <c r="N94" s="14"/>
      <c r="O94" s="14"/>
      <c r="P94" s="14"/>
      <c r="Q94" s="16"/>
      <c r="R94" s="14"/>
      <c r="Z94" s="16"/>
      <c r="AC94" s="14"/>
      <c r="AD94" s="14"/>
      <c r="AE94" s="14"/>
      <c r="AF94" s="14"/>
      <c r="AG94" s="14"/>
      <c r="AH94" s="14"/>
      <c r="AI94" s="14"/>
      <c r="AJ94" s="14"/>
      <c r="AK94" s="14"/>
      <c r="AL94" s="14"/>
      <c r="AS94" s="14"/>
      <c r="AT94" s="14"/>
      <c r="AU94" s="14"/>
      <c r="AV94" s="14"/>
      <c r="AW94" s="14"/>
      <c r="AX94" s="14"/>
      <c r="AY94" s="14"/>
      <c r="BA94" s="14"/>
      <c r="BE94" s="16"/>
      <c r="BH94" s="14"/>
      <c r="BI94" s="14"/>
      <c r="BJ94" s="14"/>
      <c r="BK94" s="14"/>
      <c r="BL94" s="14"/>
      <c r="BM94" s="14"/>
      <c r="BN94" s="14"/>
      <c r="BO94" s="14"/>
      <c r="BP94" s="14"/>
      <c r="BQ94" s="14"/>
      <c r="BX94" s="14"/>
      <c r="BY94" s="14"/>
      <c r="BZ94" s="14"/>
      <c r="CA94" s="14"/>
      <c r="CB94" s="14"/>
      <c r="CC94" s="14"/>
      <c r="CD94" s="14"/>
      <c r="CF94" s="14"/>
      <c r="CJ94" s="16"/>
      <c r="CM94" s="14"/>
      <c r="CN94" s="14"/>
      <c r="CO94" s="14"/>
      <c r="CP94" s="14"/>
      <c r="CQ94" s="14"/>
      <c r="CR94" s="14"/>
      <c r="CS94" s="14"/>
      <c r="CT94" s="14"/>
      <c r="CU94" s="14"/>
      <c r="CV94" s="14"/>
    </row>
    <row r="95" spans="1:100" x14ac:dyDescent="0.2">
      <c r="A95" s="14"/>
      <c r="B95" s="14"/>
      <c r="C95" s="14"/>
      <c r="D95" s="14"/>
      <c r="E95" s="14"/>
      <c r="F95" s="14"/>
      <c r="G95" s="14"/>
      <c r="H95" s="14"/>
      <c r="I95" s="14"/>
      <c r="J95" s="14"/>
      <c r="K95" s="14"/>
      <c r="L95" s="15"/>
      <c r="M95" s="14"/>
      <c r="N95" s="14"/>
      <c r="O95" s="14"/>
      <c r="P95" s="14"/>
      <c r="Q95" s="16"/>
      <c r="R95" s="14"/>
      <c r="Z95" s="16"/>
      <c r="AC95" s="14"/>
      <c r="AD95" s="14"/>
      <c r="AE95" s="14"/>
      <c r="AF95" s="14"/>
      <c r="AG95" s="14"/>
      <c r="AH95" s="14"/>
      <c r="AI95" s="14"/>
      <c r="AJ95" s="14"/>
      <c r="AK95" s="14"/>
      <c r="AL95" s="14"/>
      <c r="AS95" s="14"/>
      <c r="AT95" s="14"/>
      <c r="AU95" s="14"/>
      <c r="AV95" s="14"/>
      <c r="AW95" s="14"/>
      <c r="AX95" s="14"/>
      <c r="AY95" s="14"/>
      <c r="BA95" s="14"/>
      <c r="BE95" s="16"/>
      <c r="BH95" s="14"/>
      <c r="BI95" s="14"/>
      <c r="BJ95" s="14"/>
      <c r="BK95" s="14"/>
      <c r="BL95" s="14"/>
      <c r="BM95" s="14"/>
      <c r="BN95" s="14"/>
      <c r="BO95" s="14"/>
      <c r="BP95" s="14"/>
      <c r="BQ95" s="14"/>
      <c r="BX95" s="14"/>
      <c r="BY95" s="14"/>
      <c r="BZ95" s="14"/>
      <c r="CA95" s="14"/>
      <c r="CB95" s="14"/>
      <c r="CC95" s="14"/>
      <c r="CD95" s="14"/>
      <c r="CF95" s="14"/>
      <c r="CJ95" s="16"/>
      <c r="CM95" s="14"/>
      <c r="CN95" s="14"/>
      <c r="CO95" s="14"/>
      <c r="CP95" s="14"/>
      <c r="CQ95" s="14"/>
      <c r="CR95" s="14"/>
      <c r="CS95" s="14"/>
      <c r="CT95" s="14"/>
      <c r="CU95" s="14"/>
      <c r="CV95" s="14"/>
    </row>
    <row r="96" spans="1:100" x14ac:dyDescent="0.2">
      <c r="A96" s="14"/>
      <c r="B96" s="14"/>
      <c r="C96" s="14"/>
      <c r="D96" s="14"/>
      <c r="E96" s="14"/>
      <c r="F96" s="14"/>
      <c r="G96" s="14"/>
      <c r="H96" s="14"/>
      <c r="I96" s="14"/>
      <c r="J96" s="14"/>
      <c r="K96" s="14"/>
      <c r="L96" s="15"/>
      <c r="M96" s="14"/>
      <c r="N96" s="14"/>
      <c r="O96" s="14"/>
      <c r="P96" s="14"/>
      <c r="Q96" s="16"/>
      <c r="R96" s="14"/>
      <c r="Z96" s="16"/>
      <c r="AC96" s="14"/>
      <c r="AD96" s="14"/>
      <c r="AE96" s="14"/>
      <c r="AF96" s="14"/>
      <c r="AG96" s="14"/>
      <c r="AH96" s="14"/>
      <c r="AI96" s="14"/>
      <c r="AJ96" s="14"/>
      <c r="AK96" s="14"/>
      <c r="AL96" s="14"/>
      <c r="AS96" s="14"/>
      <c r="AT96" s="14"/>
      <c r="AU96" s="14"/>
      <c r="AV96" s="14"/>
      <c r="AW96" s="14"/>
      <c r="AX96" s="14"/>
      <c r="AY96" s="14"/>
      <c r="BA96" s="14"/>
      <c r="BE96" s="16"/>
      <c r="BH96" s="14"/>
      <c r="BI96" s="14"/>
      <c r="BJ96" s="14"/>
      <c r="BK96" s="14"/>
      <c r="BL96" s="14"/>
      <c r="BM96" s="14"/>
      <c r="BN96" s="14"/>
      <c r="BO96" s="14"/>
      <c r="BP96" s="14"/>
      <c r="BQ96" s="14"/>
      <c r="BX96" s="14"/>
      <c r="BY96" s="14"/>
      <c r="BZ96" s="14"/>
      <c r="CA96" s="14"/>
      <c r="CB96" s="14"/>
      <c r="CC96" s="14"/>
      <c r="CD96" s="14"/>
      <c r="CF96" s="14"/>
      <c r="CJ96" s="16"/>
      <c r="CM96" s="14"/>
      <c r="CN96" s="14"/>
      <c r="CO96" s="14"/>
      <c r="CP96" s="14"/>
      <c r="CQ96" s="14"/>
      <c r="CR96" s="14"/>
      <c r="CS96" s="14"/>
      <c r="CT96" s="14"/>
      <c r="CU96" s="14"/>
      <c r="CV96" s="14"/>
    </row>
    <row r="97" spans="1:100" x14ac:dyDescent="0.2">
      <c r="A97" s="14"/>
      <c r="B97" s="14"/>
      <c r="C97" s="14"/>
      <c r="D97" s="14"/>
      <c r="E97" s="14"/>
      <c r="F97" s="14"/>
      <c r="G97" s="14"/>
      <c r="H97" s="14"/>
      <c r="I97" s="14"/>
      <c r="J97" s="14"/>
      <c r="K97" s="14"/>
      <c r="L97" s="15"/>
      <c r="M97" s="14"/>
      <c r="N97" s="14"/>
      <c r="O97" s="14"/>
      <c r="P97" s="14"/>
      <c r="Q97" s="16"/>
      <c r="R97" s="14"/>
      <c r="Z97" s="16"/>
      <c r="AC97" s="14"/>
      <c r="AD97" s="14"/>
      <c r="AE97" s="14"/>
      <c r="AF97" s="14"/>
      <c r="AG97" s="14"/>
      <c r="AH97" s="14"/>
      <c r="AI97" s="14"/>
      <c r="AJ97" s="14"/>
      <c r="AK97" s="14"/>
      <c r="AL97" s="14"/>
      <c r="AS97" s="14"/>
      <c r="AT97" s="14"/>
      <c r="AU97" s="14"/>
      <c r="AV97" s="14"/>
      <c r="AW97" s="14"/>
      <c r="AX97" s="14"/>
      <c r="AY97" s="14"/>
      <c r="BA97" s="14"/>
      <c r="BE97" s="16"/>
      <c r="BH97" s="14"/>
      <c r="BI97" s="14"/>
      <c r="BJ97" s="14"/>
      <c r="BK97" s="14"/>
      <c r="BL97" s="14"/>
      <c r="BM97" s="14"/>
      <c r="BN97" s="14"/>
      <c r="BO97" s="14"/>
      <c r="BP97" s="14"/>
      <c r="BQ97" s="14"/>
      <c r="BX97" s="14"/>
      <c r="BY97" s="14"/>
      <c r="BZ97" s="14"/>
      <c r="CA97" s="14"/>
      <c r="CB97" s="14"/>
      <c r="CC97" s="14"/>
      <c r="CD97" s="14"/>
      <c r="CF97" s="14"/>
      <c r="CJ97" s="16"/>
      <c r="CM97" s="14"/>
      <c r="CN97" s="14"/>
      <c r="CO97" s="14"/>
      <c r="CP97" s="14"/>
      <c r="CQ97" s="14"/>
      <c r="CR97" s="14"/>
      <c r="CS97" s="14"/>
      <c r="CT97" s="14"/>
      <c r="CU97" s="14"/>
      <c r="CV97" s="14"/>
    </row>
    <row r="98" spans="1:100" x14ac:dyDescent="0.2">
      <c r="A98" s="14"/>
      <c r="B98" s="14"/>
      <c r="C98" s="14"/>
      <c r="D98" s="14"/>
      <c r="E98" s="14"/>
      <c r="F98" s="14"/>
      <c r="G98" s="14"/>
      <c r="H98" s="14"/>
      <c r="I98" s="14"/>
      <c r="J98" s="14"/>
      <c r="K98" s="14"/>
      <c r="L98" s="15"/>
      <c r="M98" s="14"/>
      <c r="N98" s="14"/>
      <c r="O98" s="14"/>
      <c r="P98" s="14"/>
      <c r="Q98" s="16"/>
      <c r="R98" s="14"/>
      <c r="Z98" s="16"/>
      <c r="AC98" s="14"/>
      <c r="AD98" s="14"/>
      <c r="AE98" s="14"/>
      <c r="AF98" s="14"/>
      <c r="AG98" s="14"/>
      <c r="AH98" s="14"/>
      <c r="AI98" s="14"/>
      <c r="AJ98" s="14"/>
      <c r="AK98" s="14"/>
      <c r="AL98" s="14"/>
      <c r="AS98" s="14"/>
      <c r="AT98" s="14"/>
      <c r="AU98" s="14"/>
      <c r="AV98" s="14"/>
      <c r="AW98" s="14"/>
      <c r="AX98" s="14"/>
      <c r="AY98" s="14"/>
      <c r="BA98" s="14"/>
      <c r="BE98" s="16"/>
      <c r="BH98" s="14"/>
      <c r="BI98" s="14"/>
      <c r="BJ98" s="14"/>
      <c r="BK98" s="14"/>
      <c r="BL98" s="14"/>
      <c r="BM98" s="14"/>
      <c r="BN98" s="14"/>
      <c r="BO98" s="14"/>
      <c r="BP98" s="14"/>
      <c r="BQ98" s="14"/>
      <c r="BX98" s="14"/>
      <c r="BY98" s="14"/>
      <c r="BZ98" s="14"/>
      <c r="CA98" s="14"/>
      <c r="CB98" s="14"/>
      <c r="CC98" s="14"/>
      <c r="CD98" s="14"/>
      <c r="CF98" s="14"/>
      <c r="CJ98" s="16"/>
      <c r="CM98" s="14"/>
      <c r="CN98" s="14"/>
      <c r="CO98" s="14"/>
      <c r="CP98" s="14"/>
      <c r="CQ98" s="14"/>
      <c r="CR98" s="14"/>
      <c r="CS98" s="14"/>
      <c r="CT98" s="14"/>
      <c r="CU98" s="14"/>
      <c r="CV98" s="14"/>
    </row>
    <row r="99" spans="1:100" x14ac:dyDescent="0.2">
      <c r="A99" s="14"/>
      <c r="B99" s="14"/>
      <c r="C99" s="14"/>
      <c r="D99" s="14"/>
      <c r="E99" s="14"/>
      <c r="F99" s="14"/>
      <c r="G99" s="14"/>
      <c r="H99" s="14"/>
      <c r="I99" s="14"/>
      <c r="J99" s="14"/>
      <c r="K99" s="14"/>
      <c r="L99" s="15"/>
      <c r="M99" s="14"/>
      <c r="N99" s="14"/>
      <c r="O99" s="14"/>
      <c r="P99" s="14"/>
      <c r="Q99" s="16"/>
      <c r="R99" s="14"/>
      <c r="Z99" s="16"/>
      <c r="AC99" s="14"/>
      <c r="AD99" s="14"/>
      <c r="AE99" s="14"/>
      <c r="AF99" s="14"/>
      <c r="AG99" s="14"/>
      <c r="AH99" s="14"/>
      <c r="AI99" s="14"/>
      <c r="AJ99" s="14"/>
      <c r="AK99" s="14"/>
      <c r="AL99" s="14"/>
      <c r="AS99" s="14"/>
      <c r="AT99" s="14"/>
      <c r="AU99" s="14"/>
      <c r="AV99" s="14"/>
      <c r="AW99" s="14"/>
      <c r="AX99" s="14"/>
      <c r="AY99" s="14"/>
      <c r="BA99" s="14"/>
      <c r="BE99" s="16"/>
      <c r="BH99" s="14"/>
      <c r="BI99" s="14"/>
      <c r="BJ99" s="14"/>
      <c r="BK99" s="14"/>
      <c r="BL99" s="14"/>
      <c r="BM99" s="14"/>
      <c r="BN99" s="14"/>
      <c r="BO99" s="14"/>
      <c r="BP99" s="14"/>
      <c r="BQ99" s="14"/>
      <c r="BX99" s="14"/>
      <c r="BY99" s="14"/>
      <c r="BZ99" s="14"/>
      <c r="CA99" s="14"/>
      <c r="CB99" s="14"/>
      <c r="CC99" s="14"/>
      <c r="CD99" s="14"/>
      <c r="CF99" s="14"/>
      <c r="CJ99" s="16"/>
      <c r="CM99" s="14"/>
      <c r="CN99" s="14"/>
      <c r="CO99" s="14"/>
      <c r="CP99" s="14"/>
      <c r="CQ99" s="14"/>
      <c r="CR99" s="14"/>
      <c r="CS99" s="14"/>
      <c r="CT99" s="14"/>
      <c r="CU99" s="14"/>
      <c r="CV99" s="14"/>
    </row>
    <row r="100" spans="1:100" x14ac:dyDescent="0.2">
      <c r="A100" s="14"/>
      <c r="B100" s="14"/>
      <c r="C100" s="14"/>
      <c r="D100" s="14"/>
      <c r="E100" s="14"/>
      <c r="F100" s="14"/>
      <c r="G100" s="14"/>
      <c r="H100" s="14"/>
      <c r="I100" s="14"/>
      <c r="J100" s="14"/>
      <c r="K100" s="14"/>
      <c r="L100" s="15"/>
      <c r="M100" s="14"/>
      <c r="N100" s="14"/>
      <c r="O100" s="14"/>
      <c r="P100" s="14"/>
      <c r="Q100" s="16"/>
      <c r="R100" s="14"/>
      <c r="Z100" s="16"/>
      <c r="AC100" s="14"/>
      <c r="AD100" s="14"/>
      <c r="AE100" s="14"/>
      <c r="AF100" s="14"/>
      <c r="AG100" s="14"/>
      <c r="AH100" s="14"/>
      <c r="AI100" s="14"/>
      <c r="AJ100" s="14"/>
      <c r="AK100" s="14"/>
      <c r="AL100" s="14"/>
      <c r="AS100" s="14"/>
      <c r="AT100" s="14"/>
      <c r="AU100" s="14"/>
      <c r="AV100" s="14"/>
      <c r="AW100" s="14"/>
      <c r="AX100" s="14"/>
      <c r="AY100" s="14"/>
      <c r="BA100" s="14"/>
      <c r="BE100" s="16"/>
      <c r="BH100" s="14"/>
      <c r="BI100" s="14"/>
      <c r="BJ100" s="14"/>
      <c r="BK100" s="14"/>
      <c r="BL100" s="14"/>
      <c r="BM100" s="14"/>
      <c r="BN100" s="14"/>
      <c r="BO100" s="14"/>
      <c r="BP100" s="14"/>
      <c r="BQ100" s="14"/>
      <c r="BX100" s="14"/>
      <c r="BY100" s="14"/>
      <c r="BZ100" s="14"/>
      <c r="CA100" s="14"/>
      <c r="CB100" s="14"/>
      <c r="CC100" s="14"/>
      <c r="CD100" s="14"/>
      <c r="CF100" s="14"/>
      <c r="CJ100" s="16"/>
      <c r="CM100" s="14"/>
      <c r="CN100" s="14"/>
      <c r="CO100" s="14"/>
      <c r="CP100" s="14"/>
      <c r="CQ100" s="14"/>
      <c r="CR100" s="14"/>
      <c r="CS100" s="14"/>
      <c r="CT100" s="14"/>
      <c r="CU100" s="14"/>
      <c r="CV100" s="14"/>
    </row>
    <row r="101" spans="1:100" x14ac:dyDescent="0.2">
      <c r="A101" s="14"/>
      <c r="B101" s="14"/>
      <c r="C101" s="14"/>
      <c r="D101" s="14"/>
      <c r="E101" s="14"/>
      <c r="F101" s="14"/>
      <c r="G101" s="14"/>
      <c r="H101" s="14"/>
      <c r="I101" s="14"/>
      <c r="J101" s="14"/>
      <c r="K101" s="14"/>
      <c r="L101" s="15"/>
      <c r="M101" s="14"/>
      <c r="N101" s="14"/>
      <c r="O101" s="14"/>
      <c r="P101" s="14"/>
      <c r="Q101" s="16"/>
      <c r="R101" s="14"/>
      <c r="Z101" s="16"/>
      <c r="AC101" s="14"/>
      <c r="AD101" s="14"/>
      <c r="AE101" s="14"/>
      <c r="AF101" s="14"/>
      <c r="AG101" s="14"/>
      <c r="AH101" s="14"/>
      <c r="AI101" s="14"/>
      <c r="AJ101" s="14"/>
      <c r="AK101" s="14"/>
      <c r="AL101" s="14"/>
      <c r="AS101" s="14"/>
      <c r="AT101" s="14"/>
      <c r="AU101" s="14"/>
      <c r="AV101" s="14"/>
      <c r="AW101" s="14"/>
      <c r="AX101" s="14"/>
      <c r="AY101" s="14"/>
      <c r="BA101" s="14"/>
      <c r="BE101" s="16"/>
      <c r="BH101" s="14"/>
      <c r="BI101" s="14"/>
      <c r="BJ101" s="14"/>
      <c r="BK101" s="14"/>
      <c r="BL101" s="14"/>
      <c r="BM101" s="14"/>
      <c r="BN101" s="14"/>
      <c r="BO101" s="14"/>
      <c r="BP101" s="14"/>
      <c r="BQ101" s="14"/>
      <c r="BX101" s="14"/>
      <c r="BY101" s="14"/>
      <c r="BZ101" s="14"/>
      <c r="CA101" s="14"/>
      <c r="CB101" s="14"/>
      <c r="CC101" s="14"/>
      <c r="CD101" s="14"/>
      <c r="CF101" s="14"/>
      <c r="CJ101" s="16"/>
      <c r="CM101" s="14"/>
      <c r="CN101" s="14"/>
      <c r="CO101" s="14"/>
      <c r="CP101" s="14"/>
      <c r="CQ101" s="14"/>
      <c r="CR101" s="14"/>
      <c r="CS101" s="14"/>
      <c r="CT101" s="14"/>
      <c r="CU101" s="14"/>
      <c r="CV101" s="14"/>
    </row>
    <row r="102" spans="1:100" x14ac:dyDescent="0.2">
      <c r="A102" s="14"/>
      <c r="B102" s="14"/>
      <c r="C102" s="14"/>
      <c r="D102" s="14"/>
      <c r="E102" s="14"/>
      <c r="F102" s="14"/>
      <c r="G102" s="14"/>
      <c r="H102" s="14"/>
      <c r="I102" s="14"/>
      <c r="J102" s="14"/>
      <c r="K102" s="14"/>
      <c r="L102" s="15"/>
      <c r="M102" s="14"/>
      <c r="N102" s="14"/>
      <c r="O102" s="14"/>
      <c r="P102" s="14"/>
      <c r="Q102" s="16"/>
      <c r="R102" s="14"/>
      <c r="Z102" s="16"/>
      <c r="AC102" s="14"/>
      <c r="AD102" s="14"/>
      <c r="AE102" s="14"/>
      <c r="AF102" s="14"/>
      <c r="AG102" s="14"/>
      <c r="AH102" s="14"/>
      <c r="AI102" s="14"/>
      <c r="AJ102" s="14"/>
      <c r="AK102" s="14"/>
      <c r="AL102" s="14"/>
      <c r="AS102" s="14"/>
      <c r="AT102" s="14"/>
      <c r="AU102" s="14"/>
      <c r="AV102" s="14"/>
      <c r="AW102" s="14"/>
      <c r="AX102" s="14"/>
      <c r="AY102" s="14"/>
      <c r="BA102" s="14"/>
      <c r="BE102" s="16"/>
      <c r="BH102" s="14"/>
      <c r="BI102" s="14"/>
      <c r="BJ102" s="14"/>
      <c r="BK102" s="14"/>
      <c r="BL102" s="14"/>
      <c r="BM102" s="14"/>
      <c r="BN102" s="14"/>
      <c r="BO102" s="14"/>
      <c r="BP102" s="14"/>
      <c r="BQ102" s="14"/>
      <c r="BX102" s="14"/>
      <c r="BY102" s="14"/>
      <c r="BZ102" s="14"/>
      <c r="CA102" s="14"/>
      <c r="CB102" s="14"/>
      <c r="CC102" s="14"/>
      <c r="CD102" s="14"/>
      <c r="CF102" s="14"/>
      <c r="CJ102" s="16"/>
      <c r="CM102" s="14"/>
      <c r="CN102" s="14"/>
      <c r="CO102" s="14"/>
      <c r="CP102" s="14"/>
      <c r="CQ102" s="14"/>
      <c r="CR102" s="14"/>
      <c r="CS102" s="14"/>
      <c r="CT102" s="14"/>
      <c r="CU102" s="14"/>
      <c r="CV102" s="14"/>
    </row>
    <row r="103" spans="1:100" x14ac:dyDescent="0.2">
      <c r="A103" s="14"/>
      <c r="B103" s="14"/>
      <c r="C103" s="14"/>
      <c r="D103" s="14"/>
      <c r="E103" s="14"/>
      <c r="F103" s="14"/>
      <c r="G103" s="14"/>
      <c r="H103" s="14"/>
      <c r="I103" s="14"/>
      <c r="J103" s="14"/>
      <c r="K103" s="14"/>
      <c r="L103" s="15"/>
      <c r="M103" s="14"/>
      <c r="N103" s="14"/>
      <c r="O103" s="14"/>
      <c r="P103" s="14"/>
      <c r="Q103" s="16"/>
      <c r="R103" s="14"/>
      <c r="Z103" s="16"/>
      <c r="AC103" s="14"/>
      <c r="AD103" s="14"/>
      <c r="AE103" s="14"/>
      <c r="AF103" s="14"/>
      <c r="AG103" s="14"/>
      <c r="AH103" s="14"/>
      <c r="AI103" s="14"/>
      <c r="AJ103" s="14"/>
      <c r="AK103" s="14"/>
      <c r="AL103" s="14"/>
      <c r="AS103" s="14"/>
      <c r="AT103" s="14"/>
      <c r="AU103" s="14"/>
      <c r="AV103" s="14"/>
      <c r="AW103" s="14"/>
      <c r="AX103" s="14"/>
      <c r="AY103" s="14"/>
      <c r="BA103" s="14"/>
      <c r="BE103" s="16"/>
      <c r="BH103" s="14"/>
      <c r="BI103" s="14"/>
      <c r="BJ103" s="14"/>
      <c r="BK103" s="14"/>
      <c r="BL103" s="14"/>
      <c r="BM103" s="14"/>
      <c r="BN103" s="14"/>
      <c r="BO103" s="14"/>
      <c r="BP103" s="14"/>
      <c r="BQ103" s="14"/>
      <c r="BX103" s="14"/>
      <c r="BY103" s="14"/>
      <c r="BZ103" s="14"/>
      <c r="CA103" s="14"/>
      <c r="CB103" s="14"/>
      <c r="CC103" s="14"/>
      <c r="CD103" s="14"/>
      <c r="CF103" s="14"/>
      <c r="CJ103" s="16"/>
      <c r="CM103" s="14"/>
      <c r="CN103" s="14"/>
      <c r="CO103" s="14"/>
      <c r="CP103" s="14"/>
      <c r="CQ103" s="14"/>
      <c r="CR103" s="14"/>
      <c r="CS103" s="14"/>
      <c r="CT103" s="14"/>
      <c r="CU103" s="14"/>
      <c r="CV103" s="14"/>
    </row>
    <row r="104" spans="1:100" x14ac:dyDescent="0.2">
      <c r="A104" s="14"/>
      <c r="B104" s="14"/>
      <c r="C104" s="14"/>
      <c r="D104" s="14"/>
      <c r="E104" s="14"/>
      <c r="F104" s="14"/>
      <c r="G104" s="14"/>
      <c r="H104" s="14"/>
      <c r="I104" s="14"/>
      <c r="J104" s="14"/>
      <c r="K104" s="14"/>
      <c r="L104" s="15"/>
      <c r="M104" s="14"/>
      <c r="N104" s="14"/>
      <c r="O104" s="14"/>
      <c r="P104" s="14"/>
      <c r="Q104" s="16"/>
      <c r="R104" s="14"/>
      <c r="Z104" s="16"/>
      <c r="AC104" s="14"/>
      <c r="AD104" s="14"/>
      <c r="AE104" s="14"/>
      <c r="AF104" s="14"/>
      <c r="AG104" s="14"/>
      <c r="AH104" s="14"/>
      <c r="AI104" s="14"/>
      <c r="AJ104" s="14"/>
      <c r="AK104" s="14"/>
      <c r="AL104" s="14"/>
      <c r="AS104" s="14"/>
      <c r="AT104" s="14"/>
      <c r="AU104" s="14"/>
      <c r="AV104" s="14"/>
      <c r="AW104" s="14"/>
      <c r="AX104" s="14"/>
      <c r="AY104" s="14"/>
      <c r="BA104" s="14"/>
      <c r="BE104" s="16"/>
      <c r="BH104" s="14"/>
      <c r="BI104" s="14"/>
      <c r="BJ104" s="14"/>
      <c r="BK104" s="14"/>
      <c r="BL104" s="14"/>
      <c r="BM104" s="14"/>
      <c r="BN104" s="14"/>
      <c r="BO104" s="14"/>
      <c r="BP104" s="14"/>
      <c r="BQ104" s="14"/>
      <c r="BX104" s="14"/>
      <c r="BY104" s="14"/>
      <c r="BZ104" s="14"/>
      <c r="CA104" s="14"/>
      <c r="CB104" s="14"/>
      <c r="CC104" s="14"/>
      <c r="CD104" s="14"/>
      <c r="CF104" s="14"/>
      <c r="CJ104" s="16"/>
      <c r="CM104" s="14"/>
      <c r="CN104" s="14"/>
      <c r="CO104" s="14"/>
      <c r="CP104" s="14"/>
      <c r="CQ104" s="14"/>
      <c r="CR104" s="14"/>
      <c r="CS104" s="14"/>
      <c r="CT104" s="14"/>
      <c r="CU104" s="14"/>
      <c r="CV104" s="14"/>
    </row>
    <row r="105" spans="1:100" x14ac:dyDescent="0.2">
      <c r="A105" s="14"/>
      <c r="B105" s="14"/>
      <c r="C105" s="14"/>
      <c r="D105" s="14"/>
      <c r="E105" s="14"/>
      <c r="F105" s="14"/>
      <c r="G105" s="14"/>
      <c r="H105" s="14"/>
      <c r="I105" s="14"/>
      <c r="J105" s="14"/>
      <c r="K105" s="14"/>
      <c r="L105" s="15"/>
      <c r="M105" s="14"/>
      <c r="N105" s="14"/>
      <c r="O105" s="14"/>
      <c r="P105" s="14"/>
      <c r="Q105" s="16"/>
      <c r="R105" s="14"/>
      <c r="Z105" s="16"/>
      <c r="AC105" s="14"/>
      <c r="AD105" s="14"/>
      <c r="AE105" s="14"/>
      <c r="AF105" s="14"/>
      <c r="AG105" s="14"/>
      <c r="AH105" s="14"/>
      <c r="AI105" s="14"/>
      <c r="AJ105" s="14"/>
      <c r="AK105" s="14"/>
      <c r="AL105" s="14"/>
      <c r="AS105" s="14"/>
      <c r="AT105" s="14"/>
      <c r="AU105" s="14"/>
      <c r="AV105" s="14"/>
      <c r="AW105" s="14"/>
      <c r="AX105" s="14"/>
      <c r="AY105" s="14"/>
      <c r="BA105" s="14"/>
      <c r="BE105" s="16"/>
      <c r="BH105" s="14"/>
      <c r="BI105" s="14"/>
      <c r="BJ105" s="14"/>
      <c r="BK105" s="14"/>
      <c r="BL105" s="14"/>
      <c r="BM105" s="14"/>
      <c r="BN105" s="14"/>
      <c r="BO105" s="14"/>
      <c r="BP105" s="14"/>
      <c r="BQ105" s="14"/>
      <c r="BX105" s="14"/>
      <c r="BY105" s="14"/>
      <c r="BZ105" s="14"/>
      <c r="CA105" s="14"/>
      <c r="CB105" s="14"/>
      <c r="CC105" s="14"/>
      <c r="CD105" s="14"/>
      <c r="CF105" s="14"/>
      <c r="CJ105" s="16"/>
      <c r="CM105" s="14"/>
      <c r="CN105" s="14"/>
      <c r="CO105" s="14"/>
      <c r="CP105" s="14"/>
      <c r="CQ105" s="14"/>
      <c r="CR105" s="14"/>
      <c r="CS105" s="14"/>
      <c r="CT105" s="14"/>
      <c r="CU105" s="14"/>
      <c r="CV105" s="14"/>
    </row>
    <row r="106" spans="1:100" x14ac:dyDescent="0.2">
      <c r="A106" s="14"/>
      <c r="B106" s="14"/>
      <c r="C106" s="14"/>
      <c r="D106" s="14"/>
      <c r="E106" s="14"/>
      <c r="F106" s="14"/>
      <c r="G106" s="14"/>
      <c r="H106" s="14"/>
      <c r="I106" s="14"/>
      <c r="J106" s="14"/>
      <c r="K106" s="14"/>
      <c r="L106" s="15"/>
      <c r="M106" s="14"/>
      <c r="N106" s="14"/>
      <c r="O106" s="14"/>
      <c r="P106" s="14"/>
      <c r="Q106" s="16"/>
      <c r="R106" s="14"/>
      <c r="Z106" s="16"/>
      <c r="AC106" s="14"/>
      <c r="AD106" s="14"/>
      <c r="AE106" s="14"/>
      <c r="AF106" s="14"/>
      <c r="AG106" s="14"/>
      <c r="AH106" s="14"/>
      <c r="AI106" s="14"/>
      <c r="AJ106" s="14"/>
      <c r="AK106" s="14"/>
      <c r="AL106" s="14"/>
      <c r="AS106" s="14"/>
      <c r="AT106" s="14"/>
      <c r="AU106" s="14"/>
      <c r="AV106" s="14"/>
      <c r="AW106" s="14"/>
      <c r="AX106" s="14"/>
      <c r="AY106" s="14"/>
      <c r="BA106" s="14"/>
      <c r="BE106" s="16"/>
      <c r="BH106" s="14"/>
      <c r="BI106" s="14"/>
      <c r="BJ106" s="14"/>
      <c r="BK106" s="14"/>
      <c r="BL106" s="14"/>
      <c r="BM106" s="14"/>
      <c r="BN106" s="14"/>
      <c r="BO106" s="14"/>
      <c r="BP106" s="14"/>
      <c r="BQ106" s="14"/>
      <c r="BX106" s="14"/>
      <c r="BY106" s="14"/>
      <c r="BZ106" s="14"/>
      <c r="CA106" s="14"/>
      <c r="CB106" s="14"/>
      <c r="CC106" s="14"/>
      <c r="CD106" s="14"/>
      <c r="CF106" s="14"/>
      <c r="CJ106" s="16"/>
      <c r="CM106" s="14"/>
      <c r="CN106" s="14"/>
      <c r="CO106" s="14"/>
      <c r="CP106" s="14"/>
      <c r="CQ106" s="14"/>
      <c r="CR106" s="14"/>
      <c r="CS106" s="14"/>
      <c r="CT106" s="14"/>
      <c r="CU106" s="14"/>
      <c r="CV106" s="14"/>
    </row>
    <row r="107" spans="1:100" x14ac:dyDescent="0.2">
      <c r="A107" s="14"/>
      <c r="B107" s="14"/>
      <c r="C107" s="14"/>
      <c r="D107" s="14"/>
      <c r="E107" s="14"/>
      <c r="F107" s="14"/>
      <c r="G107" s="14"/>
      <c r="H107" s="14"/>
      <c r="I107" s="14"/>
      <c r="J107" s="14"/>
      <c r="K107" s="14"/>
      <c r="L107" s="15"/>
      <c r="M107" s="14"/>
      <c r="N107" s="14"/>
      <c r="O107" s="14"/>
      <c r="P107" s="14"/>
      <c r="Q107" s="16"/>
      <c r="R107" s="14"/>
      <c r="Z107" s="16"/>
      <c r="AC107" s="14"/>
      <c r="AD107" s="14"/>
      <c r="AE107" s="14"/>
      <c r="AF107" s="14"/>
      <c r="AG107" s="14"/>
      <c r="AH107" s="14"/>
      <c r="AI107" s="14"/>
      <c r="AJ107" s="14"/>
      <c r="AK107" s="14"/>
      <c r="AL107" s="14"/>
      <c r="AS107" s="14"/>
      <c r="AT107" s="14"/>
      <c r="AU107" s="14"/>
      <c r="AV107" s="14"/>
      <c r="AW107" s="14"/>
      <c r="AX107" s="14"/>
      <c r="AY107" s="14"/>
      <c r="BA107" s="14"/>
      <c r="BE107" s="16"/>
      <c r="BH107" s="14"/>
      <c r="BI107" s="14"/>
      <c r="BJ107" s="14"/>
      <c r="BK107" s="14"/>
      <c r="BL107" s="14"/>
      <c r="BM107" s="14"/>
      <c r="BN107" s="14"/>
      <c r="BO107" s="14"/>
      <c r="BP107" s="14"/>
      <c r="BQ107" s="14"/>
      <c r="BX107" s="14"/>
      <c r="BY107" s="14"/>
      <c r="BZ107" s="14"/>
      <c r="CA107" s="14"/>
      <c r="CB107" s="14"/>
      <c r="CC107" s="14"/>
      <c r="CD107" s="14"/>
      <c r="CF107" s="14"/>
      <c r="CJ107" s="16"/>
      <c r="CM107" s="14"/>
      <c r="CN107" s="14"/>
      <c r="CO107" s="14"/>
      <c r="CP107" s="14"/>
      <c r="CQ107" s="14"/>
      <c r="CR107" s="14"/>
      <c r="CS107" s="14"/>
      <c r="CT107" s="14"/>
      <c r="CU107" s="14"/>
      <c r="CV107" s="14"/>
    </row>
    <row r="108" spans="1:100" x14ac:dyDescent="0.2">
      <c r="A108" s="14"/>
      <c r="B108" s="14"/>
      <c r="C108" s="14"/>
      <c r="D108" s="14"/>
      <c r="E108" s="14"/>
      <c r="F108" s="14"/>
      <c r="G108" s="14"/>
      <c r="H108" s="14"/>
      <c r="I108" s="14"/>
      <c r="J108" s="14"/>
      <c r="K108" s="14"/>
      <c r="L108" s="15"/>
      <c r="M108" s="14"/>
      <c r="N108" s="14"/>
      <c r="O108" s="14"/>
      <c r="P108" s="14"/>
      <c r="Q108" s="16"/>
      <c r="R108" s="14"/>
      <c r="Z108" s="16"/>
      <c r="AC108" s="14"/>
      <c r="AD108" s="14"/>
      <c r="AE108" s="14"/>
      <c r="AF108" s="14"/>
      <c r="AG108" s="14"/>
      <c r="AH108" s="14"/>
      <c r="AI108" s="14"/>
      <c r="AJ108" s="14"/>
      <c r="AK108" s="14"/>
      <c r="AL108" s="14"/>
      <c r="AS108" s="14"/>
      <c r="AT108" s="14"/>
      <c r="AU108" s="14"/>
      <c r="AV108" s="14"/>
      <c r="AW108" s="14"/>
      <c r="AX108" s="14"/>
      <c r="AY108" s="14"/>
      <c r="BA108" s="14"/>
      <c r="BE108" s="16"/>
      <c r="BH108" s="14"/>
      <c r="BI108" s="14"/>
      <c r="BJ108" s="14"/>
      <c r="BK108" s="14"/>
      <c r="BL108" s="14"/>
      <c r="BM108" s="14"/>
      <c r="BN108" s="14"/>
      <c r="BO108" s="14"/>
      <c r="BP108" s="14"/>
      <c r="BQ108" s="14"/>
      <c r="BX108" s="14"/>
      <c r="BY108" s="14"/>
      <c r="BZ108" s="14"/>
      <c r="CA108" s="14"/>
      <c r="CB108" s="14"/>
      <c r="CC108" s="14"/>
      <c r="CD108" s="14"/>
      <c r="CF108" s="14"/>
      <c r="CJ108" s="16"/>
      <c r="CM108" s="14"/>
      <c r="CN108" s="14"/>
      <c r="CO108" s="14"/>
      <c r="CP108" s="14"/>
      <c r="CQ108" s="14"/>
      <c r="CR108" s="14"/>
      <c r="CS108" s="14"/>
      <c r="CT108" s="14"/>
      <c r="CU108" s="14"/>
      <c r="CV108" s="14"/>
    </row>
    <row r="109" spans="1:100" x14ac:dyDescent="0.2">
      <c r="A109" s="14"/>
      <c r="B109" s="14"/>
      <c r="C109" s="14"/>
      <c r="D109" s="14"/>
      <c r="E109" s="14"/>
      <c r="F109" s="14"/>
      <c r="G109" s="14"/>
      <c r="H109" s="14"/>
      <c r="I109" s="14"/>
      <c r="J109" s="14"/>
      <c r="K109" s="14"/>
      <c r="L109" s="15"/>
      <c r="M109" s="14"/>
      <c r="N109" s="14"/>
      <c r="O109" s="14"/>
      <c r="P109" s="14"/>
      <c r="Q109" s="16"/>
      <c r="R109" s="14"/>
      <c r="Z109" s="16"/>
      <c r="AC109" s="14"/>
      <c r="AD109" s="14"/>
      <c r="AE109" s="14"/>
      <c r="AF109" s="14"/>
      <c r="AG109" s="14"/>
      <c r="AH109" s="14"/>
      <c r="AI109" s="14"/>
      <c r="AJ109" s="14"/>
      <c r="AK109" s="14"/>
      <c r="AL109" s="14"/>
      <c r="AS109" s="14"/>
      <c r="AT109" s="14"/>
      <c r="AU109" s="14"/>
      <c r="AV109" s="14"/>
      <c r="AW109" s="14"/>
      <c r="AX109" s="14"/>
      <c r="AY109" s="14"/>
      <c r="BA109" s="14"/>
      <c r="BE109" s="16"/>
      <c r="BH109" s="14"/>
      <c r="BI109" s="14"/>
      <c r="BJ109" s="14"/>
      <c r="BK109" s="14"/>
      <c r="BL109" s="14"/>
      <c r="BM109" s="14"/>
      <c r="BN109" s="14"/>
      <c r="BO109" s="14"/>
      <c r="BP109" s="14"/>
      <c r="BQ109" s="14"/>
      <c r="BX109" s="14"/>
      <c r="BY109" s="14"/>
      <c r="BZ109" s="14"/>
      <c r="CA109" s="14"/>
      <c r="CB109" s="14"/>
      <c r="CC109" s="14"/>
      <c r="CD109" s="14"/>
      <c r="CF109" s="14"/>
      <c r="CJ109" s="16"/>
      <c r="CM109" s="14"/>
      <c r="CN109" s="14"/>
      <c r="CO109" s="14"/>
      <c r="CP109" s="14"/>
      <c r="CQ109" s="14"/>
      <c r="CR109" s="14"/>
      <c r="CS109" s="14"/>
      <c r="CT109" s="14"/>
      <c r="CU109" s="14"/>
      <c r="CV109" s="14"/>
    </row>
    <row r="110" spans="1:100" x14ac:dyDescent="0.2">
      <c r="A110" s="14"/>
      <c r="B110" s="14"/>
      <c r="C110" s="14"/>
      <c r="D110" s="14"/>
      <c r="E110" s="14"/>
      <c r="F110" s="14"/>
      <c r="G110" s="14"/>
      <c r="H110" s="14"/>
      <c r="I110" s="14"/>
      <c r="J110" s="14"/>
      <c r="K110" s="14"/>
      <c r="L110" s="15"/>
      <c r="M110" s="14"/>
      <c r="N110" s="14"/>
      <c r="O110" s="14"/>
      <c r="P110" s="14"/>
      <c r="Q110" s="16"/>
      <c r="R110" s="14"/>
      <c r="Z110" s="16"/>
      <c r="AC110" s="14"/>
      <c r="AD110" s="14"/>
      <c r="AE110" s="14"/>
      <c r="AF110" s="14"/>
      <c r="AG110" s="14"/>
      <c r="AH110" s="14"/>
      <c r="AI110" s="14"/>
      <c r="AJ110" s="14"/>
      <c r="AK110" s="14"/>
      <c r="AL110" s="14"/>
      <c r="AS110" s="14"/>
      <c r="AT110" s="14"/>
      <c r="AU110" s="14"/>
      <c r="AV110" s="14"/>
      <c r="AW110" s="14"/>
      <c r="AX110" s="14"/>
      <c r="AY110" s="14"/>
      <c r="BA110" s="14"/>
      <c r="BE110" s="16"/>
      <c r="BH110" s="14"/>
      <c r="BI110" s="14"/>
      <c r="BJ110" s="14"/>
      <c r="BK110" s="14"/>
      <c r="BL110" s="14"/>
      <c r="BM110" s="14"/>
      <c r="BN110" s="14"/>
      <c r="BO110" s="14"/>
      <c r="BP110" s="14"/>
      <c r="BQ110" s="14"/>
      <c r="BX110" s="14"/>
      <c r="BY110" s="14"/>
      <c r="BZ110" s="14"/>
      <c r="CA110" s="14"/>
      <c r="CB110" s="14"/>
      <c r="CC110" s="14"/>
      <c r="CD110" s="14"/>
      <c r="CF110" s="14"/>
      <c r="CJ110" s="16"/>
      <c r="CM110" s="14"/>
      <c r="CN110" s="14"/>
      <c r="CO110" s="14"/>
      <c r="CP110" s="14"/>
      <c r="CQ110" s="14"/>
      <c r="CR110" s="14"/>
      <c r="CS110" s="14"/>
      <c r="CT110" s="14"/>
      <c r="CU110" s="14"/>
      <c r="CV110" s="14"/>
    </row>
    <row r="111" spans="1:100" x14ac:dyDescent="0.2">
      <c r="A111" s="14"/>
      <c r="B111" s="14"/>
      <c r="C111" s="14"/>
      <c r="D111" s="14"/>
      <c r="E111" s="14"/>
      <c r="F111" s="14"/>
      <c r="G111" s="14"/>
      <c r="H111" s="14"/>
      <c r="I111" s="14"/>
      <c r="J111" s="14"/>
      <c r="K111" s="14"/>
      <c r="L111" s="15"/>
      <c r="M111" s="14"/>
      <c r="N111" s="14"/>
      <c r="O111" s="14"/>
      <c r="P111" s="14"/>
      <c r="Q111" s="16"/>
      <c r="R111" s="14"/>
      <c r="Z111" s="16"/>
      <c r="AC111" s="14"/>
      <c r="AD111" s="14"/>
      <c r="AE111" s="14"/>
      <c r="AF111" s="14"/>
      <c r="AG111" s="14"/>
      <c r="AH111" s="14"/>
      <c r="AI111" s="14"/>
      <c r="AJ111" s="14"/>
      <c r="AK111" s="14"/>
      <c r="AL111" s="14"/>
      <c r="AS111" s="14"/>
      <c r="AT111" s="14"/>
      <c r="AU111" s="14"/>
      <c r="AV111" s="14"/>
      <c r="AW111" s="14"/>
      <c r="AX111" s="14"/>
      <c r="AY111" s="14"/>
      <c r="BA111" s="14"/>
      <c r="BE111" s="16"/>
      <c r="BH111" s="14"/>
      <c r="BI111" s="14"/>
      <c r="BJ111" s="14"/>
      <c r="BK111" s="14"/>
      <c r="BL111" s="14"/>
      <c r="BM111" s="14"/>
      <c r="BN111" s="14"/>
      <c r="BO111" s="14"/>
      <c r="BP111" s="14"/>
      <c r="BQ111" s="14"/>
      <c r="BX111" s="14"/>
      <c r="BY111" s="14"/>
      <c r="BZ111" s="14"/>
      <c r="CA111" s="14"/>
      <c r="CB111" s="14"/>
      <c r="CC111" s="14"/>
      <c r="CD111" s="14"/>
      <c r="CF111" s="14"/>
      <c r="CJ111" s="16"/>
      <c r="CM111" s="14"/>
      <c r="CN111" s="14"/>
      <c r="CO111" s="14"/>
      <c r="CP111" s="14"/>
      <c r="CQ111" s="14"/>
      <c r="CR111" s="14"/>
      <c r="CS111" s="14"/>
      <c r="CT111" s="14"/>
      <c r="CU111" s="14"/>
      <c r="CV111" s="14"/>
    </row>
    <row r="112" spans="1:100" x14ac:dyDescent="0.2">
      <c r="A112" s="14"/>
      <c r="B112" s="14"/>
      <c r="C112" s="14"/>
      <c r="D112" s="14"/>
      <c r="E112" s="14"/>
      <c r="F112" s="14"/>
      <c r="G112" s="14"/>
      <c r="H112" s="14"/>
      <c r="I112" s="14"/>
      <c r="J112" s="14"/>
      <c r="K112" s="14"/>
      <c r="L112" s="15"/>
      <c r="M112" s="14"/>
      <c r="N112" s="14"/>
      <c r="O112" s="14"/>
      <c r="P112" s="14"/>
      <c r="Q112" s="16"/>
      <c r="R112" s="14"/>
      <c r="Z112" s="16"/>
      <c r="AC112" s="14"/>
      <c r="AD112" s="14"/>
      <c r="AE112" s="14"/>
      <c r="AF112" s="14"/>
      <c r="AG112" s="14"/>
      <c r="AH112" s="14"/>
      <c r="AI112" s="14"/>
      <c r="AJ112" s="14"/>
      <c r="AK112" s="14"/>
      <c r="AL112" s="14"/>
      <c r="AS112" s="14"/>
      <c r="AT112" s="14"/>
      <c r="AU112" s="14"/>
      <c r="AV112" s="14"/>
      <c r="AW112" s="14"/>
      <c r="AX112" s="14"/>
      <c r="AY112" s="14"/>
      <c r="BA112" s="14"/>
      <c r="BE112" s="16"/>
      <c r="BH112" s="14"/>
      <c r="BI112" s="14"/>
      <c r="BJ112" s="14"/>
      <c r="BK112" s="14"/>
      <c r="BL112" s="14"/>
      <c r="BM112" s="14"/>
      <c r="BN112" s="14"/>
      <c r="BO112" s="14"/>
      <c r="BP112" s="14"/>
      <c r="BQ112" s="14"/>
      <c r="BX112" s="14"/>
      <c r="BY112" s="14"/>
      <c r="BZ112" s="14"/>
      <c r="CA112" s="14"/>
      <c r="CB112" s="14"/>
      <c r="CC112" s="14"/>
      <c r="CD112" s="14"/>
      <c r="CF112" s="14"/>
      <c r="CJ112" s="16"/>
      <c r="CM112" s="14"/>
      <c r="CN112" s="14"/>
      <c r="CO112" s="14"/>
      <c r="CP112" s="14"/>
      <c r="CQ112" s="14"/>
      <c r="CR112" s="14"/>
      <c r="CS112" s="14"/>
      <c r="CT112" s="14"/>
      <c r="CU112" s="14"/>
      <c r="CV112" s="14"/>
    </row>
    <row r="113" spans="1:100" x14ac:dyDescent="0.2">
      <c r="A113" s="14"/>
      <c r="B113" s="14"/>
      <c r="C113" s="14"/>
      <c r="D113" s="14"/>
      <c r="E113" s="14"/>
      <c r="F113" s="14"/>
      <c r="G113" s="14"/>
      <c r="H113" s="14"/>
      <c r="I113" s="14"/>
      <c r="J113" s="14"/>
      <c r="K113" s="14"/>
      <c r="L113" s="15"/>
      <c r="M113" s="14"/>
      <c r="N113" s="14"/>
      <c r="O113" s="14"/>
      <c r="P113" s="14"/>
      <c r="Q113" s="16"/>
      <c r="R113" s="14"/>
      <c r="Z113" s="16"/>
      <c r="AC113" s="14"/>
      <c r="AD113" s="14"/>
      <c r="AE113" s="14"/>
      <c r="AF113" s="14"/>
      <c r="AG113" s="14"/>
      <c r="AH113" s="14"/>
      <c r="AI113" s="14"/>
      <c r="AJ113" s="14"/>
      <c r="AK113" s="14"/>
      <c r="AL113" s="14"/>
      <c r="AS113" s="14"/>
      <c r="AT113" s="14"/>
      <c r="AU113" s="14"/>
      <c r="AV113" s="14"/>
      <c r="AW113" s="14"/>
      <c r="AX113" s="14"/>
      <c r="AY113" s="14"/>
      <c r="BA113" s="14"/>
      <c r="BE113" s="16"/>
      <c r="BH113" s="14"/>
      <c r="BI113" s="14"/>
      <c r="BJ113" s="14"/>
      <c r="BK113" s="14"/>
      <c r="BL113" s="14"/>
      <c r="BM113" s="14"/>
      <c r="BN113" s="14"/>
      <c r="BO113" s="14"/>
      <c r="BP113" s="14"/>
      <c r="BQ113" s="14"/>
      <c r="BX113" s="14"/>
      <c r="BY113" s="14"/>
      <c r="BZ113" s="14"/>
      <c r="CA113" s="14"/>
      <c r="CB113" s="14"/>
      <c r="CC113" s="14"/>
      <c r="CD113" s="14"/>
      <c r="CF113" s="14"/>
      <c r="CJ113" s="16"/>
      <c r="CM113" s="14"/>
      <c r="CN113" s="14"/>
      <c r="CO113" s="14"/>
      <c r="CP113" s="14"/>
      <c r="CQ113" s="14"/>
      <c r="CR113" s="14"/>
      <c r="CS113" s="14"/>
      <c r="CT113" s="14"/>
      <c r="CU113" s="14"/>
      <c r="CV113" s="14"/>
    </row>
    <row r="114" spans="1:100" x14ac:dyDescent="0.2">
      <c r="A114" s="14"/>
      <c r="B114" s="14"/>
      <c r="C114" s="14"/>
      <c r="D114" s="14"/>
      <c r="E114" s="14"/>
      <c r="F114" s="14"/>
      <c r="G114" s="14"/>
      <c r="H114" s="14"/>
      <c r="I114" s="14"/>
      <c r="J114" s="14"/>
      <c r="K114" s="14"/>
      <c r="L114" s="15"/>
      <c r="M114" s="14"/>
      <c r="N114" s="14"/>
      <c r="O114" s="14"/>
      <c r="P114" s="14"/>
      <c r="Q114" s="16"/>
      <c r="R114" s="14"/>
      <c r="Z114" s="16"/>
      <c r="AC114" s="14"/>
      <c r="AD114" s="14"/>
      <c r="AE114" s="14"/>
      <c r="AF114" s="14"/>
      <c r="AG114" s="14"/>
      <c r="AH114" s="14"/>
      <c r="AI114" s="14"/>
      <c r="AJ114" s="14"/>
      <c r="AK114" s="14"/>
      <c r="AL114" s="14"/>
      <c r="AS114" s="14"/>
      <c r="AT114" s="14"/>
      <c r="AU114" s="14"/>
      <c r="AV114" s="14"/>
      <c r="AW114" s="14"/>
      <c r="AX114" s="14"/>
      <c r="AY114" s="14"/>
      <c r="BA114" s="14"/>
      <c r="BE114" s="16"/>
      <c r="BH114" s="14"/>
      <c r="BI114" s="14"/>
      <c r="BJ114" s="14"/>
      <c r="BK114" s="14"/>
      <c r="BL114" s="14"/>
      <c r="BM114" s="14"/>
      <c r="BN114" s="14"/>
      <c r="BO114" s="14"/>
      <c r="BP114" s="14"/>
      <c r="BQ114" s="14"/>
      <c r="BX114" s="14"/>
      <c r="BY114" s="14"/>
      <c r="BZ114" s="14"/>
      <c r="CA114" s="14"/>
      <c r="CB114" s="14"/>
      <c r="CC114" s="14"/>
      <c r="CD114" s="14"/>
      <c r="CF114" s="14"/>
      <c r="CJ114" s="16"/>
      <c r="CM114" s="14"/>
      <c r="CN114" s="14"/>
      <c r="CO114" s="14"/>
      <c r="CP114" s="14"/>
      <c r="CQ114" s="14"/>
      <c r="CR114" s="14"/>
      <c r="CS114" s="14"/>
      <c r="CT114" s="14"/>
      <c r="CU114" s="14"/>
      <c r="CV114" s="14"/>
    </row>
    <row r="115" spans="1:100" x14ac:dyDescent="0.2">
      <c r="A115" s="14"/>
      <c r="B115" s="14"/>
      <c r="C115" s="14"/>
      <c r="D115" s="14"/>
      <c r="E115" s="14"/>
      <c r="F115" s="14"/>
      <c r="G115" s="14"/>
      <c r="H115" s="14"/>
      <c r="I115" s="14"/>
      <c r="J115" s="14"/>
      <c r="K115" s="14"/>
      <c r="L115" s="15"/>
      <c r="M115" s="14"/>
      <c r="N115" s="14"/>
      <c r="O115" s="14"/>
      <c r="P115" s="14"/>
      <c r="Q115" s="16"/>
      <c r="R115" s="14"/>
      <c r="Z115" s="16"/>
      <c r="AC115" s="14"/>
      <c r="AD115" s="14"/>
      <c r="AE115" s="14"/>
      <c r="AF115" s="14"/>
      <c r="AG115" s="14"/>
      <c r="AH115" s="14"/>
      <c r="AI115" s="14"/>
      <c r="AJ115" s="14"/>
      <c r="AK115" s="14"/>
      <c r="AL115" s="14"/>
      <c r="AS115" s="14"/>
      <c r="AT115" s="14"/>
      <c r="AU115" s="14"/>
      <c r="AV115" s="14"/>
      <c r="AW115" s="14"/>
      <c r="AX115" s="14"/>
      <c r="AY115" s="14"/>
      <c r="BA115" s="14"/>
      <c r="BE115" s="16"/>
      <c r="BH115" s="14"/>
      <c r="BI115" s="14"/>
      <c r="BJ115" s="14"/>
      <c r="BK115" s="14"/>
      <c r="BL115" s="14"/>
      <c r="BM115" s="14"/>
      <c r="BN115" s="14"/>
      <c r="BO115" s="14"/>
      <c r="BP115" s="14"/>
      <c r="BQ115" s="14"/>
      <c r="BX115" s="14"/>
      <c r="BY115" s="14"/>
      <c r="BZ115" s="14"/>
      <c r="CA115" s="14"/>
      <c r="CB115" s="14"/>
      <c r="CC115" s="14"/>
      <c r="CD115" s="14"/>
      <c r="CF115" s="14"/>
      <c r="CJ115" s="16"/>
      <c r="CM115" s="14"/>
      <c r="CN115" s="14"/>
      <c r="CO115" s="14"/>
      <c r="CP115" s="14"/>
      <c r="CQ115" s="14"/>
      <c r="CR115" s="14"/>
      <c r="CS115" s="14"/>
      <c r="CT115" s="14"/>
      <c r="CU115" s="14"/>
      <c r="CV115" s="14"/>
    </row>
    <row r="116" spans="1:100" x14ac:dyDescent="0.2">
      <c r="A116" s="14"/>
      <c r="B116" s="14"/>
      <c r="C116" s="14"/>
      <c r="D116" s="14"/>
      <c r="E116" s="14"/>
      <c r="F116" s="14"/>
      <c r="G116" s="14"/>
      <c r="H116" s="14"/>
      <c r="I116" s="14"/>
      <c r="J116" s="14"/>
      <c r="K116" s="14"/>
      <c r="L116" s="15"/>
      <c r="M116" s="14"/>
      <c r="N116" s="14"/>
      <c r="O116" s="14"/>
      <c r="P116" s="14"/>
      <c r="Q116" s="16"/>
      <c r="R116" s="14"/>
      <c r="Z116" s="16"/>
      <c r="AC116" s="14"/>
      <c r="AD116" s="14"/>
      <c r="AE116" s="14"/>
      <c r="AF116" s="14"/>
      <c r="AG116" s="14"/>
      <c r="AH116" s="14"/>
      <c r="AI116" s="14"/>
      <c r="AJ116" s="14"/>
      <c r="AK116" s="14"/>
      <c r="AL116" s="14"/>
      <c r="AS116" s="14"/>
      <c r="AT116" s="14"/>
      <c r="AU116" s="14"/>
      <c r="AV116" s="14"/>
      <c r="AW116" s="14"/>
      <c r="AX116" s="14"/>
      <c r="AY116" s="14"/>
      <c r="BA116" s="14"/>
      <c r="BE116" s="16"/>
      <c r="BH116" s="14"/>
      <c r="BI116" s="14"/>
      <c r="BJ116" s="14"/>
      <c r="BK116" s="14"/>
      <c r="BL116" s="14"/>
      <c r="BM116" s="14"/>
      <c r="BN116" s="14"/>
      <c r="BO116" s="14"/>
      <c r="BP116" s="14"/>
      <c r="BQ116" s="14"/>
      <c r="BX116" s="14"/>
      <c r="BY116" s="14"/>
      <c r="BZ116" s="14"/>
      <c r="CA116" s="14"/>
      <c r="CB116" s="14"/>
      <c r="CC116" s="14"/>
      <c r="CD116" s="14"/>
      <c r="CF116" s="14"/>
      <c r="CJ116" s="16"/>
      <c r="CM116" s="14"/>
      <c r="CN116" s="14"/>
      <c r="CO116" s="14"/>
      <c r="CP116" s="14"/>
      <c r="CQ116" s="14"/>
      <c r="CR116" s="14"/>
      <c r="CS116" s="14"/>
      <c r="CT116" s="14"/>
      <c r="CU116" s="14"/>
      <c r="CV116" s="14"/>
    </row>
    <row r="117" spans="1:100" x14ac:dyDescent="0.2">
      <c r="A117" s="14"/>
      <c r="B117" s="14"/>
      <c r="C117" s="14"/>
      <c r="D117" s="14"/>
      <c r="E117" s="14"/>
      <c r="F117" s="14"/>
      <c r="G117" s="14"/>
      <c r="H117" s="14"/>
      <c r="I117" s="14"/>
      <c r="J117" s="14"/>
      <c r="K117" s="14"/>
      <c r="L117" s="15"/>
      <c r="M117" s="14"/>
      <c r="N117" s="14"/>
      <c r="O117" s="14"/>
      <c r="P117" s="14"/>
      <c r="Q117" s="16"/>
      <c r="R117" s="14"/>
      <c r="Z117" s="16"/>
      <c r="AC117" s="14"/>
      <c r="AD117" s="14"/>
      <c r="AE117" s="14"/>
      <c r="AF117" s="14"/>
      <c r="AG117" s="14"/>
      <c r="AH117" s="14"/>
      <c r="AI117" s="14"/>
      <c r="AJ117" s="14"/>
      <c r="AK117" s="14"/>
      <c r="AL117" s="14"/>
      <c r="AS117" s="14"/>
      <c r="AT117" s="14"/>
      <c r="AU117" s="14"/>
      <c r="AV117" s="14"/>
      <c r="AW117" s="14"/>
      <c r="AX117" s="14"/>
      <c r="AY117" s="14"/>
      <c r="BA117" s="14"/>
      <c r="BE117" s="16"/>
      <c r="BH117" s="14"/>
      <c r="BI117" s="14"/>
      <c r="BJ117" s="14"/>
      <c r="BK117" s="14"/>
      <c r="BL117" s="14"/>
      <c r="BM117" s="14"/>
      <c r="BN117" s="14"/>
      <c r="BO117" s="14"/>
      <c r="BP117" s="14"/>
      <c r="BQ117" s="14"/>
      <c r="BX117" s="14"/>
      <c r="BY117" s="14"/>
      <c r="BZ117" s="14"/>
      <c r="CA117" s="14"/>
      <c r="CB117" s="14"/>
      <c r="CC117" s="14"/>
      <c r="CD117" s="14"/>
      <c r="CF117" s="14"/>
      <c r="CJ117" s="16"/>
      <c r="CM117" s="14"/>
      <c r="CN117" s="14"/>
      <c r="CO117" s="14"/>
      <c r="CP117" s="14"/>
      <c r="CQ117" s="14"/>
      <c r="CR117" s="14"/>
      <c r="CS117" s="14"/>
      <c r="CT117" s="14"/>
      <c r="CU117" s="14"/>
      <c r="CV117" s="14"/>
    </row>
    <row r="118" spans="1:100" x14ac:dyDescent="0.2">
      <c r="A118" s="14"/>
      <c r="B118" s="14"/>
      <c r="C118" s="14"/>
      <c r="D118" s="14"/>
      <c r="E118" s="14"/>
      <c r="F118" s="14"/>
      <c r="G118" s="14"/>
      <c r="H118" s="14"/>
      <c r="I118" s="14"/>
      <c r="J118" s="14"/>
      <c r="K118" s="14"/>
      <c r="L118" s="15"/>
      <c r="M118" s="14"/>
      <c r="N118" s="14"/>
      <c r="O118" s="14"/>
      <c r="P118" s="14"/>
      <c r="Q118" s="16"/>
      <c r="R118" s="14"/>
      <c r="Z118" s="16"/>
      <c r="AC118" s="14"/>
      <c r="AD118" s="14"/>
      <c r="AE118" s="14"/>
      <c r="AF118" s="14"/>
      <c r="AG118" s="14"/>
      <c r="AH118" s="14"/>
      <c r="AI118" s="14"/>
      <c r="AJ118" s="14"/>
      <c r="AK118" s="14"/>
      <c r="AL118" s="14"/>
      <c r="AS118" s="14"/>
      <c r="AT118" s="14"/>
      <c r="AU118" s="14"/>
      <c r="AV118" s="14"/>
      <c r="AW118" s="14"/>
      <c r="AX118" s="14"/>
      <c r="AY118" s="14"/>
      <c r="BA118" s="14"/>
      <c r="BE118" s="16"/>
      <c r="BH118" s="14"/>
      <c r="BI118" s="14"/>
      <c r="BJ118" s="14"/>
      <c r="BK118" s="14"/>
      <c r="BL118" s="14"/>
      <c r="BM118" s="14"/>
      <c r="BN118" s="14"/>
      <c r="BO118" s="14"/>
      <c r="BP118" s="14"/>
      <c r="BQ118" s="14"/>
      <c r="BX118" s="14"/>
      <c r="BY118" s="14"/>
      <c r="BZ118" s="14"/>
      <c r="CA118" s="14"/>
      <c r="CB118" s="14"/>
      <c r="CC118" s="14"/>
      <c r="CD118" s="14"/>
      <c r="CF118" s="14"/>
      <c r="CJ118" s="16"/>
      <c r="CM118" s="14"/>
      <c r="CN118" s="14"/>
      <c r="CO118" s="14"/>
      <c r="CP118" s="14"/>
      <c r="CQ118" s="14"/>
      <c r="CR118" s="14"/>
      <c r="CS118" s="14"/>
      <c r="CT118" s="14"/>
      <c r="CU118" s="14"/>
      <c r="CV118" s="14"/>
    </row>
    <row r="119" spans="1:100" x14ac:dyDescent="0.2">
      <c r="A119" s="14"/>
      <c r="B119" s="14"/>
      <c r="C119" s="14"/>
      <c r="D119" s="14"/>
      <c r="E119" s="14"/>
      <c r="F119" s="14"/>
      <c r="G119" s="14"/>
      <c r="H119" s="14"/>
      <c r="I119" s="14"/>
      <c r="J119" s="14"/>
      <c r="K119" s="14"/>
      <c r="L119" s="15"/>
      <c r="M119" s="14"/>
      <c r="N119" s="14"/>
      <c r="O119" s="14"/>
      <c r="P119" s="14"/>
      <c r="Q119" s="16"/>
      <c r="R119" s="14"/>
      <c r="Z119" s="16"/>
      <c r="AC119" s="14"/>
      <c r="AD119" s="14"/>
      <c r="AE119" s="14"/>
      <c r="AF119" s="14"/>
      <c r="AG119" s="14"/>
      <c r="AH119" s="14"/>
      <c r="AI119" s="14"/>
      <c r="AJ119" s="14"/>
      <c r="AK119" s="14"/>
      <c r="AL119" s="14"/>
      <c r="AS119" s="14"/>
      <c r="AT119" s="14"/>
      <c r="AU119" s="14"/>
      <c r="AV119" s="14"/>
      <c r="AW119" s="14"/>
      <c r="AX119" s="14"/>
      <c r="AY119" s="14"/>
      <c r="BA119" s="14"/>
      <c r="BE119" s="16"/>
      <c r="BH119" s="14"/>
      <c r="BI119" s="14"/>
      <c r="BJ119" s="14"/>
      <c r="BK119" s="14"/>
      <c r="BL119" s="14"/>
      <c r="BM119" s="14"/>
      <c r="BN119" s="14"/>
      <c r="BO119" s="14"/>
      <c r="BP119" s="14"/>
      <c r="BQ119" s="14"/>
      <c r="BX119" s="14"/>
      <c r="BY119" s="14"/>
      <c r="BZ119" s="14"/>
      <c r="CA119" s="14"/>
      <c r="CB119" s="14"/>
      <c r="CC119" s="14"/>
      <c r="CD119" s="14"/>
      <c r="CF119" s="14"/>
      <c r="CJ119" s="16"/>
      <c r="CM119" s="14"/>
      <c r="CN119" s="14"/>
      <c r="CO119" s="14"/>
      <c r="CP119" s="14"/>
      <c r="CQ119" s="14"/>
      <c r="CR119" s="14"/>
      <c r="CS119" s="14"/>
      <c r="CT119" s="14"/>
      <c r="CU119" s="14"/>
      <c r="CV119" s="14"/>
    </row>
    <row r="120" spans="1:100" x14ac:dyDescent="0.2">
      <c r="A120" s="14"/>
      <c r="B120" s="14"/>
      <c r="C120" s="14"/>
      <c r="D120" s="14"/>
      <c r="E120" s="14"/>
      <c r="F120" s="14"/>
      <c r="G120" s="14"/>
      <c r="H120" s="14"/>
      <c r="I120" s="14"/>
      <c r="J120" s="14"/>
      <c r="K120" s="14"/>
      <c r="L120" s="15"/>
      <c r="M120" s="14"/>
      <c r="N120" s="14"/>
      <c r="O120" s="14"/>
      <c r="P120" s="14"/>
      <c r="Q120" s="16"/>
      <c r="R120" s="14"/>
      <c r="Z120" s="16"/>
      <c r="AC120" s="14"/>
      <c r="AD120" s="14"/>
      <c r="AE120" s="14"/>
      <c r="AF120" s="14"/>
      <c r="AG120" s="14"/>
      <c r="AH120" s="14"/>
      <c r="AI120" s="14"/>
      <c r="AJ120" s="14"/>
      <c r="AK120" s="14"/>
      <c r="AL120" s="14"/>
      <c r="AS120" s="14"/>
      <c r="AT120" s="14"/>
      <c r="AU120" s="14"/>
      <c r="AV120" s="14"/>
      <c r="AW120" s="14"/>
      <c r="AX120" s="14"/>
      <c r="AY120" s="14"/>
      <c r="BA120" s="14"/>
      <c r="BE120" s="16"/>
      <c r="BH120" s="14"/>
      <c r="BI120" s="14"/>
      <c r="BJ120" s="14"/>
      <c r="BK120" s="14"/>
      <c r="BL120" s="14"/>
      <c r="BM120" s="14"/>
      <c r="BN120" s="14"/>
      <c r="BO120" s="14"/>
      <c r="BP120" s="14"/>
      <c r="BQ120" s="14"/>
      <c r="BX120" s="14"/>
      <c r="BY120" s="14"/>
      <c r="BZ120" s="14"/>
      <c r="CA120" s="14"/>
      <c r="CB120" s="14"/>
      <c r="CC120" s="14"/>
      <c r="CD120" s="14"/>
      <c r="CF120" s="14"/>
      <c r="CJ120" s="16"/>
      <c r="CM120" s="14"/>
      <c r="CN120" s="14"/>
      <c r="CO120" s="14"/>
      <c r="CP120" s="14"/>
      <c r="CQ120" s="14"/>
      <c r="CR120" s="14"/>
      <c r="CS120" s="14"/>
      <c r="CT120" s="14"/>
      <c r="CU120" s="14"/>
      <c r="CV120" s="14"/>
    </row>
    <row r="121" spans="1:100" x14ac:dyDescent="0.2">
      <c r="A121" s="14"/>
      <c r="B121" s="14"/>
      <c r="C121" s="14"/>
      <c r="D121" s="14"/>
      <c r="E121" s="14"/>
      <c r="F121" s="14"/>
      <c r="G121" s="14"/>
      <c r="H121" s="14"/>
      <c r="I121" s="14"/>
      <c r="J121" s="14"/>
      <c r="K121" s="14"/>
      <c r="L121" s="15"/>
      <c r="M121" s="14"/>
      <c r="N121" s="14"/>
      <c r="O121" s="14"/>
      <c r="P121" s="14"/>
      <c r="Q121" s="16"/>
      <c r="R121" s="14"/>
      <c r="Z121" s="16"/>
      <c r="AC121" s="14"/>
      <c r="AD121" s="14"/>
      <c r="AE121" s="14"/>
      <c r="AF121" s="14"/>
      <c r="AG121" s="14"/>
      <c r="AH121" s="14"/>
      <c r="AI121" s="14"/>
      <c r="AJ121" s="14"/>
      <c r="AK121" s="14"/>
      <c r="AL121" s="14"/>
      <c r="AS121" s="14"/>
      <c r="AT121" s="14"/>
      <c r="AU121" s="14"/>
      <c r="AV121" s="14"/>
      <c r="AW121" s="14"/>
      <c r="AX121" s="14"/>
      <c r="AY121" s="14"/>
      <c r="BA121" s="14"/>
      <c r="BE121" s="16"/>
      <c r="BH121" s="14"/>
      <c r="BI121" s="14"/>
      <c r="BJ121" s="14"/>
      <c r="BK121" s="14"/>
      <c r="BL121" s="14"/>
      <c r="BM121" s="14"/>
      <c r="BN121" s="14"/>
      <c r="BO121" s="14"/>
      <c r="BP121" s="14"/>
      <c r="BQ121" s="14"/>
      <c r="BX121" s="14"/>
      <c r="BY121" s="14"/>
      <c r="BZ121" s="14"/>
      <c r="CA121" s="14"/>
      <c r="CB121" s="14"/>
      <c r="CC121" s="14"/>
      <c r="CD121" s="14"/>
      <c r="CF121" s="14"/>
      <c r="CJ121" s="16"/>
      <c r="CM121" s="14"/>
      <c r="CN121" s="14"/>
      <c r="CO121" s="14"/>
      <c r="CP121" s="14"/>
      <c r="CQ121" s="14"/>
      <c r="CR121" s="14"/>
      <c r="CS121" s="14"/>
      <c r="CT121" s="14"/>
      <c r="CU121" s="14"/>
      <c r="CV121" s="14"/>
    </row>
    <row r="122" spans="1:100" x14ac:dyDescent="0.2">
      <c r="A122" s="14"/>
      <c r="B122" s="14"/>
      <c r="C122" s="14"/>
      <c r="D122" s="14"/>
      <c r="E122" s="14"/>
      <c r="F122" s="14"/>
      <c r="G122" s="14"/>
      <c r="H122" s="14"/>
      <c r="I122" s="14"/>
      <c r="J122" s="14"/>
      <c r="K122" s="14"/>
      <c r="L122" s="15"/>
      <c r="M122" s="14"/>
      <c r="N122" s="14"/>
      <c r="O122" s="14"/>
      <c r="P122" s="14"/>
      <c r="Q122" s="16"/>
      <c r="R122" s="14"/>
      <c r="Z122" s="16"/>
      <c r="AC122" s="14"/>
      <c r="AD122" s="14"/>
      <c r="AE122" s="14"/>
      <c r="AF122" s="14"/>
      <c r="AG122" s="14"/>
      <c r="AH122" s="14"/>
      <c r="AI122" s="14"/>
      <c r="AJ122" s="14"/>
      <c r="AK122" s="14"/>
      <c r="AL122" s="14"/>
      <c r="AS122" s="14"/>
      <c r="AT122" s="14"/>
      <c r="AU122" s="14"/>
      <c r="AV122" s="14"/>
      <c r="AW122" s="14"/>
      <c r="AX122" s="14"/>
      <c r="AY122" s="14"/>
      <c r="BA122" s="14"/>
      <c r="BE122" s="16"/>
      <c r="BH122" s="14"/>
      <c r="BI122" s="14"/>
      <c r="BJ122" s="14"/>
      <c r="BK122" s="14"/>
      <c r="BL122" s="14"/>
      <c r="BM122" s="14"/>
      <c r="BN122" s="14"/>
      <c r="BO122" s="14"/>
      <c r="BP122" s="14"/>
      <c r="BQ122" s="14"/>
      <c r="BX122" s="14"/>
      <c r="BY122" s="14"/>
      <c r="BZ122" s="14"/>
      <c r="CA122" s="14"/>
      <c r="CB122" s="14"/>
      <c r="CC122" s="14"/>
      <c r="CD122" s="14"/>
      <c r="CF122" s="14"/>
      <c r="CJ122" s="16"/>
      <c r="CM122" s="14"/>
      <c r="CN122" s="14"/>
      <c r="CO122" s="14"/>
      <c r="CP122" s="14"/>
      <c r="CQ122" s="14"/>
      <c r="CR122" s="14"/>
      <c r="CS122" s="14"/>
      <c r="CT122" s="14"/>
      <c r="CU122" s="14"/>
      <c r="CV122" s="14"/>
    </row>
    <row r="123" spans="1:100" x14ac:dyDescent="0.2">
      <c r="A123" s="14"/>
      <c r="B123" s="14"/>
      <c r="C123" s="14"/>
      <c r="D123" s="14"/>
      <c r="E123" s="14"/>
      <c r="F123" s="14"/>
      <c r="G123" s="14"/>
      <c r="H123" s="14"/>
      <c r="I123" s="14"/>
      <c r="J123" s="14"/>
      <c r="K123" s="14"/>
      <c r="L123" s="15"/>
      <c r="M123" s="14"/>
      <c r="N123" s="14"/>
      <c r="O123" s="14"/>
      <c r="P123" s="14"/>
      <c r="Q123" s="16"/>
      <c r="R123" s="14"/>
      <c r="Z123" s="16"/>
      <c r="AC123" s="14"/>
      <c r="AD123" s="14"/>
      <c r="AE123" s="14"/>
      <c r="AF123" s="14"/>
      <c r="AG123" s="14"/>
      <c r="AH123" s="14"/>
      <c r="AI123" s="14"/>
      <c r="AJ123" s="14"/>
      <c r="AK123" s="14"/>
      <c r="AL123" s="14"/>
      <c r="AS123" s="14"/>
      <c r="AT123" s="14"/>
      <c r="AU123" s="14"/>
      <c r="AV123" s="14"/>
      <c r="AW123" s="14"/>
      <c r="AX123" s="14"/>
      <c r="AY123" s="14"/>
      <c r="BA123" s="14"/>
      <c r="BE123" s="16"/>
      <c r="BH123" s="14"/>
      <c r="BI123" s="14"/>
      <c r="BJ123" s="14"/>
      <c r="BK123" s="14"/>
      <c r="BL123" s="14"/>
      <c r="BM123" s="14"/>
      <c r="BN123" s="14"/>
      <c r="BO123" s="14"/>
      <c r="BP123" s="14"/>
      <c r="BQ123" s="14"/>
      <c r="BX123" s="14"/>
      <c r="BY123" s="14"/>
      <c r="BZ123" s="14"/>
      <c r="CA123" s="14"/>
      <c r="CB123" s="14"/>
      <c r="CC123" s="14"/>
      <c r="CD123" s="14"/>
      <c r="CF123" s="14"/>
      <c r="CJ123" s="16"/>
      <c r="CM123" s="14"/>
      <c r="CN123" s="14"/>
      <c r="CO123" s="14"/>
      <c r="CP123" s="14"/>
      <c r="CQ123" s="14"/>
      <c r="CR123" s="14"/>
      <c r="CS123" s="14"/>
      <c r="CT123" s="14"/>
      <c r="CU123" s="14"/>
      <c r="CV123" s="14"/>
    </row>
    <row r="124" spans="1:100" x14ac:dyDescent="0.2">
      <c r="A124" s="14"/>
      <c r="B124" s="14"/>
      <c r="C124" s="14"/>
      <c r="D124" s="14"/>
      <c r="E124" s="14"/>
      <c r="F124" s="14"/>
      <c r="G124" s="14"/>
      <c r="H124" s="14"/>
      <c r="I124" s="14"/>
      <c r="J124" s="14"/>
      <c r="K124" s="14"/>
      <c r="L124" s="15"/>
      <c r="M124" s="14"/>
      <c r="N124" s="14"/>
      <c r="O124" s="14"/>
      <c r="P124" s="14"/>
      <c r="Q124" s="16"/>
      <c r="R124" s="14"/>
      <c r="Z124" s="16"/>
      <c r="AC124" s="14"/>
      <c r="AD124" s="14"/>
      <c r="AE124" s="14"/>
      <c r="AF124" s="14"/>
      <c r="AG124" s="14"/>
      <c r="AH124" s="14"/>
      <c r="AI124" s="14"/>
      <c r="AJ124" s="14"/>
      <c r="AK124" s="14"/>
      <c r="AL124" s="14"/>
      <c r="AS124" s="14"/>
      <c r="AT124" s="14"/>
      <c r="AU124" s="14"/>
      <c r="AV124" s="14"/>
      <c r="AW124" s="14"/>
      <c r="AX124" s="14"/>
      <c r="AY124" s="14"/>
      <c r="BA124" s="14"/>
      <c r="BE124" s="16"/>
      <c r="BH124" s="14"/>
      <c r="BI124" s="14"/>
      <c r="BJ124" s="14"/>
      <c r="BK124" s="14"/>
      <c r="BL124" s="14"/>
      <c r="BM124" s="14"/>
      <c r="BN124" s="14"/>
      <c r="BO124" s="14"/>
      <c r="BP124" s="14"/>
      <c r="BQ124" s="14"/>
      <c r="BX124" s="14"/>
      <c r="BY124" s="14"/>
      <c r="BZ124" s="14"/>
      <c r="CA124" s="14"/>
      <c r="CB124" s="14"/>
      <c r="CC124" s="14"/>
      <c r="CD124" s="14"/>
      <c r="CF124" s="14"/>
      <c r="CJ124" s="16"/>
      <c r="CM124" s="14"/>
      <c r="CN124" s="14"/>
      <c r="CO124" s="14"/>
      <c r="CP124" s="14"/>
      <c r="CQ124" s="14"/>
      <c r="CR124" s="14"/>
      <c r="CS124" s="14"/>
      <c r="CT124" s="14"/>
      <c r="CU124" s="14"/>
      <c r="CV124" s="14"/>
    </row>
    <row r="125" spans="1:100" x14ac:dyDescent="0.2">
      <c r="A125" s="14"/>
      <c r="B125" s="14"/>
      <c r="C125" s="14"/>
      <c r="D125" s="14"/>
      <c r="E125" s="14"/>
      <c r="F125" s="14"/>
      <c r="G125" s="14"/>
      <c r="H125" s="14"/>
      <c r="I125" s="14"/>
      <c r="J125" s="14"/>
      <c r="K125" s="14"/>
      <c r="L125" s="15"/>
      <c r="M125" s="14"/>
      <c r="N125" s="14"/>
      <c r="O125" s="14"/>
      <c r="P125" s="14"/>
      <c r="Q125" s="16"/>
      <c r="R125" s="14"/>
      <c r="Z125" s="16"/>
      <c r="AC125" s="14"/>
      <c r="AD125" s="14"/>
      <c r="AE125" s="14"/>
      <c r="AF125" s="14"/>
      <c r="AG125" s="14"/>
      <c r="AH125" s="14"/>
      <c r="AI125" s="14"/>
      <c r="AJ125" s="14"/>
      <c r="AK125" s="14"/>
      <c r="AL125" s="14"/>
      <c r="AS125" s="14"/>
      <c r="AT125" s="14"/>
      <c r="AU125" s="14"/>
      <c r="AV125" s="14"/>
      <c r="AW125" s="14"/>
      <c r="AX125" s="14"/>
      <c r="AY125" s="14"/>
      <c r="BA125" s="14"/>
      <c r="BE125" s="16"/>
      <c r="BH125" s="14"/>
      <c r="BI125" s="14"/>
      <c r="BJ125" s="14"/>
      <c r="BK125" s="14"/>
      <c r="BL125" s="14"/>
      <c r="BM125" s="14"/>
      <c r="BN125" s="14"/>
      <c r="BO125" s="14"/>
      <c r="BP125" s="14"/>
      <c r="BQ125" s="14"/>
      <c r="BX125" s="14"/>
      <c r="BY125" s="14"/>
      <c r="BZ125" s="14"/>
      <c r="CA125" s="14"/>
      <c r="CB125" s="14"/>
      <c r="CC125" s="14"/>
      <c r="CD125" s="14"/>
      <c r="CF125" s="14"/>
      <c r="CJ125" s="16"/>
      <c r="CM125" s="14"/>
      <c r="CN125" s="14"/>
      <c r="CO125" s="14"/>
      <c r="CP125" s="14"/>
      <c r="CQ125" s="14"/>
      <c r="CR125" s="14"/>
      <c r="CS125" s="14"/>
      <c r="CT125" s="14"/>
      <c r="CU125" s="14"/>
      <c r="CV125" s="14"/>
    </row>
    <row r="126" spans="1:100" x14ac:dyDescent="0.2">
      <c r="A126" s="14"/>
      <c r="B126" s="14"/>
      <c r="C126" s="14"/>
      <c r="D126" s="14"/>
      <c r="E126" s="14"/>
      <c r="F126" s="14"/>
      <c r="G126" s="14"/>
      <c r="H126" s="14"/>
      <c r="I126" s="14"/>
      <c r="J126" s="14"/>
      <c r="K126" s="14"/>
      <c r="L126" s="15"/>
      <c r="M126" s="14"/>
      <c r="N126" s="14"/>
      <c r="O126" s="14"/>
      <c r="P126" s="14"/>
      <c r="Q126" s="16"/>
      <c r="R126" s="14"/>
      <c r="Z126" s="16"/>
      <c r="AC126" s="14"/>
      <c r="AD126" s="14"/>
      <c r="AE126" s="14"/>
      <c r="AF126" s="14"/>
      <c r="AG126" s="14"/>
      <c r="AH126" s="14"/>
      <c r="AI126" s="14"/>
      <c r="AJ126" s="14"/>
      <c r="AK126" s="14"/>
      <c r="AL126" s="14"/>
      <c r="AS126" s="14"/>
      <c r="AT126" s="14"/>
      <c r="AU126" s="14"/>
      <c r="AV126" s="14"/>
      <c r="AW126" s="14"/>
      <c r="AX126" s="14"/>
      <c r="AY126" s="14"/>
      <c r="BA126" s="14"/>
      <c r="BE126" s="16"/>
      <c r="BH126" s="14"/>
      <c r="BI126" s="14"/>
      <c r="BJ126" s="14"/>
      <c r="BK126" s="14"/>
      <c r="BL126" s="14"/>
      <c r="BM126" s="14"/>
      <c r="BN126" s="14"/>
      <c r="BO126" s="14"/>
      <c r="BP126" s="14"/>
      <c r="BQ126" s="14"/>
      <c r="BX126" s="14"/>
      <c r="BY126" s="14"/>
      <c r="BZ126" s="14"/>
      <c r="CA126" s="14"/>
      <c r="CB126" s="14"/>
      <c r="CC126" s="14"/>
      <c r="CD126" s="14"/>
      <c r="CF126" s="14"/>
      <c r="CJ126" s="16"/>
      <c r="CM126" s="14"/>
      <c r="CN126" s="14"/>
      <c r="CO126" s="14"/>
      <c r="CP126" s="14"/>
      <c r="CQ126" s="14"/>
      <c r="CR126" s="14"/>
      <c r="CS126" s="14"/>
      <c r="CT126" s="14"/>
      <c r="CU126" s="14"/>
      <c r="CV126" s="14"/>
    </row>
    <row r="127" spans="1:100" x14ac:dyDescent="0.2">
      <c r="A127" s="14"/>
      <c r="B127" s="14"/>
      <c r="C127" s="14"/>
      <c r="D127" s="14"/>
      <c r="E127" s="14"/>
      <c r="F127" s="14"/>
      <c r="G127" s="14"/>
      <c r="H127" s="14"/>
      <c r="I127" s="14"/>
      <c r="J127" s="14"/>
      <c r="K127" s="14"/>
      <c r="L127" s="15"/>
      <c r="M127" s="14"/>
      <c r="N127" s="14"/>
      <c r="O127" s="14"/>
      <c r="P127" s="14"/>
      <c r="Q127" s="16"/>
      <c r="R127" s="14"/>
      <c r="Z127" s="16"/>
      <c r="AC127" s="14"/>
      <c r="AD127" s="14"/>
      <c r="AE127" s="14"/>
      <c r="AF127" s="14"/>
      <c r="AG127" s="14"/>
      <c r="AH127" s="14"/>
      <c r="AI127" s="14"/>
      <c r="AJ127" s="14"/>
      <c r="AK127" s="14"/>
      <c r="AL127" s="14"/>
      <c r="AS127" s="14"/>
      <c r="AT127" s="14"/>
      <c r="AU127" s="14"/>
      <c r="AV127" s="14"/>
      <c r="AW127" s="14"/>
      <c r="AX127" s="14"/>
      <c r="AY127" s="14"/>
      <c r="BA127" s="14"/>
      <c r="BE127" s="16"/>
      <c r="BH127" s="14"/>
      <c r="BI127" s="14"/>
      <c r="BJ127" s="14"/>
      <c r="BK127" s="14"/>
      <c r="BL127" s="14"/>
      <c r="BM127" s="14"/>
      <c r="BN127" s="14"/>
      <c r="BO127" s="14"/>
      <c r="BP127" s="14"/>
      <c r="BQ127" s="14"/>
      <c r="BX127" s="14"/>
      <c r="BY127" s="14"/>
      <c r="BZ127" s="14"/>
      <c r="CA127" s="14"/>
      <c r="CB127" s="14"/>
      <c r="CC127" s="14"/>
      <c r="CD127" s="14"/>
      <c r="CF127" s="14"/>
      <c r="CJ127" s="16"/>
      <c r="CM127" s="14"/>
      <c r="CN127" s="14"/>
      <c r="CO127" s="14"/>
      <c r="CP127" s="14"/>
      <c r="CQ127" s="14"/>
      <c r="CR127" s="14"/>
      <c r="CS127" s="14"/>
      <c r="CT127" s="14"/>
      <c r="CU127" s="14"/>
      <c r="CV127" s="14"/>
    </row>
    <row r="128" spans="1:100" x14ac:dyDescent="0.2">
      <c r="A128" s="14"/>
      <c r="B128" s="14"/>
      <c r="C128" s="14"/>
      <c r="D128" s="14"/>
      <c r="E128" s="14"/>
      <c r="F128" s="14"/>
      <c r="G128" s="14"/>
      <c r="H128" s="14"/>
      <c r="I128" s="14"/>
      <c r="J128" s="14"/>
      <c r="K128" s="14"/>
      <c r="L128" s="15"/>
      <c r="M128" s="14"/>
      <c r="N128" s="14"/>
      <c r="O128" s="14"/>
      <c r="P128" s="14"/>
      <c r="Q128" s="16"/>
      <c r="R128" s="14"/>
      <c r="Z128" s="16"/>
      <c r="AC128" s="14"/>
      <c r="AD128" s="14"/>
      <c r="AE128" s="14"/>
      <c r="AF128" s="14"/>
      <c r="AG128" s="14"/>
      <c r="AH128" s="14"/>
      <c r="AI128" s="14"/>
      <c r="AJ128" s="14"/>
      <c r="AK128" s="14"/>
      <c r="AL128" s="14"/>
      <c r="AS128" s="14"/>
      <c r="AT128" s="14"/>
      <c r="AU128" s="14"/>
      <c r="AV128" s="14"/>
      <c r="AW128" s="14"/>
      <c r="AX128" s="14"/>
      <c r="AY128" s="14"/>
      <c r="BA128" s="14"/>
      <c r="BE128" s="16"/>
      <c r="BH128" s="14"/>
      <c r="BI128" s="14"/>
      <c r="BJ128" s="14"/>
      <c r="BK128" s="14"/>
      <c r="BL128" s="14"/>
      <c r="BM128" s="14"/>
      <c r="BN128" s="14"/>
      <c r="BO128" s="14"/>
      <c r="BP128" s="14"/>
      <c r="BQ128" s="14"/>
      <c r="BX128" s="14"/>
      <c r="BY128" s="14"/>
      <c r="BZ128" s="14"/>
      <c r="CA128" s="14"/>
      <c r="CB128" s="14"/>
      <c r="CC128" s="14"/>
      <c r="CD128" s="14"/>
      <c r="CF128" s="14"/>
      <c r="CJ128" s="16"/>
      <c r="CM128" s="14"/>
      <c r="CN128" s="14"/>
      <c r="CO128" s="14"/>
      <c r="CP128" s="14"/>
      <c r="CQ128" s="14"/>
      <c r="CR128" s="14"/>
      <c r="CS128" s="14"/>
      <c r="CT128" s="14"/>
      <c r="CU128" s="14"/>
      <c r="CV128" s="14"/>
    </row>
    <row r="129" spans="1:100" x14ac:dyDescent="0.2">
      <c r="A129" s="14"/>
      <c r="B129" s="14"/>
      <c r="C129" s="14"/>
      <c r="D129" s="14"/>
      <c r="E129" s="14"/>
      <c r="F129" s="14"/>
      <c r="G129" s="14"/>
      <c r="H129" s="14"/>
      <c r="I129" s="14"/>
      <c r="J129" s="14"/>
      <c r="K129" s="14"/>
      <c r="L129" s="15"/>
      <c r="M129" s="14"/>
      <c r="N129" s="14"/>
      <c r="O129" s="14"/>
      <c r="P129" s="14"/>
      <c r="Q129" s="16"/>
      <c r="R129" s="14"/>
      <c r="Z129" s="16"/>
      <c r="AC129" s="14"/>
      <c r="AD129" s="14"/>
      <c r="AE129" s="14"/>
      <c r="AF129" s="14"/>
      <c r="AG129" s="14"/>
      <c r="AH129" s="14"/>
      <c r="AI129" s="14"/>
      <c r="AJ129" s="14"/>
      <c r="AK129" s="14"/>
      <c r="AL129" s="14"/>
      <c r="AS129" s="14"/>
      <c r="AT129" s="14"/>
      <c r="AU129" s="14"/>
      <c r="AV129" s="14"/>
      <c r="AW129" s="14"/>
      <c r="AX129" s="14"/>
      <c r="AY129" s="14"/>
      <c r="BA129" s="14"/>
      <c r="BE129" s="16"/>
      <c r="BH129" s="14"/>
      <c r="BI129" s="14"/>
      <c r="BJ129" s="14"/>
      <c r="BK129" s="14"/>
      <c r="BL129" s="14"/>
      <c r="BM129" s="14"/>
      <c r="BN129" s="14"/>
      <c r="BO129" s="14"/>
      <c r="BP129" s="14"/>
      <c r="BQ129" s="14"/>
      <c r="BX129" s="14"/>
      <c r="BY129" s="14"/>
      <c r="BZ129" s="14"/>
      <c r="CA129" s="14"/>
      <c r="CB129" s="14"/>
      <c r="CC129" s="14"/>
      <c r="CD129" s="14"/>
      <c r="CF129" s="14"/>
      <c r="CJ129" s="16"/>
      <c r="CM129" s="14"/>
      <c r="CN129" s="14"/>
      <c r="CO129" s="14"/>
      <c r="CP129" s="14"/>
      <c r="CQ129" s="14"/>
      <c r="CR129" s="14"/>
      <c r="CS129" s="14"/>
      <c r="CT129" s="14"/>
      <c r="CU129" s="14"/>
      <c r="CV129" s="14"/>
    </row>
    <row r="130" spans="1:100" x14ac:dyDescent="0.2">
      <c r="A130" s="14"/>
      <c r="B130" s="14"/>
      <c r="C130" s="14"/>
      <c r="D130" s="14"/>
      <c r="E130" s="14"/>
      <c r="F130" s="14"/>
      <c r="G130" s="14"/>
      <c r="H130" s="14"/>
      <c r="I130" s="14"/>
      <c r="J130" s="14"/>
      <c r="K130" s="14"/>
      <c r="L130" s="15"/>
      <c r="M130" s="14"/>
      <c r="N130" s="14"/>
      <c r="O130" s="14"/>
      <c r="P130" s="14"/>
      <c r="Q130" s="16"/>
      <c r="R130" s="14"/>
      <c r="Z130" s="16"/>
      <c r="AC130" s="14"/>
      <c r="AD130" s="14"/>
      <c r="AE130" s="14"/>
      <c r="AF130" s="14"/>
      <c r="AG130" s="14"/>
      <c r="AH130" s="14"/>
      <c r="AI130" s="14"/>
      <c r="AJ130" s="14"/>
      <c r="AK130" s="14"/>
      <c r="AL130" s="14"/>
      <c r="AS130" s="14"/>
      <c r="AT130" s="14"/>
      <c r="AU130" s="14"/>
      <c r="AV130" s="14"/>
      <c r="AW130" s="14"/>
      <c r="AX130" s="14"/>
      <c r="AY130" s="14"/>
      <c r="BA130" s="14"/>
      <c r="BE130" s="16"/>
      <c r="BH130" s="14"/>
      <c r="BI130" s="14"/>
      <c r="BJ130" s="14"/>
      <c r="BK130" s="14"/>
      <c r="BL130" s="14"/>
      <c r="BM130" s="14"/>
      <c r="BN130" s="14"/>
      <c r="BO130" s="14"/>
      <c r="BP130" s="14"/>
      <c r="BQ130" s="14"/>
      <c r="BX130" s="14"/>
      <c r="BY130" s="14"/>
      <c r="BZ130" s="14"/>
      <c r="CA130" s="14"/>
      <c r="CB130" s="14"/>
      <c r="CC130" s="14"/>
      <c r="CD130" s="14"/>
      <c r="CF130" s="14"/>
      <c r="CJ130" s="16"/>
      <c r="CM130" s="14"/>
      <c r="CN130" s="14"/>
      <c r="CO130" s="14"/>
      <c r="CP130" s="14"/>
      <c r="CQ130" s="14"/>
      <c r="CR130" s="14"/>
      <c r="CS130" s="14"/>
      <c r="CT130" s="14"/>
      <c r="CU130" s="14"/>
      <c r="CV130" s="14"/>
    </row>
    <row r="131" spans="1:100" x14ac:dyDescent="0.2">
      <c r="A131" s="14"/>
      <c r="B131" s="14"/>
      <c r="C131" s="14"/>
      <c r="D131" s="14"/>
      <c r="E131" s="14"/>
      <c r="F131" s="14"/>
      <c r="G131" s="14"/>
      <c r="H131" s="14"/>
      <c r="I131" s="14"/>
      <c r="J131" s="14"/>
      <c r="K131" s="14"/>
      <c r="L131" s="15"/>
      <c r="M131" s="14"/>
      <c r="N131" s="14"/>
      <c r="O131" s="14"/>
      <c r="P131" s="14"/>
      <c r="Q131" s="16"/>
      <c r="R131" s="14"/>
      <c r="Z131" s="16"/>
      <c r="AC131" s="14"/>
      <c r="AD131" s="14"/>
      <c r="AE131" s="14"/>
      <c r="AF131" s="14"/>
      <c r="AG131" s="14"/>
      <c r="AH131" s="14"/>
      <c r="AI131" s="14"/>
      <c r="AJ131" s="14"/>
      <c r="AK131" s="14"/>
      <c r="AL131" s="14"/>
      <c r="AS131" s="14"/>
      <c r="AT131" s="14"/>
      <c r="AU131" s="14"/>
      <c r="AV131" s="14"/>
      <c r="AW131" s="14"/>
      <c r="AX131" s="14"/>
      <c r="AY131" s="14"/>
      <c r="BA131" s="14"/>
      <c r="BE131" s="16"/>
      <c r="BH131" s="14"/>
      <c r="BI131" s="14"/>
      <c r="BJ131" s="14"/>
      <c r="BK131" s="14"/>
      <c r="BL131" s="14"/>
      <c r="BM131" s="14"/>
      <c r="BN131" s="14"/>
      <c r="BO131" s="14"/>
      <c r="BP131" s="14"/>
      <c r="BQ131" s="14"/>
      <c r="BX131" s="14"/>
      <c r="BY131" s="14"/>
      <c r="BZ131" s="14"/>
      <c r="CA131" s="14"/>
      <c r="CB131" s="14"/>
      <c r="CC131" s="14"/>
      <c r="CD131" s="14"/>
      <c r="CF131" s="14"/>
      <c r="CJ131" s="16"/>
      <c r="CM131" s="14"/>
      <c r="CN131" s="14"/>
      <c r="CO131" s="14"/>
      <c r="CP131" s="14"/>
      <c r="CQ131" s="14"/>
      <c r="CR131" s="14"/>
      <c r="CS131" s="14"/>
      <c r="CT131" s="14"/>
      <c r="CU131" s="14"/>
      <c r="CV131" s="14"/>
    </row>
    <row r="132" spans="1:100" x14ac:dyDescent="0.2">
      <c r="A132" s="14"/>
      <c r="B132" s="14"/>
      <c r="C132" s="14"/>
      <c r="D132" s="14"/>
      <c r="E132" s="14"/>
      <c r="F132" s="14"/>
      <c r="G132" s="14"/>
      <c r="H132" s="14"/>
      <c r="I132" s="14"/>
      <c r="J132" s="14"/>
      <c r="K132" s="14"/>
      <c r="L132" s="15"/>
      <c r="M132" s="14"/>
      <c r="N132" s="14"/>
      <c r="O132" s="14"/>
      <c r="P132" s="14"/>
      <c r="Q132" s="16"/>
      <c r="R132" s="14"/>
      <c r="Z132" s="16"/>
      <c r="AC132" s="14"/>
      <c r="AD132" s="14"/>
      <c r="AE132" s="14"/>
      <c r="AF132" s="14"/>
      <c r="AG132" s="14"/>
      <c r="AH132" s="14"/>
      <c r="AI132" s="14"/>
      <c r="AJ132" s="14"/>
      <c r="AK132" s="14"/>
      <c r="AL132" s="14"/>
      <c r="AS132" s="14"/>
      <c r="AT132" s="14"/>
      <c r="AU132" s="14"/>
      <c r="AV132" s="14"/>
      <c r="AW132" s="14"/>
      <c r="AX132" s="14"/>
      <c r="AY132" s="14"/>
      <c r="BA132" s="14"/>
      <c r="BE132" s="16"/>
      <c r="BH132" s="14"/>
      <c r="BI132" s="14"/>
      <c r="BJ132" s="14"/>
      <c r="BK132" s="14"/>
      <c r="BL132" s="14"/>
      <c r="BM132" s="14"/>
      <c r="BN132" s="14"/>
      <c r="BO132" s="14"/>
      <c r="BP132" s="14"/>
      <c r="BQ132" s="14"/>
      <c r="BX132" s="14"/>
      <c r="BY132" s="14"/>
      <c r="BZ132" s="14"/>
      <c r="CA132" s="14"/>
      <c r="CB132" s="14"/>
      <c r="CC132" s="14"/>
      <c r="CD132" s="14"/>
      <c r="CF132" s="14"/>
      <c r="CJ132" s="16"/>
      <c r="CM132" s="14"/>
      <c r="CN132" s="14"/>
      <c r="CO132" s="14"/>
      <c r="CP132" s="14"/>
      <c r="CQ132" s="14"/>
      <c r="CR132" s="14"/>
      <c r="CS132" s="14"/>
      <c r="CT132" s="14"/>
      <c r="CU132" s="14"/>
      <c r="CV132" s="14"/>
    </row>
    <row r="133" spans="1:100" x14ac:dyDescent="0.2">
      <c r="A133" s="14"/>
      <c r="B133" s="14"/>
      <c r="C133" s="14"/>
      <c r="D133" s="14"/>
      <c r="E133" s="14"/>
      <c r="F133" s="14"/>
      <c r="G133" s="14"/>
      <c r="H133" s="14"/>
      <c r="I133" s="14"/>
      <c r="J133" s="14"/>
      <c r="K133" s="14"/>
      <c r="L133" s="15"/>
      <c r="M133" s="14"/>
      <c r="N133" s="14"/>
      <c r="O133" s="14"/>
      <c r="P133" s="14"/>
      <c r="Q133" s="16"/>
      <c r="R133" s="14"/>
      <c r="Z133" s="16"/>
      <c r="AC133" s="14"/>
      <c r="AD133" s="14"/>
      <c r="AE133" s="14"/>
      <c r="AF133" s="14"/>
      <c r="AG133" s="14"/>
      <c r="AH133" s="14"/>
      <c r="AI133" s="14"/>
      <c r="AJ133" s="14"/>
      <c r="AK133" s="14"/>
      <c r="AL133" s="14"/>
      <c r="AS133" s="14"/>
      <c r="AT133" s="14"/>
      <c r="AU133" s="14"/>
      <c r="AV133" s="14"/>
      <c r="AW133" s="14"/>
      <c r="AX133" s="14"/>
      <c r="AY133" s="14"/>
      <c r="BA133" s="14"/>
      <c r="BE133" s="16"/>
      <c r="BH133" s="14"/>
      <c r="BI133" s="14"/>
      <c r="BJ133" s="14"/>
      <c r="BK133" s="14"/>
      <c r="BL133" s="14"/>
      <c r="BM133" s="14"/>
      <c r="BN133" s="14"/>
      <c r="BO133" s="14"/>
      <c r="BP133" s="14"/>
      <c r="BQ133" s="14"/>
      <c r="BX133" s="14"/>
      <c r="BY133" s="14"/>
      <c r="BZ133" s="14"/>
      <c r="CA133" s="14"/>
      <c r="CB133" s="14"/>
      <c r="CC133" s="14"/>
      <c r="CD133" s="14"/>
      <c r="CF133" s="14"/>
      <c r="CJ133" s="16"/>
      <c r="CM133" s="14"/>
      <c r="CN133" s="14"/>
      <c r="CO133" s="14"/>
      <c r="CP133" s="14"/>
      <c r="CQ133" s="14"/>
      <c r="CR133" s="14"/>
      <c r="CS133" s="14"/>
      <c r="CT133" s="14"/>
      <c r="CU133" s="14"/>
      <c r="CV133" s="14"/>
    </row>
    <row r="134" spans="1:100" x14ac:dyDescent="0.2">
      <c r="A134" s="14"/>
      <c r="B134" s="14"/>
      <c r="C134" s="14"/>
      <c r="D134" s="14"/>
      <c r="E134" s="14"/>
      <c r="F134" s="14"/>
      <c r="G134" s="14"/>
      <c r="H134" s="14"/>
      <c r="I134" s="14"/>
      <c r="J134" s="14"/>
      <c r="K134" s="14"/>
      <c r="L134" s="15"/>
      <c r="M134" s="14"/>
      <c r="N134" s="14"/>
      <c r="O134" s="14"/>
      <c r="P134" s="14"/>
      <c r="Q134" s="16"/>
      <c r="R134" s="14"/>
      <c r="Z134" s="16"/>
      <c r="AC134" s="14"/>
      <c r="AD134" s="14"/>
      <c r="AE134" s="14"/>
      <c r="AF134" s="14"/>
      <c r="AG134" s="14"/>
      <c r="AH134" s="14"/>
      <c r="AI134" s="14"/>
      <c r="AJ134" s="14"/>
      <c r="AK134" s="14"/>
      <c r="AL134" s="14"/>
      <c r="AS134" s="14"/>
      <c r="AT134" s="14"/>
      <c r="AU134" s="14"/>
      <c r="AV134" s="14"/>
      <c r="AW134" s="14"/>
      <c r="AX134" s="14"/>
      <c r="AY134" s="14"/>
      <c r="BA134" s="14"/>
      <c r="BE134" s="16"/>
      <c r="BH134" s="14"/>
      <c r="BI134" s="14"/>
      <c r="BJ134" s="14"/>
      <c r="BK134" s="14"/>
      <c r="BL134" s="14"/>
      <c r="BM134" s="14"/>
      <c r="BN134" s="14"/>
      <c r="BO134" s="14"/>
      <c r="BP134" s="14"/>
      <c r="BQ134" s="14"/>
      <c r="BX134" s="14"/>
      <c r="BY134" s="14"/>
      <c r="BZ134" s="14"/>
      <c r="CA134" s="14"/>
      <c r="CB134" s="14"/>
      <c r="CC134" s="14"/>
      <c r="CD134" s="14"/>
      <c r="CF134" s="14"/>
      <c r="CJ134" s="16"/>
      <c r="CM134" s="14"/>
      <c r="CN134" s="14"/>
      <c r="CO134" s="14"/>
      <c r="CP134" s="14"/>
      <c r="CQ134" s="14"/>
      <c r="CR134" s="14"/>
      <c r="CS134" s="14"/>
      <c r="CT134" s="14"/>
      <c r="CU134" s="14"/>
      <c r="CV134" s="14"/>
    </row>
    <row r="135" spans="1:100" x14ac:dyDescent="0.2">
      <c r="A135" s="14"/>
      <c r="B135" s="14"/>
      <c r="C135" s="14"/>
      <c r="D135" s="14"/>
      <c r="E135" s="14"/>
      <c r="F135" s="14"/>
      <c r="G135" s="14"/>
      <c r="H135" s="14"/>
      <c r="I135" s="14"/>
      <c r="J135" s="14"/>
      <c r="K135" s="14"/>
      <c r="L135" s="15"/>
      <c r="M135" s="14"/>
      <c r="N135" s="14"/>
      <c r="O135" s="14"/>
      <c r="P135" s="14"/>
      <c r="Q135" s="16"/>
      <c r="R135" s="14"/>
      <c r="Z135" s="16"/>
      <c r="AC135" s="14"/>
      <c r="AD135" s="14"/>
      <c r="AE135" s="14"/>
      <c r="AF135" s="14"/>
      <c r="AG135" s="14"/>
      <c r="AH135" s="14"/>
      <c r="AI135" s="14"/>
      <c r="AJ135" s="14"/>
      <c r="AK135" s="14"/>
      <c r="AL135" s="14"/>
      <c r="AS135" s="14"/>
      <c r="AT135" s="14"/>
      <c r="AU135" s="14"/>
      <c r="AV135" s="14"/>
      <c r="AW135" s="14"/>
      <c r="AX135" s="14"/>
      <c r="AY135" s="14"/>
      <c r="BA135" s="14"/>
      <c r="BE135" s="16"/>
      <c r="BH135" s="14"/>
      <c r="BI135" s="14"/>
      <c r="BJ135" s="14"/>
      <c r="BK135" s="14"/>
      <c r="BL135" s="14"/>
      <c r="BM135" s="14"/>
      <c r="BN135" s="14"/>
      <c r="BO135" s="14"/>
      <c r="BP135" s="14"/>
      <c r="BQ135" s="14"/>
      <c r="BX135" s="14"/>
      <c r="BY135" s="14"/>
      <c r="BZ135" s="14"/>
      <c r="CA135" s="14"/>
      <c r="CB135" s="14"/>
      <c r="CC135" s="14"/>
      <c r="CD135" s="14"/>
      <c r="CF135" s="14"/>
      <c r="CJ135" s="16"/>
      <c r="CM135" s="14"/>
      <c r="CN135" s="14"/>
      <c r="CO135" s="14"/>
      <c r="CP135" s="14"/>
      <c r="CQ135" s="14"/>
      <c r="CR135" s="14"/>
      <c r="CS135" s="14"/>
      <c r="CT135" s="14"/>
      <c r="CU135" s="14"/>
      <c r="CV135" s="14"/>
    </row>
    <row r="136" spans="1:100" x14ac:dyDescent="0.2">
      <c r="A136" s="14"/>
      <c r="B136" s="14"/>
      <c r="C136" s="14"/>
      <c r="D136" s="14"/>
      <c r="E136" s="14"/>
      <c r="F136" s="14"/>
      <c r="G136" s="14"/>
      <c r="H136" s="14"/>
      <c r="I136" s="14"/>
      <c r="J136" s="14"/>
      <c r="K136" s="14"/>
      <c r="L136" s="15"/>
      <c r="M136" s="14"/>
      <c r="N136" s="14"/>
      <c r="O136" s="14"/>
      <c r="P136" s="14"/>
      <c r="Q136" s="16"/>
      <c r="R136" s="14"/>
      <c r="Z136" s="16"/>
      <c r="AC136" s="14"/>
      <c r="AD136" s="14"/>
      <c r="AE136" s="14"/>
      <c r="AF136" s="14"/>
      <c r="AG136" s="14"/>
      <c r="AH136" s="14"/>
      <c r="AI136" s="14"/>
      <c r="AJ136" s="14"/>
      <c r="AK136" s="14"/>
      <c r="AL136" s="14"/>
      <c r="AS136" s="14"/>
      <c r="AT136" s="14"/>
      <c r="AU136" s="14"/>
      <c r="AV136" s="14"/>
      <c r="AW136" s="14"/>
      <c r="AX136" s="14"/>
      <c r="AY136" s="14"/>
      <c r="BA136" s="14"/>
      <c r="BE136" s="16"/>
      <c r="BH136" s="14"/>
      <c r="BI136" s="14"/>
      <c r="BJ136" s="14"/>
      <c r="BK136" s="14"/>
      <c r="BL136" s="14"/>
      <c r="BM136" s="14"/>
      <c r="BN136" s="14"/>
      <c r="BO136" s="14"/>
      <c r="BP136" s="14"/>
      <c r="BQ136" s="14"/>
      <c r="BX136" s="14"/>
      <c r="BY136" s="14"/>
      <c r="BZ136" s="14"/>
      <c r="CA136" s="14"/>
      <c r="CB136" s="14"/>
      <c r="CC136" s="14"/>
      <c r="CD136" s="14"/>
      <c r="CF136" s="14"/>
      <c r="CJ136" s="16"/>
      <c r="CM136" s="14"/>
      <c r="CN136" s="14"/>
      <c r="CO136" s="14"/>
      <c r="CP136" s="14"/>
      <c r="CQ136" s="14"/>
      <c r="CR136" s="14"/>
      <c r="CS136" s="14"/>
      <c r="CT136" s="14"/>
      <c r="CU136" s="14"/>
      <c r="CV136" s="14"/>
    </row>
    <row r="137" spans="1:100" x14ac:dyDescent="0.2">
      <c r="A137" s="14"/>
      <c r="B137" s="14"/>
      <c r="C137" s="14"/>
      <c r="D137" s="14"/>
      <c r="E137" s="14"/>
      <c r="F137" s="14"/>
      <c r="G137" s="14"/>
      <c r="H137" s="14"/>
      <c r="I137" s="14"/>
      <c r="J137" s="14"/>
      <c r="K137" s="14"/>
      <c r="L137" s="15"/>
      <c r="M137" s="14"/>
      <c r="N137" s="14"/>
      <c r="O137" s="14"/>
      <c r="P137" s="14"/>
      <c r="Q137" s="16"/>
      <c r="R137" s="14"/>
      <c r="Z137" s="16"/>
      <c r="AC137" s="14"/>
      <c r="AD137" s="14"/>
      <c r="AE137" s="14"/>
      <c r="AF137" s="14"/>
      <c r="AG137" s="14"/>
      <c r="AH137" s="14"/>
      <c r="AI137" s="14"/>
      <c r="AJ137" s="14"/>
      <c r="AK137" s="14"/>
      <c r="AL137" s="14"/>
      <c r="AS137" s="14"/>
      <c r="AT137" s="14"/>
      <c r="AU137" s="14"/>
      <c r="AV137" s="14"/>
      <c r="AW137" s="14"/>
      <c r="AX137" s="14"/>
      <c r="AY137" s="14"/>
      <c r="BA137" s="14"/>
      <c r="BE137" s="16"/>
      <c r="BH137" s="14"/>
      <c r="BI137" s="14"/>
      <c r="BJ137" s="14"/>
      <c r="BK137" s="14"/>
      <c r="BL137" s="14"/>
      <c r="BM137" s="14"/>
      <c r="BN137" s="14"/>
      <c r="BO137" s="14"/>
      <c r="BP137" s="14"/>
      <c r="BQ137" s="14"/>
      <c r="BX137" s="14"/>
      <c r="BY137" s="14"/>
      <c r="BZ137" s="14"/>
      <c r="CA137" s="14"/>
      <c r="CB137" s="14"/>
      <c r="CC137" s="14"/>
      <c r="CD137" s="14"/>
      <c r="CF137" s="14"/>
      <c r="CJ137" s="16"/>
      <c r="CM137" s="14"/>
      <c r="CN137" s="14"/>
      <c r="CO137" s="14"/>
      <c r="CP137" s="14"/>
      <c r="CQ137" s="14"/>
      <c r="CR137" s="14"/>
      <c r="CS137" s="14"/>
      <c r="CT137" s="14"/>
      <c r="CU137" s="14"/>
      <c r="CV137" s="14"/>
    </row>
    <row r="138" spans="1:100" x14ac:dyDescent="0.2">
      <c r="A138" s="14"/>
      <c r="B138" s="14"/>
      <c r="C138" s="14"/>
      <c r="D138" s="14"/>
      <c r="E138" s="14"/>
      <c r="F138" s="14"/>
      <c r="G138" s="14"/>
      <c r="H138" s="14"/>
      <c r="I138" s="14"/>
      <c r="J138" s="14"/>
      <c r="K138" s="14"/>
      <c r="L138" s="15"/>
      <c r="M138" s="14"/>
      <c r="N138" s="14"/>
      <c r="O138" s="14"/>
      <c r="P138" s="14"/>
      <c r="Q138" s="16"/>
      <c r="R138" s="14"/>
      <c r="Z138" s="16"/>
      <c r="AC138" s="14"/>
      <c r="AD138" s="14"/>
      <c r="AE138" s="14"/>
      <c r="AF138" s="14"/>
      <c r="AG138" s="14"/>
      <c r="AH138" s="14"/>
      <c r="AI138" s="14"/>
      <c r="AJ138" s="14"/>
      <c r="AK138" s="14"/>
      <c r="AL138" s="14"/>
      <c r="AS138" s="14"/>
      <c r="AT138" s="14"/>
      <c r="AU138" s="14"/>
      <c r="AV138" s="14"/>
      <c r="AW138" s="14"/>
      <c r="AX138" s="14"/>
      <c r="AY138" s="14"/>
      <c r="BA138" s="14"/>
      <c r="BE138" s="16"/>
      <c r="BH138" s="14"/>
      <c r="BI138" s="14"/>
      <c r="BJ138" s="14"/>
      <c r="BK138" s="14"/>
      <c r="BL138" s="14"/>
      <c r="BM138" s="14"/>
      <c r="BN138" s="14"/>
      <c r="BO138" s="14"/>
      <c r="BP138" s="14"/>
      <c r="BQ138" s="14"/>
      <c r="BX138" s="14"/>
      <c r="BY138" s="14"/>
      <c r="BZ138" s="14"/>
      <c r="CA138" s="14"/>
      <c r="CB138" s="14"/>
      <c r="CC138" s="14"/>
      <c r="CD138" s="14"/>
      <c r="CF138" s="14"/>
      <c r="CJ138" s="16"/>
      <c r="CM138" s="14"/>
      <c r="CN138" s="14"/>
      <c r="CO138" s="14"/>
      <c r="CP138" s="14"/>
      <c r="CQ138" s="14"/>
      <c r="CR138" s="14"/>
      <c r="CS138" s="14"/>
      <c r="CT138" s="14"/>
      <c r="CU138" s="14"/>
      <c r="CV138" s="14"/>
    </row>
    <row r="139" spans="1:100" x14ac:dyDescent="0.2">
      <c r="A139" s="14"/>
      <c r="B139" s="14"/>
      <c r="C139" s="14"/>
      <c r="D139" s="14"/>
      <c r="E139" s="14"/>
      <c r="F139" s="14"/>
      <c r="G139" s="14"/>
      <c r="H139" s="14"/>
      <c r="I139" s="14"/>
      <c r="J139" s="14"/>
      <c r="K139" s="14"/>
      <c r="L139" s="15"/>
      <c r="M139" s="14"/>
      <c r="N139" s="14"/>
      <c r="O139" s="14"/>
      <c r="P139" s="14"/>
      <c r="Q139" s="16"/>
      <c r="R139" s="14"/>
      <c r="Z139" s="16"/>
      <c r="AC139" s="14"/>
      <c r="AD139" s="14"/>
      <c r="AE139" s="14"/>
      <c r="AF139" s="14"/>
      <c r="AG139" s="14"/>
      <c r="AH139" s="14"/>
      <c r="AI139" s="14"/>
      <c r="AJ139" s="14"/>
      <c r="AK139" s="14"/>
      <c r="AL139" s="14"/>
      <c r="AS139" s="14"/>
      <c r="AT139" s="14"/>
      <c r="AU139" s="14"/>
      <c r="AV139" s="14"/>
      <c r="AW139" s="14"/>
      <c r="AX139" s="14"/>
      <c r="AY139" s="14"/>
      <c r="BA139" s="14"/>
      <c r="BE139" s="16"/>
      <c r="BH139" s="14"/>
      <c r="BI139" s="14"/>
      <c r="BJ139" s="14"/>
      <c r="BK139" s="14"/>
      <c r="BL139" s="14"/>
      <c r="BM139" s="14"/>
      <c r="BN139" s="14"/>
      <c r="BO139" s="14"/>
      <c r="BP139" s="14"/>
      <c r="BQ139" s="14"/>
      <c r="BX139" s="14"/>
      <c r="BY139" s="14"/>
      <c r="BZ139" s="14"/>
      <c r="CA139" s="14"/>
      <c r="CB139" s="14"/>
      <c r="CC139" s="14"/>
      <c r="CD139" s="14"/>
      <c r="CF139" s="14"/>
      <c r="CJ139" s="16"/>
      <c r="CM139" s="14"/>
      <c r="CN139" s="14"/>
      <c r="CO139" s="14"/>
      <c r="CP139" s="14"/>
      <c r="CQ139" s="14"/>
      <c r="CR139" s="14"/>
      <c r="CS139" s="14"/>
      <c r="CT139" s="14"/>
      <c r="CU139" s="14"/>
      <c r="CV139" s="14"/>
    </row>
    <row r="140" spans="1:100" x14ac:dyDescent="0.2">
      <c r="A140" s="14"/>
      <c r="B140" s="14"/>
      <c r="C140" s="14"/>
      <c r="D140" s="14"/>
      <c r="E140" s="14"/>
      <c r="F140" s="14"/>
      <c r="G140" s="14"/>
      <c r="H140" s="14"/>
      <c r="I140" s="14"/>
      <c r="J140" s="14"/>
      <c r="K140" s="14"/>
      <c r="L140" s="15"/>
      <c r="M140" s="14"/>
      <c r="N140" s="14"/>
      <c r="O140" s="14"/>
      <c r="P140" s="14"/>
      <c r="Q140" s="16"/>
      <c r="R140" s="14"/>
      <c r="Z140" s="16"/>
      <c r="AC140" s="14"/>
      <c r="AD140" s="14"/>
      <c r="AE140" s="14"/>
      <c r="AF140" s="14"/>
      <c r="AG140" s="14"/>
      <c r="AH140" s="14"/>
      <c r="AI140" s="14"/>
      <c r="AJ140" s="14"/>
      <c r="AK140" s="14"/>
      <c r="AL140" s="14"/>
      <c r="AS140" s="14"/>
      <c r="AT140" s="14"/>
      <c r="AU140" s="14"/>
      <c r="AV140" s="14"/>
      <c r="AW140" s="14"/>
      <c r="AX140" s="14"/>
      <c r="AY140" s="14"/>
      <c r="BA140" s="14"/>
      <c r="BE140" s="16"/>
      <c r="BH140" s="14"/>
      <c r="BI140" s="14"/>
      <c r="BJ140" s="14"/>
      <c r="BK140" s="14"/>
      <c r="BL140" s="14"/>
      <c r="BM140" s="14"/>
      <c r="BN140" s="14"/>
      <c r="BO140" s="14"/>
      <c r="BP140" s="14"/>
      <c r="BQ140" s="14"/>
      <c r="BX140" s="14"/>
      <c r="BY140" s="14"/>
      <c r="BZ140" s="14"/>
      <c r="CA140" s="14"/>
      <c r="CB140" s="14"/>
      <c r="CC140" s="14"/>
      <c r="CD140" s="14"/>
      <c r="CF140" s="14"/>
      <c r="CJ140" s="16"/>
      <c r="CM140" s="14"/>
      <c r="CN140" s="14"/>
      <c r="CO140" s="14"/>
      <c r="CP140" s="14"/>
      <c r="CQ140" s="14"/>
      <c r="CR140" s="14"/>
      <c r="CS140" s="14"/>
      <c r="CT140" s="14"/>
      <c r="CU140" s="14"/>
      <c r="CV140" s="14"/>
    </row>
    <row r="141" spans="1:100" x14ac:dyDescent="0.2">
      <c r="A141" s="14"/>
      <c r="B141" s="14"/>
      <c r="C141" s="14"/>
      <c r="D141" s="14"/>
      <c r="E141" s="14"/>
      <c r="F141" s="14"/>
      <c r="G141" s="14"/>
      <c r="H141" s="14"/>
      <c r="I141" s="14"/>
      <c r="J141" s="14"/>
      <c r="K141" s="14"/>
      <c r="L141" s="15"/>
      <c r="M141" s="14"/>
      <c r="N141" s="14"/>
      <c r="O141" s="14"/>
      <c r="P141" s="14"/>
      <c r="Q141" s="16"/>
      <c r="R141" s="14"/>
      <c r="Z141" s="16"/>
      <c r="AC141" s="14"/>
      <c r="AD141" s="14"/>
      <c r="AE141" s="14"/>
      <c r="AF141" s="14"/>
      <c r="AG141" s="14"/>
      <c r="AH141" s="14"/>
      <c r="AI141" s="14"/>
      <c r="AJ141" s="14"/>
      <c r="AK141" s="14"/>
      <c r="AL141" s="14"/>
      <c r="AS141" s="14"/>
      <c r="AT141" s="14"/>
      <c r="AU141" s="14"/>
      <c r="AV141" s="14"/>
      <c r="AW141" s="14"/>
      <c r="AX141" s="14"/>
      <c r="AY141" s="14"/>
      <c r="BA141" s="14"/>
      <c r="BE141" s="16"/>
      <c r="BH141" s="14"/>
      <c r="BI141" s="14"/>
      <c r="BJ141" s="14"/>
      <c r="BK141" s="14"/>
      <c r="BL141" s="14"/>
      <c r="BM141" s="14"/>
      <c r="BN141" s="14"/>
      <c r="BO141" s="14"/>
      <c r="BP141" s="14"/>
      <c r="BQ141" s="14"/>
      <c r="BX141" s="14"/>
      <c r="BY141" s="14"/>
      <c r="BZ141" s="14"/>
      <c r="CA141" s="14"/>
      <c r="CB141" s="14"/>
      <c r="CC141" s="14"/>
      <c r="CD141" s="14"/>
      <c r="CF141" s="14"/>
      <c r="CJ141" s="16"/>
      <c r="CM141" s="14"/>
      <c r="CN141" s="14"/>
      <c r="CO141" s="14"/>
      <c r="CP141" s="14"/>
      <c r="CQ141" s="14"/>
      <c r="CR141" s="14"/>
      <c r="CS141" s="14"/>
      <c r="CT141" s="14"/>
      <c r="CU141" s="14"/>
      <c r="CV141" s="14"/>
    </row>
    <row r="142" spans="1:100" x14ac:dyDescent="0.2">
      <c r="A142" s="14"/>
      <c r="B142" s="14"/>
      <c r="C142" s="14"/>
      <c r="D142" s="14"/>
      <c r="E142" s="14"/>
      <c r="F142" s="14"/>
      <c r="G142" s="14"/>
      <c r="H142" s="14"/>
      <c r="I142" s="14"/>
      <c r="J142" s="14"/>
      <c r="K142" s="14"/>
      <c r="L142" s="15"/>
      <c r="M142" s="14"/>
      <c r="N142" s="14"/>
      <c r="O142" s="14"/>
      <c r="P142" s="14"/>
      <c r="Q142" s="16"/>
      <c r="R142" s="14"/>
      <c r="Z142" s="16"/>
      <c r="AC142" s="14"/>
      <c r="AD142" s="14"/>
      <c r="AE142" s="14"/>
      <c r="AF142" s="14"/>
      <c r="AG142" s="14"/>
      <c r="AH142" s="14"/>
      <c r="AI142" s="14"/>
      <c r="AJ142" s="14"/>
      <c r="AK142" s="14"/>
      <c r="AL142" s="14"/>
      <c r="AS142" s="14"/>
      <c r="AT142" s="14"/>
      <c r="AU142" s="14"/>
      <c r="AV142" s="14"/>
      <c r="AW142" s="14"/>
      <c r="AX142" s="14"/>
      <c r="AY142" s="14"/>
      <c r="BA142" s="14"/>
      <c r="BE142" s="16"/>
      <c r="BH142" s="14"/>
      <c r="BI142" s="14"/>
      <c r="BJ142" s="14"/>
      <c r="BK142" s="14"/>
      <c r="BL142" s="14"/>
      <c r="BM142" s="14"/>
      <c r="BN142" s="14"/>
      <c r="BO142" s="14"/>
      <c r="BP142" s="14"/>
      <c r="BQ142" s="14"/>
      <c r="BX142" s="14"/>
      <c r="BY142" s="14"/>
      <c r="BZ142" s="14"/>
      <c r="CA142" s="14"/>
      <c r="CB142" s="14"/>
      <c r="CC142" s="14"/>
      <c r="CD142" s="14"/>
      <c r="CF142" s="14"/>
      <c r="CJ142" s="16"/>
      <c r="CM142" s="14"/>
      <c r="CN142" s="14"/>
      <c r="CO142" s="14"/>
      <c r="CP142" s="14"/>
      <c r="CQ142" s="14"/>
      <c r="CR142" s="14"/>
      <c r="CS142" s="14"/>
      <c r="CT142" s="14"/>
      <c r="CU142" s="14"/>
      <c r="CV142" s="14"/>
    </row>
    <row r="143" spans="1:100" x14ac:dyDescent="0.2">
      <c r="A143" s="14"/>
      <c r="B143" s="14"/>
      <c r="C143" s="14"/>
      <c r="D143" s="14"/>
      <c r="E143" s="14"/>
      <c r="F143" s="14"/>
      <c r="G143" s="14"/>
      <c r="H143" s="14"/>
      <c r="I143" s="14"/>
      <c r="J143" s="14"/>
      <c r="K143" s="14"/>
      <c r="L143" s="15"/>
      <c r="M143" s="14"/>
      <c r="N143" s="14"/>
      <c r="O143" s="14"/>
      <c r="P143" s="14"/>
      <c r="Q143" s="16"/>
      <c r="R143" s="14"/>
      <c r="Z143" s="16"/>
      <c r="AC143" s="14"/>
      <c r="AD143" s="14"/>
      <c r="AE143" s="14"/>
      <c r="AF143" s="14"/>
      <c r="AG143" s="14"/>
      <c r="AH143" s="14"/>
      <c r="AI143" s="14"/>
      <c r="AJ143" s="14"/>
      <c r="AK143" s="14"/>
      <c r="AL143" s="14"/>
      <c r="AS143" s="14"/>
      <c r="AT143" s="14"/>
      <c r="AU143" s="14"/>
      <c r="AV143" s="14"/>
      <c r="AW143" s="14"/>
      <c r="AX143" s="14"/>
      <c r="AY143" s="14"/>
      <c r="BA143" s="14"/>
      <c r="BE143" s="16"/>
      <c r="BH143" s="14"/>
      <c r="BI143" s="14"/>
      <c r="BJ143" s="14"/>
      <c r="BK143" s="14"/>
      <c r="BL143" s="14"/>
      <c r="BM143" s="14"/>
      <c r="BN143" s="14"/>
      <c r="BO143" s="14"/>
      <c r="BP143" s="14"/>
      <c r="BQ143" s="14"/>
      <c r="BX143" s="14"/>
      <c r="BY143" s="14"/>
      <c r="BZ143" s="14"/>
      <c r="CA143" s="14"/>
      <c r="CB143" s="14"/>
      <c r="CC143" s="14"/>
      <c r="CD143" s="14"/>
      <c r="CF143" s="14"/>
      <c r="CJ143" s="16"/>
      <c r="CM143" s="14"/>
      <c r="CN143" s="14"/>
      <c r="CO143" s="14"/>
      <c r="CP143" s="14"/>
      <c r="CQ143" s="14"/>
      <c r="CR143" s="14"/>
      <c r="CS143" s="14"/>
      <c r="CT143" s="14"/>
      <c r="CU143" s="14"/>
      <c r="CV143" s="14"/>
    </row>
    <row r="144" spans="1:100" x14ac:dyDescent="0.2">
      <c r="A144" s="14"/>
      <c r="B144" s="14"/>
      <c r="C144" s="14"/>
      <c r="D144" s="14"/>
      <c r="E144" s="14"/>
      <c r="F144" s="14"/>
      <c r="G144" s="14"/>
      <c r="H144" s="14"/>
      <c r="I144" s="14"/>
      <c r="J144" s="14"/>
      <c r="K144" s="14"/>
      <c r="L144" s="15"/>
      <c r="M144" s="14"/>
      <c r="N144" s="14"/>
      <c r="O144" s="14"/>
      <c r="P144" s="14"/>
      <c r="Q144" s="16"/>
      <c r="R144" s="14"/>
      <c r="Z144" s="16"/>
      <c r="AC144" s="14"/>
      <c r="AD144" s="14"/>
      <c r="AE144" s="14"/>
      <c r="AF144" s="14"/>
      <c r="AG144" s="14"/>
      <c r="AH144" s="14"/>
      <c r="AI144" s="14"/>
      <c r="AJ144" s="14"/>
      <c r="AK144" s="14"/>
      <c r="AL144" s="14"/>
      <c r="AS144" s="14"/>
      <c r="AT144" s="14"/>
      <c r="AU144" s="14"/>
      <c r="AV144" s="14"/>
      <c r="AW144" s="14"/>
      <c r="AX144" s="14"/>
      <c r="AY144" s="14"/>
      <c r="BA144" s="14"/>
      <c r="BE144" s="16"/>
      <c r="BH144" s="14"/>
      <c r="BI144" s="14"/>
      <c r="BJ144" s="14"/>
      <c r="BK144" s="14"/>
      <c r="BL144" s="14"/>
      <c r="BM144" s="14"/>
      <c r="BN144" s="14"/>
      <c r="BO144" s="14"/>
      <c r="BP144" s="14"/>
      <c r="BQ144" s="14"/>
      <c r="BX144" s="14"/>
      <c r="BY144" s="14"/>
      <c r="BZ144" s="14"/>
      <c r="CA144" s="14"/>
      <c r="CB144" s="14"/>
      <c r="CC144" s="14"/>
      <c r="CD144" s="14"/>
      <c r="CF144" s="14"/>
      <c r="CJ144" s="16"/>
      <c r="CM144" s="14"/>
      <c r="CN144" s="14"/>
      <c r="CO144" s="14"/>
      <c r="CP144" s="14"/>
      <c r="CQ144" s="14"/>
      <c r="CR144" s="14"/>
      <c r="CS144" s="14"/>
      <c r="CT144" s="14"/>
      <c r="CU144" s="14"/>
      <c r="CV144" s="14"/>
    </row>
    <row r="145" spans="1:100" x14ac:dyDescent="0.2">
      <c r="A145" s="14"/>
      <c r="B145" s="14"/>
      <c r="C145" s="14"/>
      <c r="D145" s="14"/>
      <c r="E145" s="14"/>
      <c r="F145" s="14"/>
      <c r="G145" s="14"/>
      <c r="H145" s="14"/>
      <c r="I145" s="14"/>
      <c r="J145" s="14"/>
      <c r="K145" s="14"/>
      <c r="L145" s="15"/>
      <c r="M145" s="14"/>
      <c r="N145" s="14"/>
      <c r="O145" s="14"/>
      <c r="P145" s="14"/>
      <c r="Q145" s="16"/>
      <c r="R145" s="14"/>
      <c r="Z145" s="16"/>
      <c r="AC145" s="14"/>
      <c r="AD145" s="14"/>
      <c r="AE145" s="14"/>
      <c r="AF145" s="14"/>
      <c r="AG145" s="14"/>
      <c r="AH145" s="14"/>
      <c r="AI145" s="14"/>
      <c r="AJ145" s="14"/>
      <c r="AK145" s="14"/>
      <c r="AL145" s="14"/>
      <c r="AS145" s="14"/>
      <c r="AT145" s="14"/>
      <c r="AU145" s="14"/>
      <c r="AV145" s="14"/>
      <c r="AW145" s="14"/>
      <c r="AX145" s="14"/>
      <c r="AY145" s="14"/>
      <c r="BA145" s="14"/>
      <c r="BE145" s="16"/>
      <c r="BH145" s="14"/>
      <c r="BI145" s="14"/>
      <c r="BJ145" s="14"/>
      <c r="BK145" s="14"/>
      <c r="BL145" s="14"/>
      <c r="BM145" s="14"/>
      <c r="BN145" s="14"/>
      <c r="BO145" s="14"/>
      <c r="BP145" s="14"/>
      <c r="BQ145" s="14"/>
      <c r="BX145" s="14"/>
      <c r="BY145" s="14"/>
      <c r="BZ145" s="14"/>
      <c r="CA145" s="14"/>
      <c r="CB145" s="14"/>
      <c r="CC145" s="14"/>
      <c r="CD145" s="14"/>
      <c r="CF145" s="14"/>
      <c r="CJ145" s="16"/>
      <c r="CM145" s="14"/>
      <c r="CN145" s="14"/>
      <c r="CO145" s="14"/>
      <c r="CP145" s="14"/>
      <c r="CQ145" s="14"/>
      <c r="CR145" s="14"/>
      <c r="CS145" s="14"/>
      <c r="CT145" s="14"/>
      <c r="CU145" s="14"/>
      <c r="CV145" s="14"/>
    </row>
    <row r="146" spans="1:100" x14ac:dyDescent="0.2">
      <c r="A146" s="14"/>
      <c r="B146" s="14"/>
      <c r="C146" s="14"/>
      <c r="D146" s="14"/>
      <c r="E146" s="14"/>
      <c r="F146" s="14"/>
      <c r="G146" s="14"/>
      <c r="H146" s="14"/>
      <c r="I146" s="14"/>
      <c r="J146" s="14"/>
      <c r="K146" s="14"/>
      <c r="L146" s="15"/>
      <c r="M146" s="14"/>
      <c r="N146" s="14"/>
      <c r="O146" s="14"/>
      <c r="P146" s="14"/>
      <c r="Q146" s="16"/>
      <c r="R146" s="14"/>
      <c r="Z146" s="16"/>
      <c r="AC146" s="14"/>
      <c r="AD146" s="14"/>
      <c r="AE146" s="14"/>
      <c r="AF146" s="14"/>
      <c r="AG146" s="14"/>
      <c r="AH146" s="14"/>
      <c r="AI146" s="14"/>
      <c r="AJ146" s="14"/>
      <c r="AK146" s="14"/>
      <c r="AL146" s="14"/>
      <c r="AS146" s="14"/>
      <c r="AT146" s="14"/>
      <c r="AU146" s="14"/>
      <c r="AV146" s="14"/>
      <c r="AW146" s="14"/>
      <c r="AX146" s="14"/>
      <c r="AY146" s="14"/>
      <c r="BA146" s="14"/>
      <c r="BE146" s="16"/>
      <c r="BH146" s="14"/>
      <c r="BI146" s="14"/>
      <c r="BJ146" s="14"/>
      <c r="BK146" s="14"/>
      <c r="BL146" s="14"/>
      <c r="BM146" s="14"/>
      <c r="BN146" s="14"/>
      <c r="BO146" s="14"/>
      <c r="BP146" s="14"/>
      <c r="BQ146" s="14"/>
      <c r="BX146" s="14"/>
      <c r="BY146" s="14"/>
      <c r="BZ146" s="14"/>
      <c r="CA146" s="14"/>
      <c r="CB146" s="14"/>
      <c r="CC146" s="14"/>
      <c r="CD146" s="14"/>
      <c r="CF146" s="14"/>
      <c r="CJ146" s="16"/>
      <c r="CM146" s="14"/>
      <c r="CN146" s="14"/>
      <c r="CO146" s="14"/>
      <c r="CP146" s="14"/>
      <c r="CQ146" s="14"/>
      <c r="CR146" s="14"/>
      <c r="CS146" s="14"/>
      <c r="CT146" s="14"/>
      <c r="CU146" s="14"/>
      <c r="CV146" s="14"/>
    </row>
    <row r="147" spans="1:100" x14ac:dyDescent="0.2">
      <c r="A147" s="14"/>
      <c r="B147" s="14"/>
      <c r="C147" s="14"/>
      <c r="D147" s="14"/>
      <c r="E147" s="14"/>
      <c r="F147" s="14"/>
      <c r="G147" s="14"/>
      <c r="H147" s="14"/>
      <c r="I147" s="14"/>
      <c r="J147" s="14"/>
      <c r="K147" s="14"/>
      <c r="L147" s="15"/>
      <c r="M147" s="14"/>
      <c r="N147" s="14"/>
      <c r="O147" s="14"/>
      <c r="P147" s="14"/>
      <c r="Q147" s="16"/>
      <c r="R147" s="14"/>
      <c r="Z147" s="16"/>
      <c r="AC147" s="14"/>
      <c r="AD147" s="14"/>
      <c r="AE147" s="14"/>
      <c r="AF147" s="14"/>
      <c r="AG147" s="14"/>
      <c r="AH147" s="14"/>
      <c r="AI147" s="14"/>
      <c r="AJ147" s="14"/>
      <c r="AK147" s="14"/>
      <c r="AL147" s="14"/>
      <c r="AS147" s="14"/>
      <c r="AT147" s="14"/>
      <c r="AU147" s="14"/>
      <c r="AV147" s="14"/>
      <c r="AW147" s="14"/>
      <c r="AX147" s="14"/>
      <c r="AY147" s="14"/>
      <c r="BA147" s="14"/>
      <c r="BE147" s="16"/>
      <c r="BH147" s="14"/>
      <c r="BI147" s="14"/>
      <c r="BJ147" s="14"/>
      <c r="BK147" s="14"/>
      <c r="BL147" s="14"/>
      <c r="BM147" s="14"/>
      <c r="BN147" s="14"/>
      <c r="BO147" s="14"/>
      <c r="BP147" s="14"/>
      <c r="BQ147" s="14"/>
      <c r="BX147" s="14"/>
      <c r="BY147" s="14"/>
      <c r="BZ147" s="14"/>
      <c r="CA147" s="14"/>
      <c r="CB147" s="14"/>
      <c r="CC147" s="14"/>
      <c r="CD147" s="14"/>
      <c r="CF147" s="14"/>
      <c r="CJ147" s="16"/>
      <c r="CM147" s="14"/>
      <c r="CN147" s="14"/>
      <c r="CO147" s="14"/>
      <c r="CP147" s="14"/>
      <c r="CQ147" s="14"/>
      <c r="CR147" s="14"/>
      <c r="CS147" s="14"/>
      <c r="CT147" s="14"/>
      <c r="CU147" s="14"/>
      <c r="CV147" s="14"/>
    </row>
    <row r="148" spans="1:100" x14ac:dyDescent="0.2">
      <c r="A148" s="14"/>
      <c r="B148" s="14"/>
      <c r="C148" s="14"/>
      <c r="D148" s="14"/>
      <c r="E148" s="14"/>
      <c r="F148" s="14"/>
      <c r="G148" s="14"/>
      <c r="H148" s="14"/>
      <c r="I148" s="14"/>
      <c r="J148" s="14"/>
      <c r="K148" s="14"/>
      <c r="L148" s="15"/>
      <c r="M148" s="14"/>
      <c r="N148" s="14"/>
      <c r="O148" s="14"/>
      <c r="P148" s="14"/>
      <c r="Q148" s="16"/>
      <c r="R148" s="14"/>
      <c r="Z148" s="16"/>
      <c r="AC148" s="14"/>
      <c r="AD148" s="14"/>
      <c r="AE148" s="14"/>
      <c r="AF148" s="14"/>
      <c r="AG148" s="14"/>
      <c r="AH148" s="14"/>
      <c r="AI148" s="14"/>
      <c r="AJ148" s="14"/>
      <c r="AK148" s="14"/>
      <c r="AL148" s="14"/>
      <c r="AS148" s="14"/>
      <c r="AT148" s="14"/>
      <c r="AU148" s="14"/>
      <c r="AV148" s="14"/>
      <c r="AW148" s="14"/>
      <c r="AX148" s="14"/>
      <c r="AY148" s="14"/>
      <c r="BA148" s="14"/>
      <c r="BE148" s="16"/>
      <c r="BH148" s="14"/>
      <c r="BI148" s="14"/>
      <c r="BJ148" s="14"/>
      <c r="BK148" s="14"/>
      <c r="BL148" s="14"/>
      <c r="BM148" s="14"/>
      <c r="BN148" s="14"/>
      <c r="BO148" s="14"/>
      <c r="BP148" s="14"/>
      <c r="BQ148" s="14"/>
      <c r="BX148" s="14"/>
      <c r="BY148" s="14"/>
      <c r="BZ148" s="14"/>
      <c r="CA148" s="14"/>
      <c r="CB148" s="14"/>
      <c r="CC148" s="14"/>
      <c r="CD148" s="14"/>
      <c r="CF148" s="14"/>
      <c r="CJ148" s="16"/>
      <c r="CM148" s="14"/>
      <c r="CN148" s="14"/>
      <c r="CO148" s="14"/>
      <c r="CP148" s="14"/>
      <c r="CQ148" s="14"/>
      <c r="CR148" s="14"/>
      <c r="CS148" s="14"/>
      <c r="CT148" s="14"/>
      <c r="CU148" s="14"/>
      <c r="CV148" s="14"/>
    </row>
    <row r="149" spans="1:100" x14ac:dyDescent="0.2">
      <c r="A149" s="14"/>
      <c r="B149" s="14"/>
      <c r="C149" s="14"/>
      <c r="D149" s="14"/>
      <c r="E149" s="14"/>
      <c r="F149" s="14"/>
      <c r="G149" s="14"/>
      <c r="H149" s="14"/>
      <c r="I149" s="14"/>
      <c r="J149" s="14"/>
      <c r="K149" s="14"/>
      <c r="L149" s="15"/>
      <c r="M149" s="14"/>
      <c r="N149" s="14"/>
      <c r="O149" s="14"/>
      <c r="P149" s="14"/>
      <c r="Q149" s="16"/>
      <c r="R149" s="14"/>
      <c r="Z149" s="16"/>
      <c r="AC149" s="14"/>
      <c r="AD149" s="14"/>
      <c r="AE149" s="14"/>
      <c r="AF149" s="14"/>
      <c r="AG149" s="14"/>
      <c r="AH149" s="14"/>
      <c r="AI149" s="14"/>
      <c r="AJ149" s="14"/>
      <c r="AK149" s="14"/>
      <c r="AL149" s="14"/>
      <c r="AS149" s="14"/>
      <c r="AT149" s="14"/>
      <c r="AU149" s="14"/>
      <c r="AV149" s="14"/>
      <c r="AW149" s="14"/>
      <c r="AX149" s="14"/>
      <c r="AY149" s="14"/>
      <c r="BA149" s="14"/>
      <c r="BE149" s="16"/>
      <c r="BH149" s="14"/>
      <c r="BI149" s="14"/>
      <c r="BJ149" s="14"/>
      <c r="BK149" s="14"/>
      <c r="BL149" s="14"/>
      <c r="BM149" s="14"/>
      <c r="BN149" s="14"/>
      <c r="BO149" s="14"/>
      <c r="BP149" s="14"/>
      <c r="BQ149" s="14"/>
      <c r="BX149" s="14"/>
      <c r="BY149" s="14"/>
      <c r="BZ149" s="14"/>
      <c r="CA149" s="14"/>
      <c r="CB149" s="14"/>
      <c r="CC149" s="14"/>
      <c r="CD149" s="14"/>
      <c r="CF149" s="14"/>
      <c r="CJ149" s="16"/>
      <c r="CM149" s="14"/>
      <c r="CN149" s="14"/>
      <c r="CO149" s="14"/>
      <c r="CP149" s="14"/>
      <c r="CQ149" s="14"/>
      <c r="CR149" s="14"/>
      <c r="CS149" s="14"/>
      <c r="CT149" s="14"/>
      <c r="CU149" s="14"/>
      <c r="CV149" s="14"/>
    </row>
    <row r="150" spans="1:100" x14ac:dyDescent="0.2">
      <c r="A150" s="14"/>
      <c r="B150" s="14"/>
      <c r="C150" s="14"/>
      <c r="D150" s="14"/>
      <c r="E150" s="14"/>
      <c r="F150" s="14"/>
      <c r="G150" s="14"/>
      <c r="H150" s="14"/>
      <c r="I150" s="14"/>
      <c r="J150" s="14"/>
      <c r="K150" s="14"/>
      <c r="L150" s="15"/>
      <c r="M150" s="14"/>
      <c r="N150" s="14"/>
      <c r="O150" s="14"/>
      <c r="P150" s="14"/>
      <c r="Q150" s="16"/>
      <c r="R150" s="14"/>
      <c r="Z150" s="16"/>
      <c r="AC150" s="14"/>
      <c r="AD150" s="14"/>
      <c r="AE150" s="14"/>
      <c r="AF150" s="14"/>
      <c r="AG150" s="14"/>
      <c r="AH150" s="14"/>
      <c r="AI150" s="14"/>
      <c r="AJ150" s="14"/>
      <c r="AK150" s="14"/>
      <c r="AL150" s="14"/>
      <c r="AS150" s="14"/>
      <c r="AT150" s="14"/>
      <c r="AU150" s="14"/>
      <c r="AV150" s="14"/>
      <c r="AW150" s="14"/>
      <c r="AX150" s="14"/>
      <c r="AY150" s="14"/>
      <c r="BA150" s="14"/>
      <c r="BE150" s="16"/>
      <c r="BH150" s="14"/>
      <c r="BI150" s="14"/>
      <c r="BJ150" s="14"/>
      <c r="BK150" s="14"/>
      <c r="BL150" s="14"/>
      <c r="BM150" s="14"/>
      <c r="BN150" s="14"/>
      <c r="BO150" s="14"/>
      <c r="BP150" s="14"/>
      <c r="BQ150" s="14"/>
      <c r="BX150" s="14"/>
      <c r="BY150" s="14"/>
      <c r="BZ150" s="14"/>
      <c r="CA150" s="14"/>
      <c r="CB150" s="14"/>
      <c r="CC150" s="14"/>
      <c r="CD150" s="14"/>
      <c r="CF150" s="14"/>
      <c r="CJ150" s="16"/>
      <c r="CM150" s="14"/>
      <c r="CN150" s="14"/>
      <c r="CO150" s="14"/>
      <c r="CP150" s="14"/>
      <c r="CQ150" s="14"/>
      <c r="CR150" s="14"/>
      <c r="CS150" s="14"/>
      <c r="CT150" s="14"/>
      <c r="CU150" s="14"/>
      <c r="CV150" s="14"/>
    </row>
    <row r="151" spans="1:100" x14ac:dyDescent="0.2">
      <c r="A151" s="14"/>
      <c r="B151" s="14"/>
      <c r="C151" s="14"/>
      <c r="D151" s="14"/>
      <c r="E151" s="14"/>
      <c r="F151" s="14"/>
      <c r="G151" s="14"/>
      <c r="H151" s="14"/>
      <c r="I151" s="14"/>
      <c r="J151" s="14"/>
      <c r="K151" s="14"/>
      <c r="L151" s="15"/>
      <c r="M151" s="14"/>
      <c r="N151" s="14"/>
      <c r="O151" s="14"/>
      <c r="P151" s="14"/>
      <c r="Q151" s="16"/>
      <c r="R151" s="14"/>
      <c r="Z151" s="16"/>
      <c r="AC151" s="14"/>
      <c r="AD151" s="14"/>
      <c r="AE151" s="14"/>
      <c r="AF151" s="14"/>
      <c r="AG151" s="14"/>
      <c r="AH151" s="14"/>
      <c r="AI151" s="14"/>
      <c r="AJ151" s="14"/>
      <c r="AK151" s="14"/>
      <c r="AL151" s="14"/>
      <c r="AS151" s="14"/>
      <c r="AT151" s="14"/>
      <c r="AU151" s="14"/>
      <c r="AV151" s="14"/>
      <c r="AW151" s="14"/>
      <c r="AX151" s="14"/>
      <c r="AY151" s="14"/>
      <c r="BA151" s="14"/>
      <c r="BE151" s="16"/>
      <c r="BH151" s="14"/>
      <c r="BI151" s="14"/>
      <c r="BJ151" s="14"/>
      <c r="BK151" s="14"/>
      <c r="BL151" s="14"/>
      <c r="BM151" s="14"/>
      <c r="BN151" s="14"/>
      <c r="BO151" s="14"/>
      <c r="BP151" s="14"/>
      <c r="BQ151" s="14"/>
      <c r="BX151" s="14"/>
      <c r="BY151" s="14"/>
      <c r="BZ151" s="14"/>
      <c r="CA151" s="14"/>
      <c r="CB151" s="14"/>
      <c r="CC151" s="14"/>
      <c r="CD151" s="14"/>
      <c r="CF151" s="14"/>
      <c r="CJ151" s="16"/>
      <c r="CM151" s="14"/>
      <c r="CN151" s="14"/>
      <c r="CO151" s="14"/>
      <c r="CP151" s="14"/>
      <c r="CQ151" s="14"/>
      <c r="CR151" s="14"/>
      <c r="CS151" s="14"/>
      <c r="CT151" s="14"/>
      <c r="CU151" s="14"/>
      <c r="CV151" s="14"/>
    </row>
    <row r="152" spans="1:100" x14ac:dyDescent="0.2">
      <c r="A152" s="14"/>
      <c r="B152" s="14"/>
      <c r="C152" s="14"/>
      <c r="D152" s="14"/>
      <c r="E152" s="14"/>
      <c r="F152" s="14"/>
      <c r="G152" s="14"/>
      <c r="H152" s="14"/>
      <c r="I152" s="14"/>
      <c r="J152" s="14"/>
      <c r="K152" s="14"/>
      <c r="L152" s="15"/>
      <c r="M152" s="14"/>
      <c r="N152" s="14"/>
      <c r="O152" s="14"/>
      <c r="P152" s="14"/>
      <c r="Q152" s="16"/>
      <c r="R152" s="14"/>
      <c r="Z152" s="16"/>
      <c r="AC152" s="14"/>
      <c r="AD152" s="14"/>
      <c r="AE152" s="14"/>
      <c r="AF152" s="14"/>
      <c r="AG152" s="14"/>
      <c r="AH152" s="14"/>
      <c r="AI152" s="14"/>
      <c r="AJ152" s="14"/>
      <c r="AK152" s="14"/>
      <c r="AL152" s="14"/>
      <c r="AS152" s="14"/>
      <c r="AT152" s="14"/>
      <c r="AU152" s="14"/>
      <c r="AV152" s="14"/>
      <c r="AW152" s="14"/>
      <c r="AX152" s="14"/>
      <c r="AY152" s="14"/>
      <c r="BA152" s="14"/>
      <c r="BE152" s="16"/>
      <c r="BH152" s="14"/>
      <c r="BI152" s="14"/>
      <c r="BJ152" s="14"/>
      <c r="BK152" s="14"/>
      <c r="BL152" s="14"/>
      <c r="BM152" s="14"/>
      <c r="BN152" s="14"/>
      <c r="BO152" s="14"/>
      <c r="BP152" s="14"/>
      <c r="BQ152" s="14"/>
      <c r="BX152" s="14"/>
      <c r="BY152" s="14"/>
      <c r="BZ152" s="14"/>
      <c r="CA152" s="14"/>
      <c r="CB152" s="14"/>
      <c r="CC152" s="14"/>
      <c r="CD152" s="14"/>
      <c r="CF152" s="14"/>
      <c r="CJ152" s="16"/>
      <c r="CM152" s="14"/>
      <c r="CN152" s="14"/>
      <c r="CO152" s="14"/>
      <c r="CP152" s="14"/>
      <c r="CQ152" s="14"/>
      <c r="CR152" s="14"/>
      <c r="CS152" s="14"/>
      <c r="CT152" s="14"/>
      <c r="CU152" s="14"/>
      <c r="CV152" s="14"/>
    </row>
    <row r="153" spans="1:100" x14ac:dyDescent="0.2">
      <c r="A153" s="14"/>
      <c r="B153" s="14"/>
      <c r="C153" s="14"/>
      <c r="D153" s="14"/>
      <c r="E153" s="14"/>
      <c r="F153" s="14"/>
      <c r="G153" s="14"/>
      <c r="H153" s="14"/>
      <c r="I153" s="14"/>
      <c r="J153" s="14"/>
      <c r="K153" s="14"/>
      <c r="L153" s="15"/>
      <c r="M153" s="14"/>
      <c r="N153" s="14"/>
      <c r="O153" s="14"/>
      <c r="P153" s="14"/>
      <c r="Q153" s="16"/>
      <c r="R153" s="14"/>
      <c r="Z153" s="16"/>
      <c r="AC153" s="14"/>
      <c r="AD153" s="14"/>
      <c r="AE153" s="14"/>
      <c r="AF153" s="14"/>
      <c r="AG153" s="14"/>
      <c r="AH153" s="14"/>
      <c r="AI153" s="14"/>
      <c r="AJ153" s="14"/>
      <c r="AK153" s="14"/>
      <c r="AL153" s="14"/>
      <c r="AS153" s="14"/>
      <c r="AT153" s="14"/>
      <c r="AU153" s="14"/>
      <c r="AV153" s="14"/>
      <c r="AW153" s="14"/>
      <c r="AX153" s="14"/>
      <c r="AY153" s="14"/>
      <c r="BA153" s="14"/>
      <c r="BE153" s="16"/>
      <c r="BH153" s="14"/>
      <c r="BI153" s="14"/>
      <c r="BJ153" s="14"/>
      <c r="BK153" s="14"/>
      <c r="BL153" s="14"/>
      <c r="BM153" s="14"/>
      <c r="BN153" s="14"/>
      <c r="BO153" s="14"/>
      <c r="BP153" s="14"/>
      <c r="BQ153" s="14"/>
      <c r="BX153" s="14"/>
      <c r="BY153" s="14"/>
      <c r="BZ153" s="14"/>
      <c r="CA153" s="14"/>
      <c r="CB153" s="14"/>
      <c r="CC153" s="14"/>
      <c r="CD153" s="14"/>
      <c r="CF153" s="14"/>
      <c r="CJ153" s="16"/>
      <c r="CM153" s="14"/>
      <c r="CN153" s="14"/>
      <c r="CO153" s="14"/>
      <c r="CP153" s="14"/>
      <c r="CQ153" s="14"/>
      <c r="CR153" s="14"/>
      <c r="CS153" s="14"/>
      <c r="CT153" s="14"/>
      <c r="CU153" s="14"/>
      <c r="CV153" s="14"/>
    </row>
    <row r="154" spans="1:100" x14ac:dyDescent="0.2">
      <c r="A154" s="14"/>
      <c r="B154" s="14"/>
      <c r="C154" s="14"/>
      <c r="D154" s="14"/>
      <c r="E154" s="14"/>
      <c r="F154" s="14"/>
      <c r="G154" s="14"/>
      <c r="H154" s="14"/>
      <c r="I154" s="14"/>
      <c r="J154" s="14"/>
      <c r="K154" s="14"/>
      <c r="L154" s="15"/>
      <c r="M154" s="14"/>
      <c r="N154" s="14"/>
      <c r="O154" s="14"/>
      <c r="P154" s="14"/>
      <c r="Q154" s="16"/>
      <c r="R154" s="14"/>
      <c r="Z154" s="16"/>
      <c r="AC154" s="14"/>
      <c r="AD154" s="14"/>
      <c r="AE154" s="14"/>
      <c r="AF154" s="14"/>
      <c r="AG154" s="14"/>
      <c r="AH154" s="14"/>
      <c r="AI154" s="14"/>
      <c r="AJ154" s="14"/>
      <c r="AK154" s="14"/>
      <c r="AL154" s="14"/>
      <c r="AS154" s="14"/>
      <c r="AT154" s="14"/>
      <c r="AU154" s="14"/>
      <c r="AV154" s="14"/>
      <c r="AW154" s="14"/>
      <c r="AX154" s="14"/>
      <c r="AY154" s="14"/>
      <c r="BA154" s="14"/>
      <c r="BE154" s="16"/>
      <c r="BH154" s="14"/>
      <c r="BI154" s="14"/>
      <c r="BJ154" s="14"/>
      <c r="BK154" s="14"/>
      <c r="BL154" s="14"/>
      <c r="BM154" s="14"/>
      <c r="BN154" s="14"/>
      <c r="BO154" s="14"/>
      <c r="BP154" s="14"/>
      <c r="BQ154" s="14"/>
      <c r="BX154" s="14"/>
      <c r="BY154" s="14"/>
      <c r="BZ154" s="14"/>
      <c r="CA154" s="14"/>
      <c r="CB154" s="14"/>
      <c r="CC154" s="14"/>
      <c r="CD154" s="14"/>
      <c r="CF154" s="14"/>
      <c r="CJ154" s="16"/>
      <c r="CM154" s="14"/>
      <c r="CN154" s="14"/>
      <c r="CO154" s="14"/>
      <c r="CP154" s="14"/>
      <c r="CQ154" s="14"/>
      <c r="CR154" s="14"/>
      <c r="CS154" s="14"/>
      <c r="CT154" s="14"/>
      <c r="CU154" s="14"/>
      <c r="CV154" s="14"/>
    </row>
    <row r="155" spans="1:100" x14ac:dyDescent="0.2">
      <c r="A155" s="14"/>
      <c r="B155" s="14"/>
      <c r="C155" s="14"/>
      <c r="D155" s="14"/>
      <c r="E155" s="14"/>
      <c r="F155" s="14"/>
      <c r="G155" s="14"/>
      <c r="H155" s="14"/>
      <c r="I155" s="14"/>
      <c r="J155" s="14"/>
      <c r="K155" s="14"/>
      <c r="L155" s="15"/>
      <c r="M155" s="14"/>
      <c r="N155" s="14"/>
      <c r="O155" s="14"/>
      <c r="P155" s="14"/>
      <c r="Q155" s="16"/>
      <c r="R155" s="14"/>
      <c r="Z155" s="16"/>
      <c r="AC155" s="14"/>
      <c r="AD155" s="14"/>
      <c r="AE155" s="14"/>
      <c r="AF155" s="14"/>
      <c r="AG155" s="14"/>
      <c r="AH155" s="14"/>
      <c r="AI155" s="14"/>
      <c r="AJ155" s="14"/>
      <c r="AK155" s="14"/>
      <c r="AL155" s="14"/>
      <c r="AS155" s="14"/>
      <c r="AT155" s="14"/>
      <c r="AU155" s="14"/>
      <c r="AV155" s="14"/>
      <c r="AW155" s="14"/>
      <c r="AX155" s="14"/>
      <c r="AY155" s="14"/>
      <c r="BA155" s="14"/>
      <c r="BE155" s="16"/>
      <c r="BH155" s="14"/>
      <c r="BI155" s="14"/>
      <c r="BJ155" s="14"/>
      <c r="BK155" s="14"/>
      <c r="BL155" s="14"/>
      <c r="BM155" s="14"/>
      <c r="BN155" s="14"/>
      <c r="BO155" s="14"/>
      <c r="BP155" s="14"/>
      <c r="BQ155" s="14"/>
      <c r="BX155" s="14"/>
      <c r="BY155" s="14"/>
      <c r="BZ155" s="14"/>
      <c r="CA155" s="14"/>
      <c r="CB155" s="14"/>
      <c r="CC155" s="14"/>
      <c r="CD155" s="14"/>
      <c r="CF155" s="14"/>
      <c r="CJ155" s="16"/>
      <c r="CM155" s="14"/>
      <c r="CN155" s="14"/>
      <c r="CO155" s="14"/>
      <c r="CP155" s="14"/>
      <c r="CQ155" s="14"/>
      <c r="CR155" s="14"/>
      <c r="CS155" s="14"/>
      <c r="CT155" s="14"/>
      <c r="CU155" s="14"/>
      <c r="CV155" s="14"/>
    </row>
    <row r="156" spans="1:100" x14ac:dyDescent="0.2">
      <c r="A156" s="14"/>
      <c r="B156" s="14"/>
      <c r="C156" s="14"/>
      <c r="D156" s="14"/>
      <c r="E156" s="14"/>
      <c r="F156" s="14"/>
      <c r="G156" s="14"/>
      <c r="H156" s="14"/>
      <c r="I156" s="14"/>
      <c r="J156" s="14"/>
      <c r="K156" s="14"/>
      <c r="L156" s="15"/>
      <c r="M156" s="14"/>
      <c r="N156" s="14"/>
      <c r="O156" s="14"/>
      <c r="P156" s="14"/>
      <c r="Q156" s="16"/>
      <c r="R156" s="14"/>
      <c r="Z156" s="16"/>
      <c r="AC156" s="14"/>
      <c r="AD156" s="14"/>
      <c r="AE156" s="14"/>
      <c r="AF156" s="14"/>
      <c r="AG156" s="14"/>
      <c r="AH156" s="14"/>
      <c r="AI156" s="14"/>
      <c r="AJ156" s="14"/>
      <c r="AK156" s="14"/>
      <c r="AL156" s="14"/>
      <c r="AS156" s="14"/>
      <c r="AT156" s="14"/>
      <c r="AU156" s="14"/>
      <c r="AV156" s="14"/>
      <c r="AW156" s="14"/>
      <c r="AX156" s="14"/>
      <c r="AY156" s="14"/>
      <c r="BA156" s="14"/>
      <c r="BE156" s="16"/>
      <c r="BH156" s="14"/>
      <c r="BI156" s="14"/>
      <c r="BJ156" s="14"/>
      <c r="BK156" s="14"/>
      <c r="BL156" s="14"/>
      <c r="BM156" s="14"/>
      <c r="BN156" s="14"/>
      <c r="BO156" s="14"/>
      <c r="BP156" s="14"/>
      <c r="BQ156" s="14"/>
      <c r="BX156" s="14"/>
      <c r="BY156" s="14"/>
      <c r="BZ156" s="14"/>
      <c r="CA156" s="14"/>
      <c r="CB156" s="14"/>
      <c r="CC156" s="14"/>
      <c r="CD156" s="14"/>
      <c r="CF156" s="14"/>
      <c r="CJ156" s="16"/>
      <c r="CM156" s="14"/>
      <c r="CN156" s="14"/>
      <c r="CO156" s="14"/>
      <c r="CP156" s="14"/>
      <c r="CQ156" s="14"/>
      <c r="CR156" s="14"/>
      <c r="CS156" s="14"/>
      <c r="CT156" s="14"/>
      <c r="CU156" s="14"/>
      <c r="CV156" s="14"/>
    </row>
    <row r="157" spans="1:100" x14ac:dyDescent="0.2">
      <c r="A157" s="14"/>
      <c r="B157" s="14"/>
      <c r="C157" s="14"/>
      <c r="D157" s="14"/>
      <c r="E157" s="14"/>
      <c r="F157" s="14"/>
      <c r="G157" s="14"/>
      <c r="H157" s="14"/>
      <c r="I157" s="14"/>
      <c r="J157" s="14"/>
      <c r="K157" s="14"/>
      <c r="L157" s="15"/>
      <c r="M157" s="14"/>
      <c r="N157" s="14"/>
      <c r="O157" s="14"/>
      <c r="P157" s="14"/>
      <c r="Q157" s="16"/>
      <c r="R157" s="14"/>
      <c r="Z157" s="16"/>
      <c r="AC157" s="14"/>
      <c r="AD157" s="14"/>
      <c r="AE157" s="14"/>
      <c r="AF157" s="14"/>
      <c r="AG157" s="14"/>
      <c r="AH157" s="14"/>
      <c r="AI157" s="14"/>
      <c r="AJ157" s="14"/>
      <c r="AK157" s="14"/>
      <c r="AL157" s="14"/>
      <c r="AS157" s="14"/>
      <c r="AT157" s="14"/>
      <c r="AU157" s="14"/>
      <c r="AV157" s="14"/>
      <c r="AW157" s="14"/>
      <c r="AX157" s="14"/>
      <c r="AY157" s="14"/>
      <c r="BA157" s="14"/>
      <c r="BE157" s="16"/>
      <c r="BH157" s="14"/>
      <c r="BI157" s="14"/>
      <c r="BJ157" s="14"/>
      <c r="BK157" s="14"/>
      <c r="BL157" s="14"/>
      <c r="BM157" s="14"/>
      <c r="BN157" s="14"/>
      <c r="BO157" s="14"/>
      <c r="BP157" s="14"/>
      <c r="BQ157" s="14"/>
      <c r="BX157" s="14"/>
      <c r="BY157" s="14"/>
      <c r="BZ157" s="14"/>
      <c r="CA157" s="14"/>
      <c r="CB157" s="14"/>
      <c r="CC157" s="14"/>
      <c r="CD157" s="14"/>
      <c r="CF157" s="14"/>
      <c r="CJ157" s="16"/>
      <c r="CM157" s="14"/>
      <c r="CN157" s="14"/>
      <c r="CO157" s="14"/>
      <c r="CP157" s="14"/>
      <c r="CQ157" s="14"/>
      <c r="CR157" s="14"/>
      <c r="CS157" s="14"/>
      <c r="CT157" s="14"/>
      <c r="CU157" s="14"/>
      <c r="CV157" s="14"/>
    </row>
    <row r="158" spans="1:100" x14ac:dyDescent="0.2">
      <c r="A158" s="14"/>
      <c r="B158" s="14"/>
      <c r="C158" s="14"/>
      <c r="D158" s="14"/>
      <c r="E158" s="14"/>
      <c r="F158" s="14"/>
      <c r="G158" s="14"/>
      <c r="H158" s="14"/>
      <c r="I158" s="14"/>
      <c r="J158" s="14"/>
      <c r="K158" s="14"/>
      <c r="L158" s="15"/>
      <c r="M158" s="14"/>
      <c r="N158" s="14"/>
      <c r="O158" s="14"/>
      <c r="P158" s="14"/>
      <c r="Q158" s="16"/>
      <c r="R158" s="14"/>
      <c r="Z158" s="16"/>
      <c r="AC158" s="14"/>
      <c r="AD158" s="14"/>
      <c r="AE158" s="14"/>
      <c r="AF158" s="14"/>
      <c r="AG158" s="14"/>
      <c r="AH158" s="14"/>
      <c r="AI158" s="14"/>
      <c r="AJ158" s="14"/>
      <c r="AK158" s="14"/>
      <c r="AL158" s="14"/>
      <c r="AS158" s="14"/>
      <c r="AT158" s="14"/>
      <c r="AU158" s="14"/>
      <c r="AV158" s="14"/>
      <c r="AW158" s="14"/>
      <c r="AX158" s="14"/>
      <c r="AY158" s="14"/>
      <c r="BA158" s="14"/>
      <c r="BE158" s="16"/>
      <c r="BH158" s="14"/>
      <c r="BI158" s="14"/>
      <c r="BJ158" s="14"/>
      <c r="BK158" s="14"/>
      <c r="BL158" s="14"/>
      <c r="BM158" s="14"/>
      <c r="BN158" s="14"/>
      <c r="BO158" s="14"/>
      <c r="BP158" s="14"/>
      <c r="BQ158" s="14"/>
      <c r="BX158" s="14"/>
      <c r="BY158" s="14"/>
      <c r="BZ158" s="14"/>
      <c r="CA158" s="14"/>
      <c r="CB158" s="14"/>
      <c r="CC158" s="14"/>
      <c r="CD158" s="14"/>
      <c r="CF158" s="14"/>
      <c r="CJ158" s="16"/>
      <c r="CM158" s="14"/>
      <c r="CN158" s="14"/>
      <c r="CO158" s="14"/>
      <c r="CP158" s="14"/>
      <c r="CQ158" s="14"/>
      <c r="CR158" s="14"/>
      <c r="CS158" s="14"/>
      <c r="CT158" s="14"/>
      <c r="CU158" s="14"/>
      <c r="CV158" s="14"/>
    </row>
    <row r="159" spans="1:100" x14ac:dyDescent="0.2">
      <c r="A159" s="14"/>
      <c r="B159" s="14"/>
      <c r="C159" s="14"/>
      <c r="D159" s="14"/>
      <c r="E159" s="14"/>
      <c r="F159" s="14"/>
      <c r="G159" s="14"/>
      <c r="H159" s="14"/>
      <c r="I159" s="14"/>
      <c r="J159" s="14"/>
      <c r="K159" s="14"/>
      <c r="L159" s="15"/>
      <c r="M159" s="14"/>
      <c r="N159" s="14"/>
      <c r="O159" s="14"/>
      <c r="P159" s="14"/>
      <c r="Q159" s="16"/>
      <c r="R159" s="14"/>
      <c r="Z159" s="16"/>
      <c r="AC159" s="14"/>
      <c r="AD159" s="14"/>
      <c r="AE159" s="14"/>
      <c r="AF159" s="14"/>
      <c r="AG159" s="14"/>
      <c r="AH159" s="14"/>
      <c r="AI159" s="14"/>
      <c r="AJ159" s="14"/>
      <c r="AK159" s="14"/>
      <c r="AL159" s="14"/>
      <c r="AS159" s="14"/>
      <c r="AT159" s="14"/>
      <c r="AU159" s="14"/>
      <c r="AV159" s="14"/>
      <c r="AW159" s="14"/>
      <c r="AX159" s="14"/>
      <c r="AY159" s="14"/>
      <c r="BA159" s="14"/>
      <c r="BE159" s="16"/>
      <c r="BH159" s="14"/>
      <c r="BI159" s="14"/>
      <c r="BJ159" s="14"/>
      <c r="BK159" s="14"/>
      <c r="BL159" s="14"/>
      <c r="BM159" s="14"/>
      <c r="BN159" s="14"/>
      <c r="BO159" s="14"/>
      <c r="BP159" s="14"/>
      <c r="BQ159" s="14"/>
      <c r="BX159" s="14"/>
      <c r="BY159" s="14"/>
      <c r="BZ159" s="14"/>
      <c r="CA159" s="14"/>
      <c r="CB159" s="14"/>
      <c r="CC159" s="14"/>
      <c r="CD159" s="14"/>
      <c r="CF159" s="14"/>
      <c r="CJ159" s="16"/>
      <c r="CM159" s="14"/>
      <c r="CN159" s="14"/>
      <c r="CO159" s="14"/>
      <c r="CP159" s="14"/>
      <c r="CQ159" s="14"/>
      <c r="CR159" s="14"/>
      <c r="CS159" s="14"/>
      <c r="CT159" s="14"/>
      <c r="CU159" s="14"/>
      <c r="CV159" s="14"/>
    </row>
    <row r="160" spans="1:100" x14ac:dyDescent="0.2">
      <c r="A160" s="14"/>
      <c r="B160" s="14"/>
      <c r="C160" s="14"/>
      <c r="D160" s="14"/>
      <c r="E160" s="14"/>
      <c r="F160" s="14"/>
      <c r="G160" s="14"/>
      <c r="H160" s="14"/>
      <c r="I160" s="14"/>
      <c r="J160" s="14"/>
      <c r="K160" s="14"/>
      <c r="L160" s="15"/>
      <c r="M160" s="14"/>
      <c r="N160" s="14"/>
      <c r="O160" s="14"/>
      <c r="P160" s="14"/>
      <c r="Q160" s="16"/>
      <c r="R160" s="14"/>
      <c r="Z160" s="16"/>
      <c r="AC160" s="14"/>
      <c r="AD160" s="14"/>
      <c r="AE160" s="14"/>
      <c r="AF160" s="14"/>
      <c r="AG160" s="14"/>
      <c r="AH160" s="14"/>
      <c r="AI160" s="14"/>
      <c r="AJ160" s="14"/>
      <c r="AK160" s="14"/>
      <c r="AL160" s="14"/>
      <c r="AS160" s="14"/>
      <c r="AT160" s="14"/>
      <c r="AU160" s="14"/>
      <c r="AV160" s="14"/>
      <c r="AW160" s="14"/>
      <c r="AX160" s="14"/>
      <c r="AY160" s="14"/>
      <c r="BA160" s="14"/>
      <c r="BE160" s="16"/>
      <c r="BH160" s="14"/>
      <c r="BI160" s="14"/>
      <c r="BJ160" s="14"/>
      <c r="BK160" s="14"/>
      <c r="BL160" s="14"/>
      <c r="BM160" s="14"/>
      <c r="BN160" s="14"/>
      <c r="BO160" s="14"/>
      <c r="BP160" s="14"/>
      <c r="BQ160" s="14"/>
      <c r="BX160" s="14"/>
      <c r="BY160" s="14"/>
      <c r="BZ160" s="14"/>
      <c r="CA160" s="14"/>
      <c r="CB160" s="14"/>
      <c r="CC160" s="14"/>
      <c r="CD160" s="14"/>
      <c r="CF160" s="14"/>
      <c r="CJ160" s="16"/>
      <c r="CM160" s="14"/>
      <c r="CN160" s="14"/>
      <c r="CO160" s="14"/>
      <c r="CP160" s="14"/>
      <c r="CQ160" s="14"/>
      <c r="CR160" s="14"/>
      <c r="CS160" s="14"/>
      <c r="CT160" s="14"/>
      <c r="CU160" s="14"/>
      <c r="CV160" s="14"/>
    </row>
    <row r="161" spans="1:100" x14ac:dyDescent="0.2">
      <c r="A161" s="14"/>
      <c r="B161" s="14"/>
      <c r="C161" s="14"/>
      <c r="D161" s="14"/>
      <c r="E161" s="14"/>
      <c r="F161" s="14"/>
      <c r="G161" s="14"/>
      <c r="H161" s="14"/>
      <c r="I161" s="14"/>
      <c r="J161" s="14"/>
      <c r="K161" s="14"/>
      <c r="L161" s="15"/>
      <c r="M161" s="14"/>
      <c r="N161" s="14"/>
      <c r="O161" s="14"/>
      <c r="P161" s="14"/>
      <c r="Q161" s="16"/>
      <c r="R161" s="14"/>
      <c r="Z161" s="16"/>
      <c r="AC161" s="14"/>
      <c r="AD161" s="14"/>
      <c r="AE161" s="14"/>
      <c r="AF161" s="14"/>
      <c r="AG161" s="14"/>
      <c r="AH161" s="14"/>
      <c r="AI161" s="14"/>
      <c r="AJ161" s="14"/>
      <c r="AK161" s="14"/>
      <c r="AL161" s="14"/>
      <c r="AS161" s="14"/>
      <c r="AT161" s="14"/>
      <c r="AU161" s="14"/>
      <c r="AV161" s="14"/>
      <c r="AW161" s="14"/>
      <c r="AX161" s="14"/>
      <c r="AY161" s="14"/>
      <c r="BA161" s="14"/>
      <c r="BE161" s="16"/>
      <c r="BH161" s="14"/>
      <c r="BI161" s="14"/>
      <c r="BJ161" s="14"/>
      <c r="BK161" s="14"/>
      <c r="BL161" s="14"/>
      <c r="BM161" s="14"/>
      <c r="BN161" s="14"/>
      <c r="BO161" s="14"/>
      <c r="BP161" s="14"/>
      <c r="BQ161" s="14"/>
      <c r="BX161" s="14"/>
      <c r="BY161" s="14"/>
      <c r="BZ161" s="14"/>
      <c r="CA161" s="14"/>
      <c r="CB161" s="14"/>
      <c r="CC161" s="14"/>
      <c r="CD161" s="14"/>
      <c r="CF161" s="14"/>
      <c r="CJ161" s="16"/>
      <c r="CM161" s="14"/>
      <c r="CN161" s="14"/>
      <c r="CO161" s="14"/>
      <c r="CP161" s="14"/>
      <c r="CQ161" s="14"/>
      <c r="CR161" s="14"/>
      <c r="CS161" s="14"/>
      <c r="CT161" s="14"/>
      <c r="CU161" s="14"/>
      <c r="CV161" s="14"/>
    </row>
    <row r="162" spans="1:100" x14ac:dyDescent="0.2">
      <c r="A162" s="14"/>
      <c r="B162" s="14"/>
      <c r="C162" s="14"/>
      <c r="D162" s="14"/>
      <c r="E162" s="14"/>
      <c r="F162" s="14"/>
      <c r="G162" s="14"/>
      <c r="H162" s="14"/>
      <c r="I162" s="14"/>
      <c r="J162" s="14"/>
      <c r="K162" s="14"/>
      <c r="L162" s="15"/>
      <c r="M162" s="14"/>
      <c r="N162" s="14"/>
      <c r="O162" s="14"/>
      <c r="P162" s="14"/>
      <c r="Q162" s="16"/>
      <c r="R162" s="14"/>
      <c r="Z162" s="16"/>
      <c r="AC162" s="14"/>
      <c r="AD162" s="14"/>
      <c r="AE162" s="14"/>
      <c r="AF162" s="14"/>
      <c r="AG162" s="14"/>
      <c r="AH162" s="14"/>
      <c r="AI162" s="14"/>
      <c r="AJ162" s="14"/>
      <c r="AK162" s="14"/>
      <c r="AL162" s="14"/>
      <c r="AS162" s="14"/>
      <c r="AT162" s="14"/>
      <c r="AU162" s="14"/>
      <c r="AV162" s="14"/>
      <c r="AW162" s="14"/>
      <c r="AX162" s="14"/>
      <c r="AY162" s="14"/>
      <c r="BA162" s="14"/>
      <c r="BE162" s="16"/>
      <c r="BH162" s="14"/>
      <c r="BI162" s="14"/>
      <c r="BJ162" s="14"/>
      <c r="BK162" s="14"/>
      <c r="BL162" s="14"/>
      <c r="BM162" s="14"/>
      <c r="BN162" s="14"/>
      <c r="BO162" s="14"/>
      <c r="BP162" s="14"/>
      <c r="BQ162" s="14"/>
      <c r="BX162" s="14"/>
      <c r="BY162" s="14"/>
      <c r="BZ162" s="14"/>
      <c r="CA162" s="14"/>
      <c r="CB162" s="14"/>
      <c r="CC162" s="14"/>
      <c r="CD162" s="14"/>
      <c r="CF162" s="14"/>
      <c r="CJ162" s="16"/>
      <c r="CM162" s="14"/>
      <c r="CN162" s="14"/>
      <c r="CO162" s="14"/>
      <c r="CP162" s="14"/>
      <c r="CQ162" s="14"/>
      <c r="CR162" s="14"/>
      <c r="CS162" s="14"/>
      <c r="CT162" s="14"/>
      <c r="CU162" s="14"/>
      <c r="CV162" s="14"/>
    </row>
    <row r="163" spans="1:100" x14ac:dyDescent="0.2">
      <c r="A163" s="14"/>
      <c r="B163" s="14"/>
      <c r="C163" s="14"/>
      <c r="D163" s="14"/>
      <c r="E163" s="14"/>
      <c r="F163" s="14"/>
      <c r="G163" s="14"/>
      <c r="H163" s="14"/>
      <c r="I163" s="14"/>
      <c r="J163" s="14"/>
      <c r="K163" s="14"/>
      <c r="L163" s="15"/>
      <c r="M163" s="14"/>
      <c r="N163" s="14"/>
      <c r="O163" s="14"/>
      <c r="P163" s="14"/>
      <c r="Q163" s="16"/>
      <c r="R163" s="14"/>
      <c r="Z163" s="16"/>
      <c r="AC163" s="14"/>
      <c r="AD163" s="14"/>
      <c r="AE163" s="14"/>
      <c r="AF163" s="14"/>
      <c r="AG163" s="14"/>
      <c r="AH163" s="14"/>
      <c r="AI163" s="14"/>
      <c r="AJ163" s="14"/>
      <c r="AK163" s="14"/>
      <c r="AL163" s="14"/>
      <c r="AS163" s="14"/>
      <c r="AT163" s="14"/>
      <c r="AU163" s="14"/>
      <c r="AV163" s="14"/>
      <c r="AW163" s="14"/>
      <c r="AX163" s="14"/>
      <c r="AY163" s="14"/>
      <c r="BA163" s="14"/>
      <c r="BE163" s="16"/>
      <c r="BH163" s="14"/>
      <c r="BI163" s="14"/>
      <c r="BJ163" s="14"/>
      <c r="BK163" s="14"/>
      <c r="BL163" s="14"/>
      <c r="BM163" s="14"/>
      <c r="BN163" s="14"/>
      <c r="BO163" s="14"/>
      <c r="BP163" s="14"/>
      <c r="BQ163" s="14"/>
      <c r="BX163" s="14"/>
      <c r="BY163" s="14"/>
      <c r="BZ163" s="14"/>
      <c r="CA163" s="14"/>
      <c r="CB163" s="14"/>
      <c r="CC163" s="14"/>
      <c r="CD163" s="14"/>
      <c r="CF163" s="14"/>
      <c r="CJ163" s="16"/>
      <c r="CM163" s="14"/>
      <c r="CN163" s="14"/>
      <c r="CO163" s="14"/>
      <c r="CP163" s="14"/>
      <c r="CQ163" s="14"/>
      <c r="CR163" s="14"/>
      <c r="CS163" s="14"/>
      <c r="CT163" s="14"/>
      <c r="CU163" s="14"/>
      <c r="CV163" s="14"/>
    </row>
    <row r="164" spans="1:100" x14ac:dyDescent="0.2">
      <c r="A164" s="14"/>
      <c r="B164" s="14"/>
      <c r="C164" s="14"/>
      <c r="D164" s="14"/>
      <c r="E164" s="14"/>
      <c r="F164" s="14"/>
      <c r="G164" s="14"/>
      <c r="H164" s="14"/>
      <c r="I164" s="14"/>
      <c r="J164" s="14"/>
      <c r="K164" s="14"/>
      <c r="L164" s="15"/>
      <c r="M164" s="14"/>
      <c r="N164" s="14"/>
      <c r="O164" s="14"/>
      <c r="P164" s="14"/>
      <c r="Q164" s="16"/>
      <c r="R164" s="14"/>
      <c r="Z164" s="16"/>
      <c r="AC164" s="14"/>
      <c r="AD164" s="14"/>
      <c r="AE164" s="14"/>
      <c r="AF164" s="14"/>
      <c r="AG164" s="14"/>
      <c r="AH164" s="14"/>
      <c r="AI164" s="14"/>
      <c r="AJ164" s="14"/>
      <c r="AK164" s="14"/>
      <c r="AL164" s="14"/>
      <c r="AS164" s="14"/>
      <c r="AT164" s="14"/>
      <c r="AU164" s="14"/>
      <c r="AV164" s="14"/>
      <c r="AW164" s="14"/>
      <c r="AX164" s="14"/>
      <c r="AY164" s="14"/>
      <c r="BA164" s="14"/>
      <c r="BE164" s="16"/>
      <c r="BH164" s="14"/>
      <c r="BI164" s="14"/>
      <c r="BJ164" s="14"/>
      <c r="BK164" s="14"/>
      <c r="BL164" s="14"/>
      <c r="BM164" s="14"/>
      <c r="BN164" s="14"/>
      <c r="BO164" s="14"/>
      <c r="BP164" s="14"/>
      <c r="BQ164" s="14"/>
      <c r="BX164" s="14"/>
      <c r="BY164" s="14"/>
      <c r="BZ164" s="14"/>
      <c r="CA164" s="14"/>
      <c r="CB164" s="14"/>
      <c r="CC164" s="14"/>
      <c r="CD164" s="14"/>
      <c r="CF164" s="14"/>
      <c r="CJ164" s="16"/>
      <c r="CM164" s="14"/>
      <c r="CN164" s="14"/>
      <c r="CO164" s="14"/>
      <c r="CP164" s="14"/>
      <c r="CQ164" s="14"/>
      <c r="CR164" s="14"/>
      <c r="CS164" s="14"/>
      <c r="CT164" s="14"/>
      <c r="CU164" s="14"/>
      <c r="CV164" s="14"/>
    </row>
    <row r="165" spans="1:100" x14ac:dyDescent="0.2">
      <c r="A165" s="14"/>
      <c r="B165" s="14"/>
      <c r="C165" s="14"/>
      <c r="D165" s="14"/>
      <c r="E165" s="14"/>
      <c r="F165" s="14"/>
      <c r="G165" s="14"/>
      <c r="H165" s="14"/>
      <c r="I165" s="14"/>
      <c r="J165" s="14"/>
      <c r="K165" s="14"/>
      <c r="L165" s="15"/>
      <c r="M165" s="14"/>
      <c r="N165" s="14"/>
      <c r="O165" s="14"/>
      <c r="P165" s="14"/>
      <c r="Q165" s="16"/>
      <c r="R165" s="14"/>
      <c r="Z165" s="16"/>
      <c r="AC165" s="14"/>
      <c r="AD165" s="14"/>
      <c r="AE165" s="14"/>
      <c r="AF165" s="14"/>
      <c r="AG165" s="14"/>
      <c r="AH165" s="14"/>
      <c r="AI165" s="14"/>
      <c r="AJ165" s="14"/>
      <c r="AK165" s="14"/>
      <c r="AL165" s="14"/>
      <c r="AS165" s="14"/>
      <c r="AT165" s="14"/>
      <c r="AU165" s="14"/>
      <c r="AV165" s="14"/>
      <c r="AW165" s="14"/>
      <c r="AX165" s="14"/>
      <c r="AY165" s="14"/>
      <c r="BA165" s="14"/>
      <c r="BE165" s="16"/>
      <c r="BH165" s="14"/>
      <c r="BI165" s="14"/>
      <c r="BJ165" s="14"/>
      <c r="BK165" s="14"/>
      <c r="BL165" s="14"/>
      <c r="BM165" s="14"/>
      <c r="BN165" s="14"/>
      <c r="BO165" s="14"/>
      <c r="BP165" s="14"/>
      <c r="BQ165" s="14"/>
      <c r="BX165" s="14"/>
      <c r="BY165" s="14"/>
      <c r="BZ165" s="14"/>
      <c r="CA165" s="14"/>
      <c r="CB165" s="14"/>
      <c r="CC165" s="14"/>
      <c r="CD165" s="14"/>
      <c r="CF165" s="14"/>
      <c r="CJ165" s="16"/>
      <c r="CM165" s="14"/>
      <c r="CN165" s="14"/>
      <c r="CO165" s="14"/>
      <c r="CP165" s="14"/>
      <c r="CQ165" s="14"/>
      <c r="CR165" s="14"/>
      <c r="CS165" s="14"/>
      <c r="CT165" s="14"/>
      <c r="CU165" s="14"/>
      <c r="CV165" s="14"/>
    </row>
    <row r="166" spans="1:100" x14ac:dyDescent="0.2">
      <c r="A166" s="14"/>
      <c r="B166" s="14"/>
      <c r="C166" s="14"/>
      <c r="D166" s="14"/>
      <c r="E166" s="14"/>
      <c r="F166" s="14"/>
      <c r="G166" s="14"/>
      <c r="H166" s="14"/>
      <c r="I166" s="14"/>
      <c r="J166" s="14"/>
      <c r="K166" s="14"/>
      <c r="L166" s="15"/>
      <c r="M166" s="14"/>
      <c r="N166" s="14"/>
      <c r="O166" s="14"/>
      <c r="P166" s="14"/>
      <c r="Q166" s="16"/>
      <c r="R166" s="14"/>
      <c r="Z166" s="16"/>
      <c r="AC166" s="14"/>
      <c r="AD166" s="14"/>
      <c r="AE166" s="14"/>
      <c r="AF166" s="14"/>
      <c r="AG166" s="14"/>
      <c r="AH166" s="14"/>
      <c r="AI166" s="14"/>
      <c r="AJ166" s="14"/>
      <c r="AK166" s="14"/>
      <c r="AL166" s="14"/>
      <c r="AS166" s="14"/>
      <c r="AT166" s="14"/>
      <c r="AU166" s="14"/>
      <c r="AV166" s="14"/>
      <c r="AW166" s="14"/>
      <c r="AX166" s="14"/>
      <c r="AY166" s="14"/>
      <c r="BA166" s="14"/>
      <c r="BE166" s="16"/>
      <c r="BH166" s="14"/>
      <c r="BI166" s="14"/>
      <c r="BJ166" s="14"/>
      <c r="BK166" s="14"/>
      <c r="BL166" s="14"/>
      <c r="BM166" s="14"/>
      <c r="BN166" s="14"/>
      <c r="BO166" s="14"/>
      <c r="BP166" s="14"/>
      <c r="BQ166" s="14"/>
      <c r="BX166" s="14"/>
      <c r="BY166" s="14"/>
      <c r="BZ166" s="14"/>
      <c r="CA166" s="14"/>
      <c r="CB166" s="14"/>
      <c r="CC166" s="14"/>
      <c r="CD166" s="14"/>
      <c r="CF166" s="14"/>
      <c r="CJ166" s="16"/>
      <c r="CM166" s="14"/>
      <c r="CN166" s="14"/>
      <c r="CO166" s="14"/>
      <c r="CP166" s="14"/>
      <c r="CQ166" s="14"/>
      <c r="CR166" s="14"/>
      <c r="CS166" s="14"/>
      <c r="CT166" s="14"/>
      <c r="CU166" s="14"/>
      <c r="CV166" s="14"/>
    </row>
    <row r="167" spans="1:100" x14ac:dyDescent="0.2">
      <c r="A167" s="14"/>
      <c r="B167" s="14"/>
      <c r="C167" s="14"/>
      <c r="D167" s="14"/>
      <c r="E167" s="14"/>
      <c r="F167" s="14"/>
      <c r="G167" s="14"/>
      <c r="H167" s="14"/>
      <c r="I167" s="14"/>
      <c r="J167" s="14"/>
      <c r="K167" s="14"/>
      <c r="L167" s="15"/>
      <c r="M167" s="14"/>
      <c r="N167" s="14"/>
      <c r="O167" s="14"/>
      <c r="P167" s="14"/>
      <c r="Q167" s="16"/>
      <c r="R167" s="14"/>
      <c r="Z167" s="16"/>
      <c r="AC167" s="14"/>
      <c r="AD167" s="14"/>
      <c r="AE167" s="14"/>
      <c r="AF167" s="14"/>
      <c r="AG167" s="14"/>
      <c r="AH167" s="14"/>
      <c r="AI167" s="14"/>
      <c r="AJ167" s="14"/>
      <c r="AK167" s="14"/>
      <c r="AL167" s="14"/>
      <c r="AS167" s="14"/>
      <c r="AT167" s="14"/>
      <c r="AU167" s="14"/>
      <c r="AV167" s="14"/>
      <c r="AW167" s="14"/>
      <c r="AX167" s="14"/>
      <c r="AY167" s="14"/>
      <c r="BA167" s="14"/>
      <c r="BE167" s="16"/>
      <c r="BH167" s="14"/>
      <c r="BI167" s="14"/>
      <c r="BJ167" s="14"/>
      <c r="BK167" s="14"/>
      <c r="BL167" s="14"/>
      <c r="BM167" s="14"/>
      <c r="BN167" s="14"/>
      <c r="BO167" s="14"/>
      <c r="BP167" s="14"/>
      <c r="BQ167" s="14"/>
      <c r="BX167" s="14"/>
      <c r="BY167" s="14"/>
      <c r="BZ167" s="14"/>
      <c r="CA167" s="14"/>
      <c r="CB167" s="14"/>
      <c r="CC167" s="14"/>
      <c r="CD167" s="14"/>
      <c r="CF167" s="14"/>
      <c r="CJ167" s="16"/>
      <c r="CM167" s="14"/>
      <c r="CN167" s="14"/>
      <c r="CO167" s="14"/>
      <c r="CP167" s="14"/>
      <c r="CQ167" s="14"/>
      <c r="CR167" s="14"/>
      <c r="CS167" s="14"/>
      <c r="CT167" s="14"/>
      <c r="CU167" s="14"/>
      <c r="CV167" s="14"/>
    </row>
    <row r="168" spans="1:100" x14ac:dyDescent="0.2">
      <c r="A168" s="14"/>
      <c r="B168" s="14"/>
      <c r="C168" s="14"/>
      <c r="D168" s="14"/>
      <c r="E168" s="14"/>
      <c r="F168" s="14"/>
      <c r="G168" s="14"/>
      <c r="H168" s="14"/>
      <c r="I168" s="14"/>
      <c r="J168" s="14"/>
      <c r="K168" s="14"/>
      <c r="L168" s="15"/>
      <c r="M168" s="14"/>
      <c r="N168" s="14"/>
      <c r="O168" s="14"/>
      <c r="P168" s="14"/>
      <c r="Q168" s="16"/>
      <c r="R168" s="14"/>
      <c r="Z168" s="16"/>
      <c r="AC168" s="14"/>
      <c r="AD168" s="14"/>
      <c r="AE168" s="14"/>
      <c r="AF168" s="14"/>
      <c r="AG168" s="14"/>
      <c r="AH168" s="14"/>
      <c r="AI168" s="14"/>
      <c r="AJ168" s="14"/>
      <c r="AK168" s="14"/>
      <c r="AL168" s="14"/>
      <c r="AS168" s="14"/>
      <c r="AT168" s="14"/>
      <c r="AU168" s="14"/>
      <c r="AV168" s="14"/>
      <c r="AW168" s="14"/>
      <c r="AX168" s="14"/>
      <c r="AY168" s="14"/>
      <c r="BA168" s="14"/>
      <c r="BE168" s="16"/>
      <c r="BH168" s="14"/>
      <c r="BI168" s="14"/>
      <c r="BJ168" s="14"/>
      <c r="BK168" s="14"/>
      <c r="BL168" s="14"/>
      <c r="BM168" s="14"/>
      <c r="BN168" s="14"/>
      <c r="BO168" s="14"/>
      <c r="BP168" s="14"/>
      <c r="BQ168" s="14"/>
      <c r="BX168" s="14"/>
      <c r="BY168" s="14"/>
      <c r="BZ168" s="14"/>
      <c r="CA168" s="14"/>
      <c r="CB168" s="14"/>
      <c r="CC168" s="14"/>
      <c r="CD168" s="14"/>
      <c r="CF168" s="14"/>
      <c r="CJ168" s="16"/>
      <c r="CM168" s="14"/>
      <c r="CN168" s="14"/>
      <c r="CO168" s="14"/>
      <c r="CP168" s="14"/>
      <c r="CQ168" s="14"/>
      <c r="CR168" s="14"/>
      <c r="CS168" s="14"/>
      <c r="CT168" s="14"/>
      <c r="CU168" s="14"/>
      <c r="CV168" s="14"/>
    </row>
    <row r="169" spans="1:100" x14ac:dyDescent="0.2">
      <c r="A169" s="14"/>
      <c r="B169" s="14"/>
      <c r="C169" s="14"/>
      <c r="D169" s="14"/>
      <c r="E169" s="14"/>
      <c r="F169" s="14"/>
      <c r="G169" s="14"/>
      <c r="H169" s="14"/>
      <c r="I169" s="14"/>
      <c r="J169" s="14"/>
      <c r="K169" s="14"/>
      <c r="L169" s="15"/>
      <c r="M169" s="14"/>
      <c r="N169" s="14"/>
      <c r="O169" s="14"/>
      <c r="P169" s="14"/>
      <c r="Q169" s="16"/>
      <c r="R169" s="14"/>
      <c r="Z169" s="16"/>
      <c r="AC169" s="14"/>
      <c r="AD169" s="14"/>
      <c r="AE169" s="14"/>
      <c r="AF169" s="14"/>
      <c r="AG169" s="14"/>
      <c r="AH169" s="14"/>
      <c r="AI169" s="14"/>
      <c r="AJ169" s="14"/>
      <c r="AK169" s="14"/>
      <c r="AL169" s="14"/>
      <c r="AS169" s="14"/>
      <c r="AT169" s="14"/>
      <c r="AU169" s="14"/>
      <c r="AV169" s="14"/>
      <c r="AW169" s="14"/>
      <c r="AX169" s="14"/>
      <c r="AY169" s="14"/>
      <c r="BA169" s="14"/>
      <c r="BE169" s="16"/>
      <c r="BH169" s="14"/>
      <c r="BI169" s="14"/>
      <c r="BJ169" s="14"/>
      <c r="BK169" s="14"/>
      <c r="BL169" s="14"/>
      <c r="BM169" s="14"/>
      <c r="BN169" s="14"/>
      <c r="BO169" s="14"/>
      <c r="BP169" s="14"/>
      <c r="BQ169" s="14"/>
      <c r="BX169" s="14"/>
      <c r="BY169" s="14"/>
      <c r="BZ169" s="14"/>
      <c r="CA169" s="14"/>
      <c r="CB169" s="14"/>
      <c r="CC169" s="14"/>
      <c r="CD169" s="14"/>
      <c r="CF169" s="14"/>
      <c r="CJ169" s="16"/>
      <c r="CM169" s="14"/>
      <c r="CN169" s="14"/>
      <c r="CO169" s="14"/>
      <c r="CP169" s="14"/>
      <c r="CQ169" s="14"/>
      <c r="CR169" s="14"/>
      <c r="CS169" s="14"/>
      <c r="CT169" s="14"/>
      <c r="CU169" s="14"/>
      <c r="CV169" s="14"/>
    </row>
    <row r="170" spans="1:100" x14ac:dyDescent="0.2">
      <c r="A170" s="14"/>
      <c r="B170" s="14"/>
      <c r="C170" s="14"/>
      <c r="D170" s="14"/>
      <c r="E170" s="14"/>
      <c r="F170" s="14"/>
      <c r="G170" s="14"/>
      <c r="H170" s="14"/>
      <c r="I170" s="14"/>
      <c r="J170" s="14"/>
      <c r="K170" s="14"/>
      <c r="L170" s="15"/>
      <c r="M170" s="14"/>
      <c r="N170" s="14"/>
      <c r="O170" s="14"/>
      <c r="P170" s="14"/>
      <c r="Q170" s="16"/>
      <c r="R170" s="14"/>
      <c r="Z170" s="16"/>
      <c r="AC170" s="14"/>
      <c r="AD170" s="14"/>
      <c r="AE170" s="14"/>
      <c r="AF170" s="14"/>
      <c r="AG170" s="14"/>
      <c r="AH170" s="14"/>
      <c r="AI170" s="14"/>
      <c r="AJ170" s="14"/>
      <c r="AK170" s="14"/>
      <c r="AL170" s="14"/>
      <c r="AS170" s="14"/>
      <c r="AT170" s="14"/>
      <c r="AU170" s="14"/>
      <c r="AV170" s="14"/>
      <c r="AW170" s="14"/>
      <c r="AX170" s="14"/>
      <c r="AY170" s="14"/>
      <c r="BA170" s="14"/>
      <c r="BE170" s="16"/>
      <c r="BH170" s="14"/>
      <c r="BI170" s="14"/>
      <c r="BJ170" s="14"/>
      <c r="BK170" s="14"/>
      <c r="BL170" s="14"/>
      <c r="BM170" s="14"/>
      <c r="BN170" s="14"/>
      <c r="BO170" s="14"/>
      <c r="BP170" s="14"/>
      <c r="BQ170" s="14"/>
      <c r="BX170" s="14"/>
      <c r="BY170" s="14"/>
      <c r="BZ170" s="14"/>
      <c r="CA170" s="14"/>
      <c r="CB170" s="14"/>
      <c r="CC170" s="14"/>
      <c r="CD170" s="14"/>
      <c r="CF170" s="14"/>
      <c r="CJ170" s="16"/>
      <c r="CM170" s="14"/>
      <c r="CN170" s="14"/>
      <c r="CO170" s="14"/>
      <c r="CP170" s="14"/>
      <c r="CQ170" s="14"/>
      <c r="CR170" s="14"/>
      <c r="CS170" s="14"/>
      <c r="CT170" s="14"/>
      <c r="CU170" s="14"/>
      <c r="CV170" s="14"/>
    </row>
    <row r="171" spans="1:100" x14ac:dyDescent="0.2">
      <c r="A171" s="14"/>
      <c r="B171" s="14"/>
      <c r="C171" s="14"/>
      <c r="D171" s="14"/>
      <c r="E171" s="14"/>
      <c r="F171" s="14"/>
      <c r="G171" s="14"/>
      <c r="H171" s="14"/>
      <c r="I171" s="14"/>
      <c r="J171" s="14"/>
      <c r="K171" s="14"/>
      <c r="L171" s="15"/>
      <c r="M171" s="14"/>
      <c r="N171" s="14"/>
      <c r="O171" s="14"/>
      <c r="P171" s="14"/>
      <c r="Q171" s="16"/>
      <c r="R171" s="14"/>
      <c r="Z171" s="16"/>
      <c r="AC171" s="14"/>
      <c r="AD171" s="14"/>
      <c r="AE171" s="14"/>
      <c r="AF171" s="14"/>
      <c r="AG171" s="14"/>
      <c r="AH171" s="14"/>
      <c r="AI171" s="14"/>
      <c r="AJ171" s="14"/>
      <c r="AK171" s="14"/>
      <c r="AL171" s="14"/>
      <c r="AS171" s="14"/>
      <c r="AT171" s="14"/>
      <c r="AU171" s="14"/>
      <c r="AV171" s="14"/>
      <c r="AW171" s="14"/>
      <c r="AX171" s="14"/>
      <c r="AY171" s="14"/>
      <c r="BA171" s="14"/>
      <c r="BE171" s="16"/>
      <c r="BH171" s="14"/>
      <c r="BI171" s="14"/>
      <c r="BJ171" s="14"/>
      <c r="BK171" s="14"/>
      <c r="BL171" s="14"/>
      <c r="BM171" s="14"/>
      <c r="BN171" s="14"/>
      <c r="BO171" s="14"/>
      <c r="BP171" s="14"/>
      <c r="BQ171" s="14"/>
      <c r="BX171" s="14"/>
      <c r="BY171" s="14"/>
      <c r="BZ171" s="14"/>
      <c r="CA171" s="14"/>
      <c r="CB171" s="14"/>
      <c r="CC171" s="14"/>
      <c r="CD171" s="14"/>
      <c r="CF171" s="14"/>
      <c r="CJ171" s="16"/>
      <c r="CM171" s="14"/>
      <c r="CN171" s="14"/>
      <c r="CO171" s="14"/>
      <c r="CP171" s="14"/>
      <c r="CQ171" s="14"/>
      <c r="CR171" s="14"/>
      <c r="CS171" s="14"/>
      <c r="CT171" s="14"/>
      <c r="CU171" s="14"/>
      <c r="CV171" s="14"/>
    </row>
    <row r="172" spans="1:100" x14ac:dyDescent="0.2">
      <c r="A172" s="14"/>
      <c r="B172" s="14"/>
      <c r="C172" s="14"/>
      <c r="D172" s="14"/>
      <c r="E172" s="14"/>
      <c r="F172" s="14"/>
      <c r="G172" s="14"/>
      <c r="H172" s="14"/>
      <c r="I172" s="14"/>
      <c r="J172" s="14"/>
      <c r="K172" s="14"/>
      <c r="L172" s="15"/>
      <c r="M172" s="14"/>
      <c r="N172" s="14"/>
      <c r="O172" s="14"/>
      <c r="P172" s="14"/>
      <c r="Q172" s="16"/>
      <c r="R172" s="14"/>
      <c r="Z172" s="16"/>
      <c r="AC172" s="14"/>
      <c r="AD172" s="14"/>
      <c r="AE172" s="14"/>
      <c r="AF172" s="14"/>
      <c r="AG172" s="14"/>
      <c r="AH172" s="14"/>
      <c r="AI172" s="14"/>
      <c r="AJ172" s="14"/>
      <c r="AK172" s="14"/>
      <c r="AL172" s="14"/>
      <c r="AS172" s="14"/>
      <c r="AT172" s="14"/>
      <c r="AU172" s="14"/>
      <c r="AV172" s="14"/>
      <c r="AW172" s="14"/>
      <c r="AX172" s="14"/>
      <c r="AY172" s="14"/>
      <c r="BA172" s="14"/>
      <c r="BE172" s="16"/>
      <c r="BH172" s="14"/>
      <c r="BI172" s="14"/>
      <c r="BJ172" s="14"/>
      <c r="BK172" s="14"/>
      <c r="BL172" s="14"/>
      <c r="BM172" s="14"/>
      <c r="BN172" s="14"/>
      <c r="BO172" s="14"/>
      <c r="BP172" s="14"/>
      <c r="BQ172" s="14"/>
      <c r="BX172" s="14"/>
      <c r="BY172" s="14"/>
      <c r="BZ172" s="14"/>
      <c r="CA172" s="14"/>
      <c r="CB172" s="14"/>
      <c r="CC172" s="14"/>
      <c r="CD172" s="14"/>
      <c r="CF172" s="14"/>
      <c r="CJ172" s="16"/>
      <c r="CM172" s="14"/>
      <c r="CN172" s="14"/>
      <c r="CO172" s="14"/>
      <c r="CP172" s="14"/>
      <c r="CQ172" s="14"/>
      <c r="CR172" s="14"/>
      <c r="CS172" s="14"/>
      <c r="CT172" s="14"/>
      <c r="CU172" s="14"/>
      <c r="CV172" s="14"/>
    </row>
    <row r="173" spans="1:100" x14ac:dyDescent="0.2">
      <c r="A173" s="14"/>
      <c r="B173" s="14"/>
      <c r="C173" s="14"/>
      <c r="D173" s="14"/>
      <c r="E173" s="14"/>
      <c r="F173" s="14"/>
      <c r="G173" s="14"/>
      <c r="H173" s="14"/>
      <c r="I173" s="14"/>
      <c r="J173" s="14"/>
      <c r="K173" s="14"/>
      <c r="L173" s="15"/>
      <c r="M173" s="14"/>
      <c r="N173" s="14"/>
      <c r="O173" s="14"/>
      <c r="P173" s="14"/>
      <c r="Q173" s="16"/>
      <c r="R173" s="14"/>
      <c r="Z173" s="16"/>
      <c r="AC173" s="14"/>
      <c r="AD173" s="14"/>
      <c r="AE173" s="14"/>
      <c r="AF173" s="14"/>
      <c r="AG173" s="14"/>
      <c r="AH173" s="14"/>
      <c r="AI173" s="14"/>
      <c r="AJ173" s="14"/>
      <c r="AK173" s="14"/>
      <c r="AL173" s="14"/>
      <c r="AS173" s="14"/>
      <c r="AT173" s="14"/>
      <c r="AU173" s="14"/>
      <c r="AV173" s="14"/>
      <c r="AW173" s="14"/>
      <c r="AX173" s="14"/>
      <c r="AY173" s="14"/>
      <c r="BA173" s="14"/>
      <c r="BE173" s="16"/>
      <c r="BH173" s="14"/>
      <c r="BI173" s="14"/>
      <c r="BJ173" s="14"/>
      <c r="BK173" s="14"/>
      <c r="BL173" s="14"/>
      <c r="BM173" s="14"/>
      <c r="BN173" s="14"/>
      <c r="BO173" s="14"/>
      <c r="BP173" s="14"/>
      <c r="BQ173" s="14"/>
      <c r="BX173" s="14"/>
      <c r="BY173" s="14"/>
      <c r="BZ173" s="14"/>
      <c r="CA173" s="14"/>
      <c r="CB173" s="14"/>
      <c r="CC173" s="14"/>
      <c r="CD173" s="14"/>
      <c r="CF173" s="14"/>
      <c r="CJ173" s="16"/>
      <c r="CM173" s="14"/>
      <c r="CN173" s="14"/>
      <c r="CO173" s="14"/>
      <c r="CP173" s="14"/>
      <c r="CQ173" s="14"/>
      <c r="CR173" s="14"/>
      <c r="CS173" s="14"/>
      <c r="CT173" s="14"/>
      <c r="CU173" s="14"/>
      <c r="CV173" s="14"/>
    </row>
    <row r="174" spans="1:100" x14ac:dyDescent="0.2">
      <c r="A174" s="14"/>
      <c r="B174" s="14"/>
      <c r="C174" s="14"/>
      <c r="D174" s="14"/>
      <c r="E174" s="14"/>
      <c r="F174" s="14"/>
      <c r="G174" s="14"/>
      <c r="H174" s="14"/>
      <c r="I174" s="14"/>
      <c r="J174" s="14"/>
      <c r="K174" s="14"/>
      <c r="L174" s="15"/>
      <c r="M174" s="14"/>
      <c r="N174" s="14"/>
      <c r="O174" s="14"/>
      <c r="P174" s="14"/>
      <c r="Q174" s="16"/>
      <c r="R174" s="14"/>
      <c r="Z174" s="16"/>
      <c r="AC174" s="14"/>
      <c r="AD174" s="14"/>
      <c r="AE174" s="14"/>
      <c r="AF174" s="14"/>
      <c r="AG174" s="14"/>
      <c r="AH174" s="14"/>
      <c r="AI174" s="14"/>
      <c r="AJ174" s="14"/>
      <c r="AK174" s="14"/>
      <c r="AL174" s="14"/>
      <c r="AS174" s="14"/>
      <c r="AT174" s="14"/>
      <c r="AU174" s="14"/>
      <c r="AV174" s="14"/>
      <c r="AW174" s="14"/>
      <c r="AX174" s="14"/>
      <c r="AY174" s="14"/>
      <c r="BA174" s="14"/>
      <c r="BE174" s="16"/>
      <c r="BH174" s="14"/>
      <c r="BI174" s="14"/>
      <c r="BJ174" s="14"/>
      <c r="BK174" s="14"/>
      <c r="BL174" s="14"/>
      <c r="BM174" s="14"/>
      <c r="BN174" s="14"/>
      <c r="BO174" s="14"/>
      <c r="BP174" s="14"/>
      <c r="BQ174" s="14"/>
      <c r="BX174" s="14"/>
      <c r="BY174" s="14"/>
      <c r="BZ174" s="14"/>
      <c r="CA174" s="14"/>
      <c r="CB174" s="14"/>
      <c r="CC174" s="14"/>
      <c r="CD174" s="14"/>
      <c r="CF174" s="14"/>
      <c r="CJ174" s="16"/>
      <c r="CM174" s="14"/>
      <c r="CN174" s="14"/>
      <c r="CO174" s="14"/>
      <c r="CP174" s="14"/>
      <c r="CQ174" s="14"/>
      <c r="CR174" s="14"/>
      <c r="CS174" s="14"/>
      <c r="CT174" s="14"/>
      <c r="CU174" s="14"/>
      <c r="CV174" s="14"/>
    </row>
    <row r="175" spans="1:100" x14ac:dyDescent="0.2">
      <c r="A175" s="14"/>
      <c r="B175" s="14"/>
      <c r="C175" s="14"/>
      <c r="D175" s="14"/>
      <c r="E175" s="14"/>
      <c r="F175" s="14"/>
      <c r="G175" s="14"/>
      <c r="H175" s="14"/>
      <c r="I175" s="14"/>
      <c r="J175" s="14"/>
      <c r="K175" s="14"/>
      <c r="L175" s="15"/>
      <c r="M175" s="14"/>
      <c r="N175" s="14"/>
      <c r="O175" s="14"/>
      <c r="P175" s="14"/>
      <c r="Q175" s="16"/>
      <c r="R175" s="14"/>
      <c r="Z175" s="16"/>
      <c r="AC175" s="14"/>
      <c r="AD175" s="14"/>
      <c r="AE175" s="14"/>
      <c r="AF175" s="14"/>
      <c r="AG175" s="14"/>
      <c r="AH175" s="14"/>
      <c r="AI175" s="14"/>
      <c r="AJ175" s="14"/>
      <c r="AK175" s="14"/>
      <c r="AL175" s="14"/>
      <c r="AS175" s="14"/>
      <c r="AT175" s="14"/>
      <c r="AU175" s="14"/>
      <c r="AV175" s="14"/>
      <c r="AW175" s="14"/>
      <c r="AX175" s="14"/>
      <c r="AY175" s="14"/>
      <c r="BA175" s="14"/>
      <c r="BE175" s="16"/>
      <c r="BH175" s="14"/>
      <c r="BI175" s="14"/>
      <c r="BJ175" s="14"/>
      <c r="BK175" s="14"/>
      <c r="BL175" s="14"/>
      <c r="BM175" s="14"/>
      <c r="BN175" s="14"/>
      <c r="BO175" s="14"/>
      <c r="BP175" s="14"/>
      <c r="BQ175" s="14"/>
      <c r="BX175" s="14"/>
      <c r="BY175" s="14"/>
      <c r="BZ175" s="14"/>
      <c r="CA175" s="14"/>
      <c r="CB175" s="14"/>
      <c r="CC175" s="14"/>
      <c r="CD175" s="14"/>
      <c r="CF175" s="14"/>
      <c r="CJ175" s="16"/>
      <c r="CM175" s="14"/>
      <c r="CN175" s="14"/>
      <c r="CO175" s="14"/>
      <c r="CP175" s="14"/>
      <c r="CQ175" s="14"/>
      <c r="CR175" s="14"/>
      <c r="CS175" s="14"/>
      <c r="CT175" s="14"/>
      <c r="CU175" s="14"/>
      <c r="CV175" s="14"/>
    </row>
    <row r="176" spans="1:100" x14ac:dyDescent="0.2">
      <c r="A176" s="14"/>
      <c r="B176" s="14"/>
      <c r="C176" s="14"/>
      <c r="D176" s="14"/>
      <c r="E176" s="14"/>
      <c r="F176" s="14"/>
      <c r="G176" s="14"/>
      <c r="H176" s="14"/>
      <c r="I176" s="14"/>
      <c r="J176" s="14"/>
      <c r="K176" s="14"/>
      <c r="L176" s="15"/>
      <c r="M176" s="14"/>
      <c r="N176" s="14"/>
      <c r="O176" s="14"/>
      <c r="P176" s="14"/>
      <c r="Q176" s="16"/>
      <c r="R176" s="14"/>
      <c r="Z176" s="16"/>
      <c r="AC176" s="14"/>
      <c r="AD176" s="14"/>
      <c r="AE176" s="14"/>
      <c r="AF176" s="14"/>
      <c r="AG176" s="14"/>
      <c r="AH176" s="14"/>
      <c r="AI176" s="14"/>
      <c r="AJ176" s="14"/>
      <c r="AK176" s="14"/>
      <c r="AL176" s="14"/>
      <c r="AS176" s="14"/>
      <c r="AT176" s="14"/>
      <c r="AU176" s="14"/>
      <c r="AV176" s="14"/>
      <c r="AW176" s="14"/>
      <c r="AX176" s="14"/>
      <c r="AY176" s="14"/>
      <c r="BA176" s="14"/>
      <c r="BE176" s="16"/>
      <c r="BH176" s="14"/>
      <c r="BI176" s="14"/>
      <c r="BJ176" s="14"/>
      <c r="BK176" s="14"/>
      <c r="BL176" s="14"/>
      <c r="BM176" s="14"/>
      <c r="BN176" s="14"/>
      <c r="BO176" s="14"/>
      <c r="BP176" s="14"/>
      <c r="BQ176" s="14"/>
      <c r="BX176" s="14"/>
      <c r="BY176" s="14"/>
      <c r="BZ176" s="14"/>
      <c r="CA176" s="14"/>
      <c r="CB176" s="14"/>
      <c r="CC176" s="14"/>
      <c r="CD176" s="14"/>
      <c r="CF176" s="14"/>
      <c r="CJ176" s="16"/>
      <c r="CM176" s="14"/>
      <c r="CN176" s="14"/>
      <c r="CO176" s="14"/>
      <c r="CP176" s="14"/>
      <c r="CQ176" s="14"/>
      <c r="CR176" s="14"/>
      <c r="CS176" s="14"/>
      <c r="CT176" s="14"/>
      <c r="CU176" s="14"/>
      <c r="CV176" s="14"/>
    </row>
    <row r="177" spans="1:100" x14ac:dyDescent="0.2">
      <c r="A177" s="14"/>
      <c r="B177" s="14"/>
      <c r="C177" s="14"/>
      <c r="D177" s="14"/>
      <c r="E177" s="14"/>
      <c r="F177" s="14"/>
      <c r="G177" s="14"/>
      <c r="H177" s="14"/>
      <c r="I177" s="14"/>
      <c r="J177" s="14"/>
      <c r="K177" s="14"/>
      <c r="L177" s="15"/>
      <c r="M177" s="14"/>
      <c r="N177" s="14"/>
      <c r="O177" s="14"/>
      <c r="P177" s="14"/>
      <c r="Q177" s="16"/>
      <c r="R177" s="14"/>
      <c r="Z177" s="16"/>
      <c r="AC177" s="14"/>
      <c r="AD177" s="14"/>
      <c r="AE177" s="14"/>
      <c r="AF177" s="14"/>
      <c r="AG177" s="14"/>
      <c r="AH177" s="14"/>
      <c r="AI177" s="14"/>
      <c r="AJ177" s="14"/>
      <c r="AK177" s="14"/>
      <c r="AL177" s="14"/>
      <c r="AS177" s="14"/>
      <c r="AT177" s="14"/>
      <c r="AU177" s="14"/>
      <c r="AV177" s="14"/>
      <c r="AW177" s="14"/>
      <c r="AX177" s="14"/>
      <c r="AY177" s="14"/>
      <c r="BA177" s="14"/>
      <c r="BE177" s="16"/>
      <c r="BH177" s="14"/>
      <c r="BI177" s="14"/>
      <c r="BJ177" s="14"/>
      <c r="BK177" s="14"/>
      <c r="BL177" s="14"/>
      <c r="BM177" s="14"/>
      <c r="BN177" s="14"/>
      <c r="BO177" s="14"/>
      <c r="BP177" s="14"/>
      <c r="BQ177" s="14"/>
      <c r="BX177" s="14"/>
      <c r="BY177" s="14"/>
      <c r="BZ177" s="14"/>
      <c r="CA177" s="14"/>
      <c r="CB177" s="14"/>
      <c r="CC177" s="14"/>
      <c r="CD177" s="14"/>
      <c r="CF177" s="14"/>
      <c r="CJ177" s="16"/>
      <c r="CM177" s="14"/>
      <c r="CN177" s="14"/>
      <c r="CO177" s="14"/>
      <c r="CP177" s="14"/>
      <c r="CQ177" s="14"/>
      <c r="CR177" s="14"/>
      <c r="CS177" s="14"/>
      <c r="CT177" s="14"/>
      <c r="CU177" s="14"/>
      <c r="CV177" s="14"/>
    </row>
    <row r="178" spans="1:100" x14ac:dyDescent="0.2">
      <c r="A178" s="14"/>
      <c r="B178" s="14"/>
      <c r="C178" s="14"/>
      <c r="D178" s="14"/>
      <c r="E178" s="14"/>
      <c r="F178" s="14"/>
      <c r="G178" s="14"/>
      <c r="H178" s="14"/>
      <c r="I178" s="14"/>
      <c r="J178" s="14"/>
      <c r="K178" s="14"/>
      <c r="L178" s="15"/>
      <c r="M178" s="14"/>
      <c r="N178" s="14"/>
      <c r="O178" s="14"/>
      <c r="P178" s="14"/>
      <c r="Q178" s="16"/>
      <c r="R178" s="14"/>
      <c r="Z178" s="16"/>
      <c r="AC178" s="14"/>
      <c r="AD178" s="14"/>
      <c r="AE178" s="14"/>
      <c r="AF178" s="14"/>
      <c r="AG178" s="14"/>
      <c r="AH178" s="14"/>
      <c r="AI178" s="14"/>
      <c r="AJ178" s="14"/>
      <c r="AK178" s="14"/>
      <c r="AL178" s="14"/>
      <c r="AS178" s="14"/>
      <c r="AT178" s="14"/>
      <c r="AU178" s="14"/>
      <c r="AV178" s="14"/>
      <c r="AW178" s="14"/>
      <c r="AX178" s="14"/>
      <c r="AY178" s="14"/>
      <c r="BA178" s="14"/>
      <c r="BE178" s="16"/>
      <c r="BH178" s="14"/>
      <c r="BI178" s="14"/>
      <c r="BJ178" s="14"/>
      <c r="BK178" s="14"/>
      <c r="BL178" s="14"/>
      <c r="BM178" s="14"/>
      <c r="BN178" s="14"/>
      <c r="BO178" s="14"/>
      <c r="BP178" s="14"/>
      <c r="BQ178" s="14"/>
      <c r="BX178" s="14"/>
      <c r="BY178" s="14"/>
      <c r="BZ178" s="14"/>
      <c r="CA178" s="14"/>
      <c r="CB178" s="14"/>
      <c r="CC178" s="14"/>
      <c r="CD178" s="14"/>
      <c r="CF178" s="14"/>
      <c r="CJ178" s="16"/>
      <c r="CM178" s="14"/>
      <c r="CN178" s="14"/>
      <c r="CO178" s="14"/>
      <c r="CP178" s="14"/>
      <c r="CQ178" s="14"/>
      <c r="CR178" s="14"/>
      <c r="CS178" s="14"/>
      <c r="CT178" s="14"/>
      <c r="CU178" s="14"/>
      <c r="CV178" s="14"/>
    </row>
    <row r="179" spans="1:100" x14ac:dyDescent="0.2">
      <c r="A179" s="14"/>
      <c r="B179" s="14"/>
      <c r="C179" s="14"/>
      <c r="D179" s="14"/>
      <c r="E179" s="14"/>
      <c r="F179" s="14"/>
      <c r="G179" s="14"/>
      <c r="H179" s="14"/>
      <c r="I179" s="14"/>
      <c r="J179" s="14"/>
      <c r="K179" s="14"/>
      <c r="L179" s="15"/>
      <c r="M179" s="14"/>
      <c r="N179" s="14"/>
      <c r="O179" s="14"/>
      <c r="P179" s="14"/>
      <c r="Q179" s="16"/>
      <c r="R179" s="14"/>
      <c r="Z179" s="16"/>
      <c r="AC179" s="14"/>
      <c r="AD179" s="14"/>
      <c r="AE179" s="14"/>
      <c r="AF179" s="14"/>
      <c r="AG179" s="14"/>
      <c r="AH179" s="14"/>
      <c r="AI179" s="14"/>
      <c r="AJ179" s="14"/>
      <c r="AK179" s="14"/>
      <c r="AL179" s="14"/>
      <c r="AS179" s="14"/>
      <c r="AT179" s="14"/>
      <c r="AU179" s="14"/>
      <c r="AV179" s="14"/>
      <c r="AW179" s="14"/>
      <c r="AX179" s="14"/>
      <c r="AY179" s="14"/>
      <c r="BA179" s="14"/>
      <c r="BE179" s="16"/>
      <c r="BH179" s="14"/>
      <c r="BI179" s="14"/>
      <c r="BJ179" s="14"/>
      <c r="BK179" s="14"/>
      <c r="BL179" s="14"/>
      <c r="BM179" s="14"/>
      <c r="BN179" s="14"/>
      <c r="BO179" s="14"/>
      <c r="BP179" s="14"/>
      <c r="BQ179" s="14"/>
      <c r="BX179" s="14"/>
      <c r="BY179" s="14"/>
      <c r="BZ179" s="14"/>
      <c r="CA179" s="14"/>
      <c r="CB179" s="14"/>
      <c r="CC179" s="14"/>
      <c r="CD179" s="14"/>
      <c r="CF179" s="14"/>
      <c r="CJ179" s="16"/>
      <c r="CM179" s="14"/>
      <c r="CN179" s="14"/>
      <c r="CO179" s="14"/>
      <c r="CP179" s="14"/>
      <c r="CQ179" s="14"/>
      <c r="CR179" s="14"/>
      <c r="CS179" s="14"/>
      <c r="CT179" s="14"/>
      <c r="CU179" s="14"/>
      <c r="CV179" s="14"/>
    </row>
    <row r="180" spans="1:100" x14ac:dyDescent="0.2">
      <c r="A180" s="14"/>
      <c r="B180" s="14"/>
      <c r="C180" s="14"/>
      <c r="D180" s="14"/>
      <c r="E180" s="14"/>
      <c r="F180" s="14"/>
      <c r="G180" s="14"/>
      <c r="H180" s="14"/>
      <c r="I180" s="14"/>
      <c r="J180" s="14"/>
      <c r="K180" s="14"/>
      <c r="L180" s="15"/>
      <c r="M180" s="14"/>
      <c r="N180" s="14"/>
      <c r="O180" s="14"/>
      <c r="P180" s="14"/>
      <c r="Q180" s="16"/>
      <c r="R180" s="14"/>
      <c r="Z180" s="16"/>
      <c r="AC180" s="14"/>
      <c r="AD180" s="14"/>
      <c r="AE180" s="14"/>
      <c r="AF180" s="14"/>
      <c r="AG180" s="14"/>
      <c r="AH180" s="14"/>
      <c r="AI180" s="14"/>
      <c r="AJ180" s="14"/>
      <c r="AK180" s="14"/>
      <c r="AL180" s="14"/>
      <c r="AS180" s="14"/>
      <c r="AT180" s="14"/>
      <c r="AU180" s="14"/>
      <c r="AV180" s="14"/>
      <c r="AW180" s="14"/>
      <c r="AX180" s="14"/>
      <c r="AY180" s="14"/>
      <c r="BA180" s="14"/>
      <c r="BE180" s="16"/>
      <c r="BH180" s="14"/>
      <c r="BI180" s="14"/>
      <c r="BJ180" s="14"/>
      <c r="BK180" s="14"/>
      <c r="BL180" s="14"/>
      <c r="BM180" s="14"/>
      <c r="BN180" s="14"/>
      <c r="BO180" s="14"/>
      <c r="BP180" s="14"/>
      <c r="BQ180" s="14"/>
      <c r="BX180" s="14"/>
      <c r="BY180" s="14"/>
      <c r="BZ180" s="14"/>
      <c r="CA180" s="14"/>
      <c r="CB180" s="14"/>
      <c r="CC180" s="14"/>
      <c r="CD180" s="14"/>
      <c r="CF180" s="14"/>
      <c r="CJ180" s="16"/>
      <c r="CM180" s="14"/>
      <c r="CN180" s="14"/>
      <c r="CO180" s="14"/>
      <c r="CP180" s="14"/>
      <c r="CQ180" s="14"/>
      <c r="CR180" s="14"/>
      <c r="CS180" s="14"/>
      <c r="CT180" s="14"/>
      <c r="CU180" s="14"/>
      <c r="CV180" s="14"/>
    </row>
    <row r="181" spans="1:100" x14ac:dyDescent="0.2">
      <c r="A181" s="14"/>
      <c r="B181" s="14"/>
      <c r="C181" s="14"/>
      <c r="D181" s="14"/>
      <c r="E181" s="14"/>
      <c r="F181" s="14"/>
      <c r="G181" s="14"/>
      <c r="H181" s="14"/>
      <c r="I181" s="14"/>
      <c r="J181" s="14"/>
      <c r="K181" s="14"/>
      <c r="L181" s="15"/>
      <c r="M181" s="14"/>
      <c r="N181" s="14"/>
      <c r="O181" s="14"/>
      <c r="P181" s="14"/>
      <c r="Q181" s="16"/>
      <c r="R181" s="14"/>
      <c r="Z181" s="16"/>
      <c r="AC181" s="14"/>
      <c r="AD181" s="14"/>
      <c r="AE181" s="14"/>
      <c r="AF181" s="14"/>
      <c r="AG181" s="14"/>
      <c r="AH181" s="14"/>
      <c r="AI181" s="14"/>
      <c r="AJ181" s="14"/>
      <c r="AK181" s="14"/>
      <c r="AL181" s="14"/>
      <c r="AS181" s="14"/>
      <c r="AT181" s="14"/>
      <c r="AU181" s="14"/>
      <c r="AV181" s="14"/>
      <c r="AW181" s="14"/>
      <c r="AX181" s="14"/>
      <c r="AY181" s="14"/>
      <c r="BA181" s="14"/>
      <c r="BE181" s="16"/>
      <c r="BH181" s="14"/>
      <c r="BI181" s="14"/>
      <c r="BJ181" s="14"/>
      <c r="BK181" s="14"/>
      <c r="BL181" s="14"/>
      <c r="BM181" s="14"/>
      <c r="BN181" s="14"/>
      <c r="BO181" s="14"/>
      <c r="BP181" s="14"/>
      <c r="BQ181" s="14"/>
      <c r="BX181" s="14"/>
      <c r="BY181" s="14"/>
      <c r="BZ181" s="14"/>
      <c r="CA181" s="14"/>
      <c r="CB181" s="14"/>
      <c r="CC181" s="14"/>
      <c r="CD181" s="14"/>
      <c r="CF181" s="14"/>
      <c r="CJ181" s="16"/>
      <c r="CM181" s="14"/>
      <c r="CN181" s="14"/>
      <c r="CO181" s="14"/>
      <c r="CP181" s="14"/>
      <c r="CQ181" s="14"/>
      <c r="CR181" s="14"/>
      <c r="CS181" s="14"/>
      <c r="CT181" s="14"/>
      <c r="CU181" s="14"/>
      <c r="CV181" s="14"/>
    </row>
    <row r="182" spans="1:100" x14ac:dyDescent="0.2">
      <c r="A182" s="14"/>
      <c r="B182" s="14"/>
      <c r="C182" s="14"/>
      <c r="D182" s="14"/>
      <c r="E182" s="14"/>
      <c r="F182" s="14"/>
      <c r="G182" s="14"/>
      <c r="H182" s="14"/>
      <c r="I182" s="14"/>
      <c r="J182" s="14"/>
      <c r="K182" s="14"/>
      <c r="L182" s="15"/>
      <c r="M182" s="14"/>
      <c r="N182" s="14"/>
      <c r="O182" s="14"/>
      <c r="P182" s="14"/>
      <c r="Q182" s="16"/>
      <c r="R182" s="14"/>
      <c r="Z182" s="16"/>
      <c r="AC182" s="14"/>
      <c r="AD182" s="14"/>
      <c r="AE182" s="14"/>
      <c r="AF182" s="14"/>
      <c r="AG182" s="14"/>
      <c r="AH182" s="14"/>
      <c r="AI182" s="14"/>
      <c r="AJ182" s="14"/>
      <c r="AK182" s="14"/>
      <c r="AL182" s="14"/>
      <c r="AS182" s="14"/>
      <c r="AT182" s="14"/>
      <c r="AU182" s="14"/>
      <c r="AV182" s="14"/>
      <c r="AW182" s="14"/>
      <c r="AX182" s="14"/>
      <c r="AY182" s="14"/>
      <c r="BA182" s="14"/>
      <c r="BE182" s="16"/>
      <c r="BH182" s="14"/>
      <c r="BI182" s="14"/>
      <c r="BJ182" s="14"/>
      <c r="BK182" s="14"/>
      <c r="BL182" s="14"/>
      <c r="BM182" s="14"/>
      <c r="BN182" s="14"/>
      <c r="BO182" s="14"/>
      <c r="BP182" s="14"/>
      <c r="BQ182" s="14"/>
      <c r="BX182" s="14"/>
      <c r="BY182" s="14"/>
      <c r="BZ182" s="14"/>
      <c r="CA182" s="14"/>
      <c r="CB182" s="14"/>
      <c r="CC182" s="14"/>
      <c r="CD182" s="14"/>
      <c r="CF182" s="14"/>
      <c r="CJ182" s="16"/>
      <c r="CM182" s="14"/>
      <c r="CN182" s="14"/>
      <c r="CO182" s="14"/>
      <c r="CP182" s="14"/>
      <c r="CQ182" s="14"/>
      <c r="CR182" s="14"/>
      <c r="CS182" s="14"/>
      <c r="CT182" s="14"/>
      <c r="CU182" s="14"/>
      <c r="CV182" s="14"/>
    </row>
    <row r="183" spans="1:100" x14ac:dyDescent="0.2">
      <c r="A183" s="14"/>
      <c r="B183" s="14"/>
      <c r="C183" s="14"/>
      <c r="D183" s="14"/>
      <c r="E183" s="14"/>
      <c r="F183" s="14"/>
      <c r="G183" s="14"/>
      <c r="H183" s="14"/>
      <c r="I183" s="14"/>
      <c r="J183" s="14"/>
      <c r="K183" s="14"/>
      <c r="L183" s="15"/>
      <c r="M183" s="14"/>
      <c r="N183" s="14"/>
      <c r="O183" s="14"/>
      <c r="P183" s="14"/>
      <c r="Q183" s="16"/>
      <c r="R183" s="14"/>
      <c r="Z183" s="16"/>
      <c r="AC183" s="14"/>
      <c r="AD183" s="14"/>
      <c r="AE183" s="14"/>
      <c r="AF183" s="14"/>
      <c r="AG183" s="14"/>
      <c r="AH183" s="14"/>
      <c r="AI183" s="14"/>
      <c r="AJ183" s="14"/>
      <c r="AK183" s="14"/>
      <c r="AL183" s="14"/>
      <c r="AS183" s="14"/>
      <c r="AT183" s="14"/>
      <c r="AU183" s="14"/>
      <c r="AV183" s="14"/>
      <c r="AW183" s="14"/>
      <c r="AX183" s="14"/>
      <c r="AY183" s="14"/>
      <c r="BA183" s="14"/>
      <c r="BE183" s="16"/>
      <c r="BH183" s="14"/>
      <c r="BI183" s="14"/>
      <c r="BJ183" s="14"/>
      <c r="BK183" s="14"/>
      <c r="BL183" s="14"/>
      <c r="BM183" s="14"/>
      <c r="BN183" s="14"/>
      <c r="BO183" s="14"/>
      <c r="BP183" s="14"/>
      <c r="BQ183" s="14"/>
      <c r="BX183" s="14"/>
      <c r="BY183" s="14"/>
      <c r="BZ183" s="14"/>
      <c r="CA183" s="14"/>
      <c r="CB183" s="14"/>
      <c r="CC183" s="14"/>
      <c r="CD183" s="14"/>
      <c r="CF183" s="14"/>
      <c r="CJ183" s="16"/>
      <c r="CM183" s="14"/>
      <c r="CN183" s="14"/>
      <c r="CO183" s="14"/>
      <c r="CP183" s="14"/>
      <c r="CQ183" s="14"/>
      <c r="CR183" s="14"/>
      <c r="CS183" s="14"/>
      <c r="CT183" s="14"/>
      <c r="CU183" s="14"/>
      <c r="CV183" s="14"/>
    </row>
    <row r="184" spans="1:100" x14ac:dyDescent="0.2">
      <c r="A184" s="14"/>
      <c r="B184" s="14"/>
      <c r="C184" s="14"/>
      <c r="D184" s="14"/>
      <c r="E184" s="14"/>
      <c r="F184" s="14"/>
      <c r="G184" s="14"/>
      <c r="H184" s="14"/>
      <c r="I184" s="14"/>
      <c r="J184" s="14"/>
      <c r="K184" s="14"/>
      <c r="L184" s="15"/>
      <c r="M184" s="14"/>
      <c r="N184" s="14"/>
      <c r="O184" s="14"/>
      <c r="P184" s="14"/>
      <c r="Q184" s="16"/>
      <c r="R184" s="14"/>
      <c r="Z184" s="16"/>
      <c r="AC184" s="14"/>
      <c r="AD184" s="14"/>
      <c r="AE184" s="14"/>
      <c r="AF184" s="14"/>
      <c r="AG184" s="14"/>
      <c r="AH184" s="14"/>
      <c r="AI184" s="14"/>
      <c r="AJ184" s="14"/>
      <c r="AK184" s="14"/>
      <c r="AL184" s="14"/>
      <c r="AS184" s="14"/>
      <c r="AT184" s="14"/>
      <c r="AU184" s="14"/>
      <c r="AV184" s="14"/>
      <c r="AW184" s="14"/>
      <c r="AX184" s="14"/>
      <c r="AY184" s="14"/>
      <c r="BA184" s="14"/>
      <c r="BE184" s="16"/>
      <c r="BH184" s="14"/>
      <c r="BI184" s="14"/>
      <c r="BJ184" s="14"/>
      <c r="BK184" s="14"/>
      <c r="BL184" s="14"/>
      <c r="BM184" s="14"/>
      <c r="BN184" s="14"/>
      <c r="BO184" s="14"/>
      <c r="BP184" s="14"/>
      <c r="BQ184" s="14"/>
      <c r="BX184" s="14"/>
      <c r="BY184" s="14"/>
      <c r="BZ184" s="14"/>
      <c r="CA184" s="14"/>
      <c r="CB184" s="14"/>
      <c r="CC184" s="14"/>
      <c r="CD184" s="14"/>
      <c r="CF184" s="14"/>
      <c r="CJ184" s="16"/>
      <c r="CM184" s="14"/>
      <c r="CN184" s="14"/>
      <c r="CO184" s="14"/>
      <c r="CP184" s="14"/>
      <c r="CQ184" s="14"/>
      <c r="CR184" s="14"/>
      <c r="CS184" s="14"/>
      <c r="CT184" s="14"/>
      <c r="CU184" s="14"/>
      <c r="CV184" s="14"/>
    </row>
    <row r="185" spans="1:100" x14ac:dyDescent="0.2">
      <c r="A185" s="14"/>
      <c r="B185" s="14"/>
      <c r="C185" s="14"/>
      <c r="D185" s="14"/>
      <c r="E185" s="14"/>
      <c r="F185" s="14"/>
      <c r="G185" s="14"/>
      <c r="H185" s="14"/>
      <c r="I185" s="14"/>
      <c r="J185" s="14"/>
      <c r="K185" s="14"/>
      <c r="L185" s="15"/>
      <c r="M185" s="14"/>
      <c r="N185" s="14"/>
      <c r="O185" s="14"/>
      <c r="P185" s="14"/>
      <c r="Q185" s="16"/>
      <c r="R185" s="14"/>
      <c r="Z185" s="16"/>
      <c r="AC185" s="14"/>
      <c r="AD185" s="14"/>
      <c r="AE185" s="14"/>
      <c r="AF185" s="14"/>
      <c r="AG185" s="14"/>
      <c r="AH185" s="14"/>
      <c r="AI185" s="14"/>
      <c r="AJ185" s="14"/>
      <c r="AK185" s="14"/>
      <c r="AL185" s="14"/>
      <c r="AS185" s="14"/>
      <c r="AT185" s="14"/>
      <c r="AU185" s="14"/>
      <c r="AV185" s="14"/>
      <c r="AW185" s="14"/>
      <c r="AX185" s="14"/>
      <c r="AY185" s="14"/>
      <c r="BA185" s="14"/>
      <c r="BE185" s="16"/>
      <c r="BH185" s="14"/>
      <c r="BI185" s="14"/>
      <c r="BJ185" s="14"/>
      <c r="BK185" s="14"/>
      <c r="BL185" s="14"/>
      <c r="BM185" s="14"/>
      <c r="BN185" s="14"/>
      <c r="BO185" s="14"/>
      <c r="BP185" s="14"/>
      <c r="BQ185" s="14"/>
      <c r="BX185" s="14"/>
      <c r="BY185" s="14"/>
      <c r="BZ185" s="14"/>
      <c r="CA185" s="14"/>
      <c r="CB185" s="14"/>
      <c r="CC185" s="14"/>
      <c r="CD185" s="14"/>
      <c r="CF185" s="14"/>
      <c r="CJ185" s="16"/>
      <c r="CM185" s="14"/>
      <c r="CN185" s="14"/>
      <c r="CO185" s="14"/>
      <c r="CP185" s="14"/>
      <c r="CQ185" s="14"/>
      <c r="CR185" s="14"/>
      <c r="CS185" s="14"/>
      <c r="CT185" s="14"/>
      <c r="CU185" s="14"/>
      <c r="CV185" s="14"/>
    </row>
    <row r="186" spans="1:100" x14ac:dyDescent="0.2">
      <c r="A186" s="14"/>
      <c r="B186" s="14"/>
      <c r="C186" s="14"/>
      <c r="D186" s="14"/>
      <c r="E186" s="14"/>
      <c r="F186" s="14"/>
      <c r="G186" s="14"/>
      <c r="H186" s="14"/>
      <c r="I186" s="14"/>
      <c r="J186" s="14"/>
      <c r="K186" s="14"/>
      <c r="L186" s="15"/>
      <c r="M186" s="14"/>
      <c r="N186" s="14"/>
      <c r="O186" s="14"/>
      <c r="P186" s="14"/>
      <c r="Q186" s="16"/>
      <c r="R186" s="14"/>
      <c r="Z186" s="16"/>
      <c r="AC186" s="14"/>
      <c r="AD186" s="14"/>
      <c r="AE186" s="14"/>
      <c r="AF186" s="14"/>
      <c r="AG186" s="14"/>
      <c r="AH186" s="14"/>
      <c r="AI186" s="14"/>
      <c r="AJ186" s="14"/>
      <c r="AK186" s="14"/>
      <c r="AL186" s="14"/>
      <c r="AS186" s="14"/>
      <c r="AT186" s="14"/>
      <c r="AU186" s="14"/>
      <c r="AV186" s="14"/>
      <c r="AW186" s="14"/>
      <c r="AX186" s="14"/>
      <c r="AY186" s="14"/>
      <c r="BA186" s="14"/>
      <c r="BE186" s="16"/>
      <c r="BH186" s="14"/>
      <c r="BI186" s="14"/>
      <c r="BJ186" s="14"/>
      <c r="BK186" s="14"/>
      <c r="BL186" s="14"/>
      <c r="BM186" s="14"/>
      <c r="BN186" s="14"/>
      <c r="BO186" s="14"/>
      <c r="BP186" s="14"/>
      <c r="BQ186" s="14"/>
      <c r="BX186" s="14"/>
      <c r="BY186" s="14"/>
      <c r="BZ186" s="14"/>
      <c r="CA186" s="14"/>
      <c r="CB186" s="14"/>
      <c r="CC186" s="14"/>
      <c r="CD186" s="14"/>
      <c r="CF186" s="14"/>
      <c r="CJ186" s="16"/>
      <c r="CM186" s="14"/>
      <c r="CN186" s="14"/>
      <c r="CO186" s="14"/>
      <c r="CP186" s="14"/>
      <c r="CQ186" s="14"/>
      <c r="CR186" s="14"/>
      <c r="CS186" s="14"/>
      <c r="CT186" s="14"/>
      <c r="CU186" s="14"/>
      <c r="CV186" s="14"/>
    </row>
    <row r="187" spans="1:100" x14ac:dyDescent="0.2">
      <c r="A187" s="14"/>
      <c r="B187" s="14"/>
      <c r="C187" s="14"/>
      <c r="D187" s="14"/>
      <c r="E187" s="14"/>
      <c r="F187" s="14"/>
      <c r="G187" s="14"/>
      <c r="H187" s="14"/>
      <c r="I187" s="14"/>
      <c r="J187" s="14"/>
      <c r="K187" s="14"/>
      <c r="L187" s="15"/>
      <c r="M187" s="14"/>
      <c r="N187" s="14"/>
      <c r="O187" s="14"/>
      <c r="P187" s="14"/>
      <c r="Q187" s="16"/>
      <c r="R187" s="14"/>
      <c r="Z187" s="16"/>
      <c r="AC187" s="14"/>
      <c r="AD187" s="14"/>
      <c r="AE187" s="14"/>
      <c r="AF187" s="14"/>
      <c r="AG187" s="14"/>
      <c r="AH187" s="14"/>
      <c r="AI187" s="14"/>
      <c r="AJ187" s="14"/>
      <c r="AK187" s="14"/>
      <c r="AL187" s="14"/>
      <c r="AS187" s="14"/>
      <c r="AT187" s="14"/>
      <c r="AU187" s="14"/>
      <c r="AV187" s="14"/>
      <c r="AW187" s="14"/>
      <c r="AX187" s="14"/>
      <c r="AY187" s="14"/>
      <c r="BA187" s="14"/>
      <c r="BE187" s="16"/>
      <c r="BH187" s="14"/>
      <c r="BI187" s="14"/>
      <c r="BJ187" s="14"/>
      <c r="BK187" s="14"/>
      <c r="BL187" s="14"/>
      <c r="BM187" s="14"/>
      <c r="BN187" s="14"/>
      <c r="BO187" s="14"/>
      <c r="BP187" s="14"/>
      <c r="BQ187" s="14"/>
      <c r="BX187" s="14"/>
      <c r="BY187" s="14"/>
      <c r="BZ187" s="14"/>
      <c r="CA187" s="14"/>
      <c r="CB187" s="14"/>
      <c r="CC187" s="14"/>
      <c r="CD187" s="14"/>
      <c r="CF187" s="14"/>
      <c r="CJ187" s="16"/>
      <c r="CM187" s="14"/>
      <c r="CN187" s="14"/>
      <c r="CO187" s="14"/>
      <c r="CP187" s="14"/>
      <c r="CQ187" s="14"/>
      <c r="CR187" s="14"/>
      <c r="CS187" s="14"/>
      <c r="CT187" s="14"/>
      <c r="CU187" s="14"/>
      <c r="CV187" s="14"/>
    </row>
    <row r="188" spans="1:100" x14ac:dyDescent="0.2">
      <c r="A188" s="14"/>
      <c r="B188" s="14"/>
      <c r="C188" s="14"/>
      <c r="D188" s="14"/>
      <c r="E188" s="14"/>
      <c r="F188" s="14"/>
      <c r="G188" s="14"/>
      <c r="H188" s="14"/>
      <c r="I188" s="14"/>
      <c r="J188" s="14"/>
      <c r="K188" s="14"/>
      <c r="L188" s="15"/>
      <c r="M188" s="14"/>
      <c r="N188" s="14"/>
      <c r="O188" s="14"/>
      <c r="P188" s="14"/>
      <c r="Q188" s="16"/>
      <c r="R188" s="14"/>
      <c r="Z188" s="16"/>
      <c r="AC188" s="14"/>
      <c r="AD188" s="14"/>
      <c r="AE188" s="14"/>
      <c r="AF188" s="14"/>
      <c r="AG188" s="14"/>
      <c r="AH188" s="14"/>
      <c r="AI188" s="14"/>
      <c r="AJ188" s="14"/>
      <c r="AK188" s="14"/>
      <c r="AL188" s="14"/>
      <c r="AS188" s="14"/>
      <c r="AT188" s="14"/>
      <c r="AU188" s="14"/>
      <c r="AV188" s="14"/>
      <c r="AW188" s="14"/>
      <c r="AX188" s="14"/>
      <c r="AY188" s="14"/>
      <c r="BA188" s="14"/>
      <c r="BE188" s="16"/>
      <c r="BH188" s="14"/>
      <c r="BI188" s="14"/>
      <c r="BJ188" s="14"/>
      <c r="BK188" s="14"/>
      <c r="BL188" s="14"/>
      <c r="BM188" s="14"/>
      <c r="BN188" s="14"/>
      <c r="BO188" s="14"/>
      <c r="BP188" s="14"/>
      <c r="BQ188" s="14"/>
      <c r="BX188" s="14"/>
      <c r="BY188" s="14"/>
      <c r="BZ188" s="14"/>
      <c r="CA188" s="14"/>
      <c r="CB188" s="14"/>
      <c r="CC188" s="14"/>
      <c r="CD188" s="14"/>
      <c r="CF188" s="14"/>
      <c r="CJ188" s="16"/>
      <c r="CM188" s="14"/>
      <c r="CN188" s="14"/>
      <c r="CO188" s="14"/>
      <c r="CP188" s="14"/>
      <c r="CQ188" s="14"/>
      <c r="CR188" s="14"/>
      <c r="CS188" s="14"/>
      <c r="CT188" s="14"/>
      <c r="CU188" s="14"/>
      <c r="CV188" s="14"/>
    </row>
    <row r="189" spans="1:100" x14ac:dyDescent="0.2">
      <c r="A189" s="14"/>
      <c r="B189" s="14"/>
      <c r="C189" s="14"/>
      <c r="D189" s="14"/>
      <c r="E189" s="14"/>
      <c r="F189" s="14"/>
      <c r="G189" s="14"/>
      <c r="H189" s="14"/>
      <c r="I189" s="14"/>
      <c r="J189" s="14"/>
      <c r="K189" s="14"/>
      <c r="L189" s="15"/>
      <c r="M189" s="14"/>
      <c r="N189" s="14"/>
      <c r="O189" s="14"/>
      <c r="P189" s="14"/>
      <c r="Q189" s="16"/>
      <c r="R189" s="14"/>
      <c r="Z189" s="16"/>
      <c r="AC189" s="14"/>
      <c r="AD189" s="14"/>
      <c r="AE189" s="14"/>
      <c r="AF189" s="14"/>
      <c r="AG189" s="14"/>
      <c r="AH189" s="14"/>
      <c r="AI189" s="14"/>
      <c r="AJ189" s="14"/>
      <c r="AK189" s="14"/>
      <c r="AL189" s="14"/>
      <c r="AS189" s="14"/>
      <c r="AT189" s="14"/>
      <c r="AU189" s="14"/>
      <c r="AV189" s="14"/>
      <c r="AW189" s="14"/>
      <c r="AX189" s="14"/>
      <c r="AY189" s="14"/>
      <c r="BA189" s="14"/>
      <c r="BE189" s="16"/>
      <c r="BH189" s="14"/>
      <c r="BI189" s="14"/>
      <c r="BJ189" s="14"/>
      <c r="BK189" s="14"/>
      <c r="BL189" s="14"/>
      <c r="BM189" s="14"/>
      <c r="BN189" s="14"/>
      <c r="BO189" s="14"/>
      <c r="BP189" s="14"/>
      <c r="BQ189" s="14"/>
      <c r="BX189" s="14"/>
      <c r="BY189" s="14"/>
      <c r="BZ189" s="14"/>
      <c r="CA189" s="14"/>
      <c r="CB189" s="14"/>
      <c r="CC189" s="14"/>
      <c r="CD189" s="14"/>
      <c r="CF189" s="14"/>
      <c r="CJ189" s="16"/>
      <c r="CM189" s="14"/>
      <c r="CN189" s="14"/>
      <c r="CO189" s="14"/>
      <c r="CP189" s="14"/>
      <c r="CQ189" s="14"/>
      <c r="CR189" s="14"/>
      <c r="CS189" s="14"/>
      <c r="CT189" s="14"/>
      <c r="CU189" s="14"/>
      <c r="CV189" s="14"/>
    </row>
    <row r="190" spans="1:100" x14ac:dyDescent="0.2">
      <c r="A190" s="14"/>
      <c r="B190" s="14"/>
      <c r="C190" s="14"/>
      <c r="D190" s="14"/>
      <c r="E190" s="14"/>
      <c r="F190" s="14"/>
      <c r="G190" s="14"/>
      <c r="H190" s="14"/>
      <c r="I190" s="14"/>
      <c r="J190" s="14"/>
      <c r="K190" s="14"/>
      <c r="L190" s="15"/>
      <c r="M190" s="14"/>
      <c r="N190" s="14"/>
      <c r="O190" s="14"/>
      <c r="P190" s="14"/>
      <c r="Q190" s="16"/>
      <c r="R190" s="14"/>
      <c r="Z190" s="16"/>
      <c r="AC190" s="14"/>
      <c r="AD190" s="14"/>
      <c r="AE190" s="14"/>
      <c r="AF190" s="14"/>
      <c r="AG190" s="14"/>
      <c r="AH190" s="14"/>
      <c r="AI190" s="14"/>
      <c r="AJ190" s="14"/>
      <c r="AK190" s="14"/>
      <c r="AL190" s="14"/>
      <c r="AS190" s="14"/>
      <c r="AT190" s="14"/>
      <c r="AU190" s="14"/>
      <c r="AV190" s="14"/>
      <c r="AW190" s="14"/>
      <c r="AX190" s="14"/>
      <c r="AY190" s="14"/>
      <c r="BA190" s="14"/>
      <c r="BE190" s="16"/>
      <c r="BH190" s="14"/>
      <c r="BI190" s="14"/>
      <c r="BJ190" s="14"/>
      <c r="BK190" s="14"/>
      <c r="BL190" s="14"/>
      <c r="BM190" s="14"/>
      <c r="BN190" s="14"/>
      <c r="BO190" s="14"/>
      <c r="BP190" s="14"/>
      <c r="BQ190" s="14"/>
      <c r="BX190" s="14"/>
      <c r="BY190" s="14"/>
      <c r="BZ190" s="14"/>
      <c r="CA190" s="14"/>
      <c r="CB190" s="14"/>
      <c r="CC190" s="14"/>
      <c r="CD190" s="14"/>
      <c r="CF190" s="14"/>
      <c r="CJ190" s="16"/>
      <c r="CM190" s="14"/>
      <c r="CN190" s="14"/>
      <c r="CO190" s="14"/>
      <c r="CP190" s="14"/>
      <c r="CQ190" s="14"/>
      <c r="CR190" s="14"/>
      <c r="CS190" s="14"/>
      <c r="CT190" s="14"/>
      <c r="CU190" s="14"/>
      <c r="CV190" s="14"/>
    </row>
    <row r="191" spans="1:100" x14ac:dyDescent="0.2">
      <c r="A191" s="14"/>
      <c r="B191" s="14"/>
      <c r="C191" s="14"/>
      <c r="D191" s="14"/>
      <c r="E191" s="14"/>
      <c r="F191" s="14"/>
      <c r="G191" s="14"/>
      <c r="H191" s="14"/>
      <c r="I191" s="14"/>
      <c r="J191" s="14"/>
      <c r="K191" s="14"/>
      <c r="L191" s="15"/>
      <c r="M191" s="14"/>
      <c r="N191" s="14"/>
      <c r="O191" s="14"/>
      <c r="P191" s="14"/>
      <c r="Q191" s="16"/>
      <c r="R191" s="14"/>
      <c r="Z191" s="16"/>
      <c r="AC191" s="14"/>
      <c r="AD191" s="14"/>
      <c r="AE191" s="14"/>
      <c r="AF191" s="14"/>
      <c r="AG191" s="14"/>
      <c r="AH191" s="14"/>
      <c r="AI191" s="14"/>
      <c r="AJ191" s="14"/>
      <c r="AK191" s="14"/>
      <c r="AL191" s="14"/>
      <c r="AS191" s="14"/>
      <c r="AT191" s="14"/>
      <c r="AU191" s="14"/>
      <c r="AV191" s="14"/>
      <c r="AW191" s="14"/>
      <c r="AX191" s="14"/>
      <c r="AY191" s="14"/>
      <c r="BA191" s="14"/>
      <c r="BE191" s="16"/>
      <c r="BH191" s="14"/>
      <c r="BI191" s="14"/>
      <c r="BJ191" s="14"/>
      <c r="BK191" s="14"/>
      <c r="BL191" s="14"/>
      <c r="BM191" s="14"/>
      <c r="BN191" s="14"/>
      <c r="BO191" s="14"/>
      <c r="BP191" s="14"/>
      <c r="BQ191" s="14"/>
      <c r="BX191" s="14"/>
      <c r="BY191" s="14"/>
      <c r="BZ191" s="14"/>
      <c r="CA191" s="14"/>
      <c r="CB191" s="14"/>
      <c r="CC191" s="14"/>
      <c r="CD191" s="14"/>
      <c r="CF191" s="14"/>
      <c r="CJ191" s="16"/>
      <c r="CM191" s="14"/>
      <c r="CN191" s="14"/>
      <c r="CO191" s="14"/>
      <c r="CP191" s="14"/>
      <c r="CQ191" s="14"/>
      <c r="CR191" s="14"/>
      <c r="CS191" s="14"/>
      <c r="CT191" s="14"/>
      <c r="CU191" s="14"/>
      <c r="CV191" s="14"/>
    </row>
    <row r="192" spans="1:100" x14ac:dyDescent="0.2">
      <c r="A192" s="14"/>
      <c r="B192" s="14"/>
      <c r="C192" s="14"/>
      <c r="D192" s="14"/>
      <c r="E192" s="14"/>
      <c r="F192" s="14"/>
      <c r="G192" s="14"/>
      <c r="H192" s="14"/>
      <c r="I192" s="14"/>
      <c r="J192" s="14"/>
      <c r="K192" s="14"/>
      <c r="L192" s="15"/>
      <c r="M192" s="14"/>
      <c r="N192" s="14"/>
      <c r="O192" s="14"/>
      <c r="P192" s="14"/>
      <c r="Q192" s="16"/>
      <c r="R192" s="14"/>
      <c r="Z192" s="16"/>
      <c r="AC192" s="14"/>
      <c r="AD192" s="14"/>
      <c r="AE192" s="14"/>
      <c r="AF192" s="14"/>
      <c r="AG192" s="14"/>
      <c r="AH192" s="14"/>
      <c r="AI192" s="14"/>
      <c r="AJ192" s="14"/>
      <c r="AK192" s="14"/>
      <c r="AL192" s="14"/>
      <c r="AS192" s="14"/>
      <c r="AT192" s="14"/>
      <c r="AU192" s="14"/>
      <c r="AV192" s="14"/>
      <c r="AW192" s="14"/>
      <c r="AX192" s="14"/>
      <c r="AY192" s="14"/>
      <c r="BA192" s="14"/>
      <c r="BE192" s="16"/>
      <c r="BH192" s="14"/>
      <c r="BI192" s="14"/>
      <c r="BJ192" s="14"/>
      <c r="BK192" s="14"/>
      <c r="BL192" s="14"/>
      <c r="BM192" s="14"/>
      <c r="BN192" s="14"/>
      <c r="BO192" s="14"/>
      <c r="BP192" s="14"/>
      <c r="BQ192" s="14"/>
      <c r="BX192" s="14"/>
      <c r="BY192" s="14"/>
      <c r="BZ192" s="14"/>
      <c r="CA192" s="14"/>
      <c r="CB192" s="14"/>
      <c r="CC192" s="14"/>
      <c r="CD192" s="14"/>
      <c r="CF192" s="14"/>
      <c r="CJ192" s="16"/>
      <c r="CM192" s="14"/>
      <c r="CN192" s="14"/>
      <c r="CO192" s="14"/>
      <c r="CP192" s="14"/>
      <c r="CQ192" s="14"/>
      <c r="CR192" s="14"/>
      <c r="CS192" s="14"/>
      <c r="CT192" s="14"/>
      <c r="CU192" s="14"/>
      <c r="CV192" s="14"/>
    </row>
    <row r="193" spans="1:100" x14ac:dyDescent="0.2">
      <c r="A193" s="14"/>
      <c r="B193" s="14"/>
      <c r="C193" s="14"/>
      <c r="D193" s="14"/>
      <c r="E193" s="14"/>
      <c r="F193" s="14"/>
      <c r="G193" s="14"/>
      <c r="H193" s="14"/>
      <c r="I193" s="14"/>
      <c r="J193" s="14"/>
      <c r="K193" s="14"/>
      <c r="L193" s="15"/>
      <c r="M193" s="14"/>
      <c r="N193" s="14"/>
      <c r="O193" s="14"/>
      <c r="P193" s="14"/>
      <c r="Q193" s="16"/>
      <c r="R193" s="14"/>
      <c r="Z193" s="16"/>
      <c r="AC193" s="14"/>
      <c r="AD193" s="14"/>
      <c r="AE193" s="14"/>
      <c r="AF193" s="14"/>
      <c r="AG193" s="14"/>
      <c r="AH193" s="14"/>
      <c r="AI193" s="14"/>
      <c r="AJ193" s="14"/>
      <c r="AK193" s="14"/>
      <c r="AL193" s="14"/>
      <c r="AS193" s="14"/>
      <c r="AT193" s="14"/>
      <c r="AU193" s="14"/>
      <c r="AV193" s="14"/>
      <c r="AW193" s="14"/>
      <c r="AX193" s="14"/>
      <c r="AY193" s="14"/>
      <c r="BA193" s="14"/>
      <c r="BE193" s="16"/>
      <c r="BH193" s="14"/>
      <c r="BI193" s="14"/>
      <c r="BJ193" s="14"/>
      <c r="BK193" s="14"/>
      <c r="BL193" s="14"/>
      <c r="BM193" s="14"/>
      <c r="BN193" s="14"/>
      <c r="BO193" s="14"/>
      <c r="BP193" s="14"/>
      <c r="BQ193" s="14"/>
      <c r="BX193" s="14"/>
      <c r="BY193" s="14"/>
      <c r="BZ193" s="14"/>
      <c r="CA193" s="14"/>
      <c r="CB193" s="14"/>
      <c r="CC193" s="14"/>
      <c r="CD193" s="14"/>
      <c r="CF193" s="14"/>
      <c r="CJ193" s="16"/>
      <c r="CM193" s="14"/>
      <c r="CN193" s="14"/>
      <c r="CO193" s="14"/>
      <c r="CP193" s="14"/>
      <c r="CQ193" s="14"/>
      <c r="CR193" s="14"/>
      <c r="CS193" s="14"/>
      <c r="CT193" s="14"/>
      <c r="CU193" s="14"/>
      <c r="CV193" s="14"/>
    </row>
    <row r="194" spans="1:100" x14ac:dyDescent="0.2">
      <c r="A194" s="14"/>
      <c r="B194" s="14"/>
      <c r="C194" s="14"/>
      <c r="D194" s="14"/>
      <c r="E194" s="14"/>
      <c r="F194" s="14"/>
      <c r="G194" s="14"/>
      <c r="H194" s="14"/>
      <c r="I194" s="14"/>
      <c r="J194" s="14"/>
      <c r="K194" s="14"/>
      <c r="L194" s="15"/>
      <c r="M194" s="14"/>
      <c r="N194" s="14"/>
      <c r="O194" s="14"/>
      <c r="P194" s="14"/>
      <c r="Q194" s="16"/>
      <c r="R194" s="14"/>
      <c r="Z194" s="16"/>
      <c r="AC194" s="14"/>
      <c r="AD194" s="14"/>
      <c r="AE194" s="14"/>
      <c r="AF194" s="14"/>
      <c r="AG194" s="14"/>
      <c r="AH194" s="14"/>
      <c r="AI194" s="14"/>
      <c r="AJ194" s="14"/>
      <c r="AK194" s="14"/>
      <c r="AL194" s="14"/>
      <c r="AS194" s="14"/>
      <c r="AT194" s="14"/>
      <c r="AU194" s="14"/>
      <c r="AV194" s="14"/>
      <c r="AW194" s="14"/>
      <c r="AX194" s="14"/>
      <c r="AY194" s="14"/>
      <c r="BA194" s="14"/>
      <c r="BE194" s="16"/>
      <c r="BH194" s="14"/>
      <c r="BI194" s="14"/>
      <c r="BJ194" s="14"/>
      <c r="BK194" s="14"/>
      <c r="BL194" s="14"/>
      <c r="BM194" s="14"/>
      <c r="BN194" s="14"/>
      <c r="BO194" s="14"/>
      <c r="BP194" s="14"/>
      <c r="BQ194" s="14"/>
      <c r="BX194" s="14"/>
      <c r="BY194" s="14"/>
      <c r="BZ194" s="14"/>
      <c r="CA194" s="14"/>
      <c r="CB194" s="14"/>
      <c r="CC194" s="14"/>
      <c r="CD194" s="14"/>
      <c r="CF194" s="14"/>
      <c r="CJ194" s="16"/>
      <c r="CM194" s="14"/>
      <c r="CN194" s="14"/>
      <c r="CO194" s="14"/>
      <c r="CP194" s="14"/>
      <c r="CQ194" s="14"/>
      <c r="CR194" s="14"/>
      <c r="CS194" s="14"/>
      <c r="CT194" s="14"/>
      <c r="CU194" s="14"/>
      <c r="CV194" s="14"/>
    </row>
    <row r="195" spans="1:100" x14ac:dyDescent="0.2">
      <c r="A195" s="14"/>
      <c r="B195" s="14"/>
      <c r="C195" s="14"/>
      <c r="D195" s="14"/>
      <c r="E195" s="14"/>
      <c r="F195" s="14"/>
      <c r="G195" s="14"/>
      <c r="H195" s="14"/>
      <c r="I195" s="14"/>
      <c r="J195" s="14"/>
      <c r="K195" s="14"/>
      <c r="L195" s="15"/>
      <c r="M195" s="14"/>
      <c r="N195" s="14"/>
      <c r="O195" s="14"/>
      <c r="P195" s="14"/>
      <c r="Q195" s="16"/>
      <c r="R195" s="14"/>
      <c r="Z195" s="16"/>
      <c r="AC195" s="14"/>
      <c r="AD195" s="14"/>
      <c r="AE195" s="14"/>
      <c r="AF195" s="14"/>
      <c r="AG195" s="14"/>
      <c r="AH195" s="14"/>
      <c r="AI195" s="14"/>
      <c r="AJ195" s="14"/>
      <c r="AK195" s="14"/>
      <c r="AL195" s="14"/>
      <c r="AS195" s="14"/>
      <c r="AT195" s="14"/>
      <c r="AU195" s="14"/>
      <c r="AV195" s="14"/>
      <c r="AW195" s="14"/>
      <c r="AX195" s="14"/>
      <c r="AY195" s="14"/>
      <c r="BA195" s="14"/>
      <c r="BE195" s="16"/>
      <c r="BH195" s="14"/>
      <c r="BI195" s="14"/>
      <c r="BJ195" s="14"/>
      <c r="BK195" s="14"/>
      <c r="BL195" s="14"/>
      <c r="BM195" s="14"/>
      <c r="BN195" s="14"/>
      <c r="BO195" s="14"/>
      <c r="BP195" s="14"/>
      <c r="BQ195" s="14"/>
      <c r="BX195" s="14"/>
      <c r="BY195" s="14"/>
      <c r="BZ195" s="14"/>
      <c r="CA195" s="14"/>
      <c r="CB195" s="14"/>
      <c r="CC195" s="14"/>
      <c r="CD195" s="14"/>
      <c r="CF195" s="14"/>
      <c r="CJ195" s="16"/>
      <c r="CM195" s="14"/>
      <c r="CN195" s="14"/>
      <c r="CO195" s="14"/>
      <c r="CP195" s="14"/>
      <c r="CQ195" s="14"/>
      <c r="CR195" s="14"/>
      <c r="CS195" s="14"/>
      <c r="CT195" s="14"/>
      <c r="CU195" s="14"/>
      <c r="CV195" s="14"/>
    </row>
    <row r="196" spans="1:100" x14ac:dyDescent="0.2">
      <c r="A196" s="14"/>
      <c r="B196" s="14"/>
      <c r="C196" s="14"/>
      <c r="D196" s="14"/>
      <c r="E196" s="14"/>
      <c r="F196" s="14"/>
      <c r="G196" s="14"/>
      <c r="H196" s="14"/>
      <c r="I196" s="14"/>
      <c r="J196" s="14"/>
      <c r="K196" s="14"/>
      <c r="L196" s="15"/>
      <c r="M196" s="14"/>
      <c r="N196" s="14"/>
      <c r="O196" s="14"/>
      <c r="P196" s="14"/>
      <c r="Q196" s="16"/>
      <c r="R196" s="14"/>
      <c r="Z196" s="16"/>
      <c r="AC196" s="14"/>
      <c r="AD196" s="14"/>
      <c r="AE196" s="14"/>
      <c r="AF196" s="14"/>
      <c r="AG196" s="14"/>
      <c r="AH196" s="14"/>
      <c r="AI196" s="14"/>
      <c r="AJ196" s="14"/>
      <c r="AK196" s="14"/>
      <c r="AL196" s="14"/>
      <c r="AS196" s="14"/>
      <c r="AT196" s="14"/>
      <c r="AU196" s="14"/>
      <c r="AV196" s="14"/>
      <c r="AW196" s="14"/>
      <c r="AX196" s="14"/>
      <c r="AY196" s="14"/>
      <c r="BA196" s="14"/>
      <c r="BE196" s="16"/>
      <c r="BH196" s="14"/>
      <c r="BI196" s="14"/>
      <c r="BJ196" s="14"/>
      <c r="BK196" s="14"/>
      <c r="BL196" s="14"/>
      <c r="BM196" s="14"/>
      <c r="BN196" s="14"/>
      <c r="BO196" s="14"/>
      <c r="BP196" s="14"/>
      <c r="BQ196" s="14"/>
      <c r="BX196" s="14"/>
      <c r="BY196" s="14"/>
      <c r="BZ196" s="14"/>
      <c r="CA196" s="14"/>
      <c r="CB196" s="14"/>
      <c r="CC196" s="14"/>
      <c r="CD196" s="14"/>
      <c r="CF196" s="14"/>
      <c r="CJ196" s="16"/>
      <c r="CM196" s="14"/>
      <c r="CN196" s="14"/>
      <c r="CO196" s="14"/>
      <c r="CP196" s="14"/>
      <c r="CQ196" s="14"/>
      <c r="CR196" s="14"/>
      <c r="CS196" s="14"/>
      <c r="CT196" s="14"/>
      <c r="CU196" s="14"/>
      <c r="CV196" s="14"/>
    </row>
    <row r="197" spans="1:100" x14ac:dyDescent="0.2">
      <c r="A197" s="14"/>
      <c r="B197" s="14"/>
      <c r="C197" s="14"/>
      <c r="D197" s="14"/>
      <c r="E197" s="14"/>
      <c r="F197" s="14"/>
      <c r="G197" s="14"/>
      <c r="H197" s="14"/>
      <c r="I197" s="14"/>
      <c r="J197" s="14"/>
      <c r="K197" s="14"/>
      <c r="L197" s="15"/>
      <c r="M197" s="14"/>
      <c r="N197" s="14"/>
      <c r="O197" s="14"/>
      <c r="P197" s="14"/>
      <c r="Q197" s="16"/>
      <c r="R197" s="14"/>
      <c r="Z197" s="16"/>
      <c r="AC197" s="14"/>
      <c r="AD197" s="14"/>
      <c r="AE197" s="14"/>
      <c r="AF197" s="14"/>
      <c r="AG197" s="14"/>
      <c r="AH197" s="14"/>
      <c r="AI197" s="14"/>
      <c r="AJ197" s="14"/>
      <c r="AK197" s="14"/>
      <c r="AL197" s="14"/>
      <c r="AS197" s="14"/>
      <c r="AT197" s="14"/>
      <c r="AU197" s="14"/>
      <c r="AV197" s="14"/>
      <c r="AW197" s="14"/>
      <c r="AX197" s="14"/>
      <c r="AY197" s="14"/>
      <c r="BA197" s="14"/>
      <c r="BE197" s="16"/>
      <c r="BH197" s="14"/>
      <c r="BI197" s="14"/>
      <c r="BJ197" s="14"/>
      <c r="BK197" s="14"/>
      <c r="BL197" s="14"/>
      <c r="BM197" s="14"/>
      <c r="BN197" s="14"/>
      <c r="BO197" s="14"/>
      <c r="BP197" s="14"/>
      <c r="BQ197" s="14"/>
      <c r="BX197" s="14"/>
      <c r="BY197" s="14"/>
      <c r="BZ197" s="14"/>
      <c r="CA197" s="14"/>
      <c r="CB197" s="14"/>
      <c r="CC197" s="14"/>
      <c r="CD197" s="14"/>
      <c r="CF197" s="14"/>
      <c r="CJ197" s="16"/>
      <c r="CM197" s="14"/>
      <c r="CN197" s="14"/>
      <c r="CO197" s="14"/>
      <c r="CP197" s="14"/>
      <c r="CQ197" s="14"/>
      <c r="CR197" s="14"/>
      <c r="CS197" s="14"/>
      <c r="CT197" s="14"/>
      <c r="CU197" s="14"/>
      <c r="CV197" s="14"/>
    </row>
    <row r="198" spans="1:100" x14ac:dyDescent="0.2">
      <c r="A198" s="14"/>
      <c r="B198" s="14"/>
      <c r="C198" s="14"/>
      <c r="D198" s="14"/>
      <c r="E198" s="14"/>
      <c r="F198" s="14"/>
      <c r="G198" s="14"/>
      <c r="H198" s="14"/>
      <c r="I198" s="14"/>
      <c r="J198" s="14"/>
      <c r="K198" s="14"/>
      <c r="L198" s="15"/>
      <c r="M198" s="14"/>
      <c r="N198" s="14"/>
      <c r="O198" s="14"/>
      <c r="P198" s="14"/>
      <c r="Q198" s="16"/>
      <c r="R198" s="14"/>
      <c r="Z198" s="16"/>
      <c r="AC198" s="14"/>
      <c r="AD198" s="14"/>
      <c r="AE198" s="14"/>
      <c r="AF198" s="14"/>
      <c r="AG198" s="14"/>
      <c r="AH198" s="14"/>
      <c r="AI198" s="14"/>
      <c r="AJ198" s="14"/>
      <c r="AK198" s="14"/>
      <c r="AL198" s="14"/>
      <c r="AS198" s="14"/>
      <c r="AT198" s="14"/>
      <c r="AU198" s="14"/>
      <c r="AV198" s="14"/>
      <c r="AW198" s="14"/>
      <c r="AX198" s="14"/>
      <c r="AY198" s="14"/>
      <c r="BA198" s="14"/>
      <c r="BE198" s="16"/>
      <c r="BH198" s="14"/>
      <c r="BI198" s="14"/>
      <c r="BJ198" s="14"/>
      <c r="BK198" s="14"/>
      <c r="BL198" s="14"/>
      <c r="BM198" s="14"/>
      <c r="BN198" s="14"/>
      <c r="BO198" s="14"/>
      <c r="BP198" s="14"/>
      <c r="BQ198" s="14"/>
      <c r="BX198" s="14"/>
      <c r="BY198" s="14"/>
      <c r="BZ198" s="14"/>
      <c r="CA198" s="14"/>
      <c r="CB198" s="14"/>
      <c r="CC198" s="14"/>
      <c r="CD198" s="14"/>
      <c r="CF198" s="14"/>
      <c r="CJ198" s="16"/>
      <c r="CM198" s="14"/>
      <c r="CN198" s="14"/>
      <c r="CO198" s="14"/>
      <c r="CP198" s="14"/>
      <c r="CQ198" s="14"/>
      <c r="CR198" s="14"/>
      <c r="CS198" s="14"/>
      <c r="CT198" s="14"/>
      <c r="CU198" s="14"/>
      <c r="CV198" s="14"/>
    </row>
    <row r="199" spans="1:100" x14ac:dyDescent="0.2">
      <c r="A199" s="14"/>
      <c r="B199" s="14"/>
      <c r="C199" s="14"/>
      <c r="D199" s="14"/>
      <c r="E199" s="14"/>
      <c r="F199" s="14"/>
      <c r="G199" s="14"/>
      <c r="H199" s="14"/>
      <c r="I199" s="14"/>
      <c r="J199" s="14"/>
      <c r="K199" s="14"/>
      <c r="L199" s="15"/>
      <c r="M199" s="14"/>
      <c r="N199" s="14"/>
      <c r="O199" s="14"/>
      <c r="P199" s="14"/>
      <c r="Q199" s="16"/>
      <c r="R199" s="14"/>
      <c r="Z199" s="16"/>
      <c r="AC199" s="14"/>
      <c r="AD199" s="14"/>
      <c r="AE199" s="14"/>
      <c r="AF199" s="14"/>
      <c r="AG199" s="14"/>
      <c r="AH199" s="14"/>
      <c r="AI199" s="14"/>
      <c r="AJ199" s="14"/>
      <c r="AK199" s="14"/>
      <c r="AL199" s="14"/>
      <c r="AS199" s="14"/>
      <c r="AT199" s="14"/>
      <c r="AU199" s="14"/>
      <c r="AV199" s="14"/>
      <c r="AW199" s="14"/>
      <c r="AX199" s="14"/>
      <c r="AY199" s="14"/>
      <c r="BA199" s="14"/>
      <c r="BE199" s="16"/>
      <c r="BH199" s="14"/>
      <c r="BI199" s="14"/>
      <c r="BJ199" s="14"/>
      <c r="BK199" s="14"/>
      <c r="BL199" s="14"/>
      <c r="BM199" s="14"/>
      <c r="BN199" s="14"/>
      <c r="BO199" s="14"/>
      <c r="BP199" s="14"/>
      <c r="BQ199" s="14"/>
      <c r="BX199" s="14"/>
      <c r="BY199" s="14"/>
      <c r="BZ199" s="14"/>
      <c r="CA199" s="14"/>
      <c r="CB199" s="14"/>
      <c r="CC199" s="14"/>
      <c r="CD199" s="14"/>
      <c r="CF199" s="14"/>
      <c r="CJ199" s="16"/>
      <c r="CM199" s="14"/>
      <c r="CN199" s="14"/>
      <c r="CO199" s="14"/>
      <c r="CP199" s="14"/>
      <c r="CQ199" s="14"/>
      <c r="CR199" s="14"/>
      <c r="CS199" s="14"/>
      <c r="CT199" s="14"/>
      <c r="CU199" s="14"/>
      <c r="CV199" s="14"/>
    </row>
    <row r="200" spans="1:100" x14ac:dyDescent="0.2">
      <c r="A200" s="14"/>
      <c r="B200" s="14"/>
      <c r="C200" s="14"/>
      <c r="D200" s="14"/>
      <c r="E200" s="14"/>
      <c r="F200" s="14"/>
      <c r="G200" s="14"/>
      <c r="H200" s="14"/>
      <c r="I200" s="14"/>
      <c r="J200" s="14"/>
      <c r="K200" s="14"/>
      <c r="L200" s="15"/>
      <c r="M200" s="14"/>
      <c r="N200" s="14"/>
      <c r="O200" s="14"/>
      <c r="P200" s="14"/>
      <c r="Q200" s="16"/>
      <c r="R200" s="14"/>
      <c r="Z200" s="16"/>
      <c r="AC200" s="14"/>
      <c r="AD200" s="14"/>
      <c r="AE200" s="14"/>
      <c r="AF200" s="14"/>
      <c r="AG200" s="14"/>
      <c r="AH200" s="14"/>
      <c r="AI200" s="14"/>
      <c r="AJ200" s="14"/>
      <c r="AK200" s="14"/>
      <c r="AL200" s="14"/>
      <c r="AS200" s="14"/>
      <c r="AT200" s="14"/>
      <c r="AU200" s="14"/>
      <c r="AV200" s="14"/>
      <c r="AW200" s="14"/>
      <c r="AX200" s="14"/>
      <c r="AY200" s="14"/>
      <c r="BA200" s="14"/>
      <c r="BE200" s="16"/>
      <c r="BH200" s="14"/>
      <c r="BI200" s="14"/>
      <c r="BJ200" s="14"/>
      <c r="BK200" s="14"/>
      <c r="BL200" s="14"/>
      <c r="BM200" s="14"/>
      <c r="BN200" s="14"/>
      <c r="BO200" s="14"/>
      <c r="BP200" s="14"/>
      <c r="BQ200" s="14"/>
      <c r="BX200" s="14"/>
      <c r="BY200" s="14"/>
      <c r="BZ200" s="14"/>
      <c r="CA200" s="14"/>
      <c r="CB200" s="14"/>
      <c r="CC200" s="14"/>
      <c r="CD200" s="14"/>
      <c r="CF200" s="14"/>
      <c r="CJ200" s="16"/>
      <c r="CM200" s="14"/>
      <c r="CN200" s="14"/>
      <c r="CO200" s="14"/>
      <c r="CP200" s="14"/>
      <c r="CQ200" s="14"/>
      <c r="CR200" s="14"/>
      <c r="CS200" s="14"/>
      <c r="CT200" s="14"/>
      <c r="CU200" s="14"/>
      <c r="CV200" s="14"/>
    </row>
    <row r="201" spans="1:100" x14ac:dyDescent="0.2">
      <c r="A201" s="14"/>
      <c r="B201" s="14"/>
      <c r="C201" s="14"/>
      <c r="D201" s="14"/>
      <c r="E201" s="14"/>
      <c r="F201" s="14"/>
      <c r="G201" s="14"/>
      <c r="H201" s="14"/>
      <c r="I201" s="14"/>
      <c r="J201" s="14"/>
      <c r="K201" s="14"/>
      <c r="L201" s="15"/>
      <c r="M201" s="14"/>
      <c r="N201" s="14"/>
      <c r="O201" s="14"/>
      <c r="P201" s="14"/>
      <c r="Q201" s="16"/>
      <c r="R201" s="14"/>
      <c r="Z201" s="16"/>
      <c r="AC201" s="14"/>
      <c r="AD201" s="14"/>
      <c r="AE201" s="14"/>
      <c r="AF201" s="14"/>
      <c r="AG201" s="14"/>
      <c r="AH201" s="14"/>
      <c r="AI201" s="14"/>
      <c r="AJ201" s="14"/>
      <c r="AK201" s="14"/>
      <c r="AL201" s="14"/>
      <c r="AS201" s="14"/>
      <c r="AT201" s="14"/>
      <c r="AU201" s="14"/>
      <c r="AV201" s="14"/>
      <c r="AW201" s="14"/>
      <c r="AX201" s="14"/>
      <c r="AY201" s="14"/>
      <c r="BA201" s="14"/>
      <c r="BE201" s="16"/>
      <c r="BH201" s="14"/>
      <c r="BI201" s="14"/>
      <c r="BJ201" s="14"/>
      <c r="BK201" s="14"/>
      <c r="BL201" s="14"/>
      <c r="BM201" s="14"/>
      <c r="BN201" s="14"/>
      <c r="BO201" s="14"/>
      <c r="BP201" s="14"/>
      <c r="BQ201" s="14"/>
      <c r="BX201" s="14"/>
      <c r="BY201" s="14"/>
      <c r="BZ201" s="14"/>
      <c r="CA201" s="14"/>
      <c r="CB201" s="14"/>
      <c r="CC201" s="14"/>
      <c r="CD201" s="14"/>
      <c r="CF201" s="14"/>
      <c r="CJ201" s="16"/>
      <c r="CM201" s="14"/>
      <c r="CN201" s="14"/>
      <c r="CO201" s="14"/>
      <c r="CP201" s="14"/>
      <c r="CQ201" s="14"/>
      <c r="CR201" s="14"/>
      <c r="CS201" s="14"/>
      <c r="CT201" s="14"/>
      <c r="CU201" s="14"/>
      <c r="CV201" s="14"/>
    </row>
    <row r="202" spans="1:100" x14ac:dyDescent="0.2">
      <c r="A202" s="14"/>
      <c r="B202" s="14"/>
      <c r="C202" s="14"/>
      <c r="D202" s="14"/>
      <c r="E202" s="14"/>
      <c r="F202" s="14"/>
      <c r="G202" s="14"/>
      <c r="H202" s="14"/>
      <c r="I202" s="14"/>
      <c r="J202" s="14"/>
      <c r="K202" s="14"/>
      <c r="L202" s="15"/>
      <c r="M202" s="14"/>
      <c r="N202" s="14"/>
      <c r="O202" s="14"/>
      <c r="P202" s="14"/>
      <c r="Q202" s="16"/>
      <c r="R202" s="14"/>
      <c r="Z202" s="16"/>
      <c r="AC202" s="14"/>
      <c r="AD202" s="14"/>
      <c r="AE202" s="14"/>
      <c r="AF202" s="14"/>
      <c r="AG202" s="14"/>
      <c r="AH202" s="14"/>
      <c r="AI202" s="14"/>
      <c r="AJ202" s="14"/>
      <c r="AK202" s="14"/>
      <c r="AL202" s="14"/>
      <c r="AS202" s="14"/>
      <c r="AT202" s="14"/>
      <c r="AU202" s="14"/>
      <c r="AV202" s="14"/>
      <c r="AW202" s="14"/>
      <c r="AX202" s="14"/>
      <c r="AY202" s="14"/>
      <c r="BA202" s="14"/>
      <c r="BE202" s="16"/>
      <c r="BH202" s="14"/>
      <c r="BI202" s="14"/>
      <c r="BJ202" s="14"/>
      <c r="BK202" s="14"/>
      <c r="BL202" s="14"/>
      <c r="BM202" s="14"/>
      <c r="BN202" s="14"/>
      <c r="BO202" s="14"/>
      <c r="BP202" s="14"/>
      <c r="BQ202" s="14"/>
      <c r="BX202" s="14"/>
      <c r="BY202" s="14"/>
      <c r="BZ202" s="14"/>
      <c r="CA202" s="14"/>
      <c r="CB202" s="14"/>
      <c r="CC202" s="14"/>
      <c r="CD202" s="14"/>
      <c r="CF202" s="14"/>
      <c r="CJ202" s="16"/>
      <c r="CM202" s="14"/>
      <c r="CN202" s="14"/>
      <c r="CO202" s="14"/>
      <c r="CP202" s="14"/>
      <c r="CQ202" s="14"/>
      <c r="CR202" s="14"/>
      <c r="CS202" s="14"/>
      <c r="CT202" s="14"/>
      <c r="CU202" s="14"/>
      <c r="CV202" s="14"/>
    </row>
    <row r="203" spans="1:100" x14ac:dyDescent="0.2">
      <c r="A203" s="14"/>
      <c r="B203" s="14"/>
      <c r="C203" s="14"/>
      <c r="D203" s="14"/>
      <c r="E203" s="14"/>
      <c r="F203" s="14"/>
      <c r="G203" s="14"/>
      <c r="H203" s="14"/>
      <c r="I203" s="14"/>
      <c r="J203" s="14"/>
      <c r="K203" s="14"/>
      <c r="L203" s="15"/>
      <c r="M203" s="14"/>
      <c r="N203" s="14"/>
      <c r="O203" s="14"/>
      <c r="P203" s="14"/>
      <c r="Q203" s="16"/>
      <c r="R203" s="14"/>
      <c r="Z203" s="16"/>
      <c r="AC203" s="14"/>
      <c r="AD203" s="14"/>
      <c r="AE203" s="14"/>
      <c r="AF203" s="14"/>
      <c r="AG203" s="14"/>
      <c r="AH203" s="14"/>
      <c r="AI203" s="14"/>
      <c r="AJ203" s="14"/>
      <c r="AK203" s="14"/>
      <c r="AL203" s="14"/>
      <c r="AS203" s="14"/>
      <c r="AT203" s="14"/>
      <c r="AU203" s="14"/>
      <c r="AV203" s="14"/>
      <c r="AW203" s="14"/>
      <c r="AX203" s="14"/>
      <c r="AY203" s="14"/>
      <c r="BA203" s="14"/>
      <c r="BE203" s="16"/>
      <c r="BH203" s="14"/>
      <c r="BI203" s="14"/>
      <c r="BJ203" s="14"/>
      <c r="BK203" s="14"/>
      <c r="BL203" s="14"/>
      <c r="BM203" s="14"/>
      <c r="BN203" s="14"/>
      <c r="BO203" s="14"/>
      <c r="BP203" s="14"/>
      <c r="BQ203" s="14"/>
      <c r="BX203" s="14"/>
      <c r="BY203" s="14"/>
      <c r="BZ203" s="14"/>
      <c r="CA203" s="14"/>
      <c r="CB203" s="14"/>
      <c r="CC203" s="14"/>
      <c r="CD203" s="14"/>
      <c r="CF203" s="14"/>
      <c r="CJ203" s="16"/>
      <c r="CM203" s="14"/>
      <c r="CN203" s="14"/>
      <c r="CO203" s="14"/>
      <c r="CP203" s="14"/>
      <c r="CQ203" s="14"/>
      <c r="CR203" s="14"/>
      <c r="CS203" s="14"/>
      <c r="CT203" s="14"/>
      <c r="CU203" s="14"/>
      <c r="CV203" s="14"/>
    </row>
    <row r="204" spans="1:100" x14ac:dyDescent="0.2">
      <c r="A204" s="14"/>
      <c r="B204" s="14"/>
      <c r="C204" s="14"/>
      <c r="D204" s="14"/>
      <c r="E204" s="14"/>
      <c r="F204" s="14"/>
      <c r="G204" s="14"/>
      <c r="H204" s="14"/>
      <c r="I204" s="14"/>
      <c r="J204" s="14"/>
      <c r="K204" s="14"/>
      <c r="L204" s="15"/>
      <c r="M204" s="14"/>
      <c r="N204" s="14"/>
      <c r="O204" s="14"/>
      <c r="P204" s="14"/>
      <c r="Q204" s="16"/>
      <c r="R204" s="14"/>
      <c r="Z204" s="16"/>
      <c r="AC204" s="14"/>
      <c r="AD204" s="14"/>
      <c r="AE204" s="14"/>
      <c r="AF204" s="14"/>
      <c r="AG204" s="14"/>
      <c r="AH204" s="14"/>
      <c r="AI204" s="14"/>
      <c r="AJ204" s="14"/>
      <c r="AK204" s="14"/>
      <c r="AL204" s="14"/>
      <c r="AS204" s="14"/>
      <c r="AT204" s="14"/>
      <c r="AU204" s="14"/>
      <c r="AV204" s="14"/>
      <c r="AW204" s="14"/>
      <c r="AX204" s="14"/>
      <c r="AY204" s="14"/>
      <c r="BA204" s="14"/>
      <c r="BE204" s="16"/>
      <c r="BH204" s="14"/>
      <c r="BI204" s="14"/>
      <c r="BJ204" s="14"/>
      <c r="BK204" s="14"/>
      <c r="BL204" s="14"/>
      <c r="BM204" s="14"/>
      <c r="BN204" s="14"/>
      <c r="BO204" s="14"/>
      <c r="BP204" s="14"/>
      <c r="BQ204" s="14"/>
      <c r="BX204" s="14"/>
      <c r="BY204" s="14"/>
      <c r="BZ204" s="14"/>
      <c r="CA204" s="14"/>
      <c r="CB204" s="14"/>
      <c r="CC204" s="14"/>
      <c r="CD204" s="14"/>
      <c r="CF204" s="14"/>
      <c r="CJ204" s="16"/>
      <c r="CM204" s="14"/>
      <c r="CN204" s="14"/>
      <c r="CO204" s="14"/>
      <c r="CP204" s="14"/>
      <c r="CQ204" s="14"/>
      <c r="CR204" s="14"/>
      <c r="CS204" s="14"/>
      <c r="CT204" s="14"/>
      <c r="CU204" s="14"/>
      <c r="CV204" s="14"/>
    </row>
    <row r="205" spans="1:100" x14ac:dyDescent="0.2">
      <c r="A205" s="14"/>
      <c r="B205" s="14"/>
      <c r="C205" s="14"/>
      <c r="D205" s="14"/>
      <c r="E205" s="14"/>
      <c r="F205" s="14"/>
      <c r="G205" s="14"/>
      <c r="H205" s="14"/>
      <c r="I205" s="14"/>
      <c r="J205" s="14"/>
      <c r="K205" s="14"/>
      <c r="L205" s="15"/>
      <c r="M205" s="14"/>
      <c r="N205" s="14"/>
      <c r="O205" s="14"/>
      <c r="P205" s="14"/>
      <c r="Q205" s="16"/>
      <c r="R205" s="14"/>
      <c r="Z205" s="16"/>
      <c r="AC205" s="14"/>
      <c r="AD205" s="14"/>
      <c r="AE205" s="14"/>
      <c r="AF205" s="14"/>
      <c r="AG205" s="14"/>
      <c r="AH205" s="14"/>
      <c r="AI205" s="14"/>
      <c r="AJ205" s="14"/>
      <c r="AK205" s="14"/>
      <c r="AL205" s="14"/>
      <c r="AS205" s="14"/>
      <c r="AT205" s="14"/>
      <c r="AU205" s="14"/>
      <c r="AV205" s="14"/>
      <c r="AW205" s="14"/>
      <c r="AX205" s="14"/>
      <c r="AY205" s="14"/>
      <c r="BA205" s="14"/>
      <c r="BE205" s="16"/>
      <c r="BH205" s="14"/>
      <c r="BI205" s="14"/>
      <c r="BJ205" s="14"/>
      <c r="BK205" s="14"/>
      <c r="BL205" s="14"/>
      <c r="BM205" s="14"/>
      <c r="BN205" s="14"/>
      <c r="BO205" s="14"/>
      <c r="BP205" s="14"/>
      <c r="BQ205" s="14"/>
      <c r="BX205" s="14"/>
      <c r="BY205" s="14"/>
      <c r="BZ205" s="14"/>
      <c r="CA205" s="14"/>
      <c r="CB205" s="14"/>
      <c r="CC205" s="14"/>
      <c r="CD205" s="14"/>
      <c r="CF205" s="14"/>
      <c r="CJ205" s="16"/>
      <c r="CM205" s="14"/>
      <c r="CN205" s="14"/>
      <c r="CO205" s="14"/>
      <c r="CP205" s="14"/>
      <c r="CQ205" s="14"/>
      <c r="CR205" s="14"/>
      <c r="CS205" s="14"/>
      <c r="CT205" s="14"/>
      <c r="CU205" s="14"/>
      <c r="CV205" s="14"/>
    </row>
    <row r="206" spans="1:100" x14ac:dyDescent="0.2">
      <c r="A206" s="14"/>
      <c r="B206" s="14"/>
      <c r="C206" s="14"/>
      <c r="D206" s="14"/>
      <c r="E206" s="14"/>
      <c r="F206" s="14"/>
      <c r="G206" s="14"/>
      <c r="H206" s="14"/>
      <c r="I206" s="14"/>
      <c r="J206" s="14"/>
      <c r="K206" s="14"/>
      <c r="L206" s="15"/>
      <c r="M206" s="14"/>
      <c r="N206" s="14"/>
      <c r="O206" s="14"/>
      <c r="P206" s="14"/>
      <c r="Q206" s="16"/>
      <c r="R206" s="14"/>
      <c r="Z206" s="16"/>
      <c r="AC206" s="14"/>
      <c r="AD206" s="14"/>
      <c r="AE206" s="14"/>
      <c r="AF206" s="14"/>
      <c r="AG206" s="14"/>
      <c r="AH206" s="14"/>
      <c r="AI206" s="14"/>
      <c r="AJ206" s="14"/>
      <c r="AK206" s="14"/>
      <c r="AL206" s="14"/>
      <c r="AS206" s="14"/>
      <c r="AT206" s="14"/>
      <c r="AU206" s="14"/>
      <c r="AV206" s="14"/>
      <c r="AW206" s="14"/>
      <c r="AX206" s="14"/>
      <c r="AY206" s="14"/>
      <c r="BA206" s="14"/>
      <c r="BE206" s="16"/>
      <c r="BH206" s="14"/>
      <c r="BI206" s="14"/>
      <c r="BJ206" s="14"/>
      <c r="BK206" s="14"/>
      <c r="BL206" s="14"/>
      <c r="BM206" s="14"/>
      <c r="BN206" s="14"/>
      <c r="BO206" s="14"/>
      <c r="BP206" s="14"/>
      <c r="BQ206" s="14"/>
      <c r="BX206" s="14"/>
      <c r="BY206" s="14"/>
      <c r="BZ206" s="14"/>
      <c r="CA206" s="14"/>
      <c r="CB206" s="14"/>
      <c r="CC206" s="14"/>
      <c r="CD206" s="14"/>
      <c r="CF206" s="14"/>
      <c r="CJ206" s="16"/>
      <c r="CM206" s="14"/>
      <c r="CN206" s="14"/>
      <c r="CO206" s="14"/>
      <c r="CP206" s="14"/>
      <c r="CQ206" s="14"/>
      <c r="CR206" s="14"/>
      <c r="CS206" s="14"/>
      <c r="CT206" s="14"/>
      <c r="CU206" s="14"/>
      <c r="CV206" s="14"/>
    </row>
    <row r="207" spans="1:100" x14ac:dyDescent="0.2">
      <c r="A207" s="14"/>
      <c r="B207" s="14"/>
      <c r="C207" s="14"/>
      <c r="D207" s="14"/>
      <c r="E207" s="14"/>
      <c r="F207" s="14"/>
      <c r="G207" s="14"/>
      <c r="H207" s="14"/>
      <c r="I207" s="14"/>
      <c r="J207" s="14"/>
      <c r="K207" s="14"/>
      <c r="L207" s="15"/>
      <c r="M207" s="14"/>
      <c r="N207" s="14"/>
      <c r="O207" s="14"/>
      <c r="P207" s="14"/>
      <c r="Q207" s="16"/>
      <c r="R207" s="14"/>
      <c r="Z207" s="16"/>
      <c r="AC207" s="14"/>
      <c r="AD207" s="14"/>
      <c r="AE207" s="14"/>
      <c r="AF207" s="14"/>
      <c r="AG207" s="14"/>
      <c r="AH207" s="14"/>
      <c r="AI207" s="14"/>
      <c r="AJ207" s="14"/>
      <c r="AK207" s="14"/>
      <c r="AL207" s="14"/>
      <c r="AS207" s="14"/>
      <c r="AT207" s="14"/>
      <c r="AU207" s="14"/>
      <c r="AV207" s="14"/>
      <c r="AW207" s="14"/>
      <c r="AX207" s="14"/>
      <c r="AY207" s="14"/>
      <c r="BA207" s="14"/>
      <c r="BE207" s="16"/>
      <c r="BH207" s="14"/>
      <c r="BI207" s="14"/>
      <c r="BJ207" s="14"/>
      <c r="BK207" s="14"/>
      <c r="BL207" s="14"/>
      <c r="BM207" s="14"/>
      <c r="BN207" s="14"/>
      <c r="BO207" s="14"/>
      <c r="BP207" s="14"/>
      <c r="BQ207" s="14"/>
      <c r="BX207" s="14"/>
      <c r="BY207" s="14"/>
      <c r="BZ207" s="14"/>
      <c r="CA207" s="14"/>
      <c r="CB207" s="14"/>
      <c r="CC207" s="14"/>
      <c r="CD207" s="14"/>
      <c r="CF207" s="14"/>
      <c r="CJ207" s="16"/>
      <c r="CM207" s="14"/>
      <c r="CN207" s="14"/>
      <c r="CO207" s="14"/>
      <c r="CP207" s="14"/>
      <c r="CQ207" s="14"/>
      <c r="CR207" s="14"/>
      <c r="CS207" s="14"/>
      <c r="CT207" s="14"/>
      <c r="CU207" s="14"/>
      <c r="CV207" s="14"/>
    </row>
    <row r="208" spans="1:100" x14ac:dyDescent="0.2">
      <c r="A208" s="14"/>
      <c r="B208" s="14"/>
      <c r="C208" s="14"/>
      <c r="D208" s="14"/>
      <c r="E208" s="14"/>
      <c r="F208" s="14"/>
      <c r="G208" s="14"/>
      <c r="H208" s="14"/>
      <c r="I208" s="14"/>
      <c r="J208" s="14"/>
      <c r="K208" s="14"/>
      <c r="L208" s="15"/>
      <c r="M208" s="14"/>
      <c r="N208" s="14"/>
      <c r="O208" s="14"/>
      <c r="P208" s="14"/>
      <c r="Q208" s="16"/>
      <c r="R208" s="14"/>
      <c r="Z208" s="16"/>
      <c r="AC208" s="14"/>
      <c r="AD208" s="14"/>
      <c r="AE208" s="14"/>
      <c r="AF208" s="14"/>
      <c r="AG208" s="14"/>
      <c r="AH208" s="14"/>
      <c r="AI208" s="14"/>
      <c r="AJ208" s="14"/>
      <c r="AK208" s="14"/>
      <c r="AL208" s="14"/>
      <c r="AS208" s="14"/>
      <c r="AT208" s="14"/>
      <c r="AU208" s="14"/>
      <c r="AV208" s="14"/>
      <c r="AW208" s="14"/>
      <c r="AX208" s="14"/>
      <c r="AY208" s="14"/>
      <c r="BA208" s="14"/>
      <c r="BE208" s="16"/>
      <c r="BH208" s="14"/>
      <c r="BI208" s="14"/>
      <c r="BJ208" s="14"/>
      <c r="BK208" s="14"/>
      <c r="BL208" s="14"/>
      <c r="BM208" s="14"/>
      <c r="BN208" s="14"/>
      <c r="BO208" s="14"/>
      <c r="BP208" s="14"/>
      <c r="BQ208" s="14"/>
      <c r="BX208" s="14"/>
      <c r="BY208" s="14"/>
      <c r="BZ208" s="14"/>
      <c r="CA208" s="14"/>
      <c r="CB208" s="14"/>
      <c r="CC208" s="14"/>
      <c r="CD208" s="14"/>
      <c r="CF208" s="14"/>
      <c r="CJ208" s="16"/>
      <c r="CM208" s="14"/>
      <c r="CN208" s="14"/>
      <c r="CO208" s="14"/>
      <c r="CP208" s="14"/>
      <c r="CQ208" s="14"/>
      <c r="CR208" s="14"/>
      <c r="CS208" s="14"/>
      <c r="CT208" s="14"/>
      <c r="CU208" s="14"/>
      <c r="CV208" s="14"/>
    </row>
    <row r="209" spans="1:100" x14ac:dyDescent="0.2">
      <c r="A209" s="14"/>
      <c r="B209" s="14"/>
      <c r="C209" s="14"/>
      <c r="D209" s="14"/>
      <c r="E209" s="14"/>
      <c r="F209" s="14"/>
      <c r="G209" s="14"/>
      <c r="H209" s="14"/>
      <c r="I209" s="14"/>
      <c r="J209" s="14"/>
      <c r="K209" s="14"/>
      <c r="L209" s="15"/>
      <c r="M209" s="14"/>
      <c r="N209" s="14"/>
      <c r="O209" s="14"/>
      <c r="P209" s="14"/>
      <c r="Q209" s="16"/>
      <c r="R209" s="14"/>
      <c r="Z209" s="16"/>
      <c r="AC209" s="14"/>
      <c r="AD209" s="14"/>
      <c r="AE209" s="14"/>
      <c r="AF209" s="14"/>
      <c r="AG209" s="14"/>
      <c r="AH209" s="14"/>
      <c r="AI209" s="14"/>
      <c r="AJ209" s="14"/>
      <c r="AK209" s="14"/>
      <c r="AL209" s="14"/>
      <c r="AS209" s="14"/>
      <c r="AT209" s="14"/>
      <c r="AU209" s="14"/>
      <c r="AV209" s="14"/>
      <c r="AW209" s="14"/>
      <c r="AX209" s="14"/>
      <c r="AY209" s="14"/>
      <c r="BA209" s="14"/>
      <c r="BE209" s="16"/>
      <c r="BH209" s="14"/>
      <c r="BI209" s="14"/>
      <c r="BJ209" s="14"/>
      <c r="BK209" s="14"/>
      <c r="BL209" s="14"/>
      <c r="BM209" s="14"/>
      <c r="BN209" s="14"/>
      <c r="BO209" s="14"/>
      <c r="BP209" s="14"/>
      <c r="BQ209" s="14"/>
      <c r="BX209" s="14"/>
      <c r="BY209" s="14"/>
      <c r="BZ209" s="14"/>
      <c r="CA209" s="14"/>
      <c r="CB209" s="14"/>
      <c r="CC209" s="14"/>
      <c r="CD209" s="14"/>
      <c r="CF209" s="14"/>
      <c r="CJ209" s="16"/>
      <c r="CM209" s="14"/>
      <c r="CN209" s="14"/>
      <c r="CO209" s="14"/>
      <c r="CP209" s="14"/>
      <c r="CQ209" s="14"/>
      <c r="CR209" s="14"/>
      <c r="CS209" s="14"/>
      <c r="CT209" s="14"/>
      <c r="CU209" s="14"/>
      <c r="CV209" s="14"/>
    </row>
    <row r="210" spans="1:100" x14ac:dyDescent="0.2">
      <c r="A210" s="14"/>
      <c r="B210" s="14"/>
      <c r="C210" s="14"/>
      <c r="D210" s="14"/>
      <c r="E210" s="14"/>
      <c r="F210" s="14"/>
      <c r="G210" s="14"/>
      <c r="H210" s="14"/>
      <c r="I210" s="14"/>
      <c r="J210" s="14"/>
      <c r="K210" s="14"/>
      <c r="L210" s="15"/>
      <c r="M210" s="14"/>
      <c r="N210" s="14"/>
      <c r="O210" s="14"/>
      <c r="P210" s="14"/>
      <c r="Q210" s="16"/>
      <c r="R210" s="14"/>
      <c r="Z210" s="16"/>
      <c r="AC210" s="14"/>
      <c r="AD210" s="14"/>
      <c r="AE210" s="14"/>
      <c r="AF210" s="14"/>
      <c r="AG210" s="14"/>
      <c r="AH210" s="14"/>
      <c r="AI210" s="14"/>
      <c r="AJ210" s="14"/>
      <c r="AK210" s="14"/>
      <c r="AL210" s="14"/>
      <c r="AS210" s="14"/>
      <c r="AT210" s="14"/>
      <c r="AU210" s="14"/>
      <c r="AV210" s="14"/>
      <c r="AW210" s="14"/>
      <c r="AX210" s="14"/>
      <c r="AY210" s="14"/>
      <c r="BA210" s="14"/>
      <c r="BE210" s="16"/>
      <c r="BH210" s="14"/>
      <c r="BI210" s="14"/>
      <c r="BJ210" s="14"/>
      <c r="BK210" s="14"/>
      <c r="BL210" s="14"/>
      <c r="BM210" s="14"/>
      <c r="BN210" s="14"/>
      <c r="BO210" s="14"/>
      <c r="BP210" s="14"/>
      <c r="BQ210" s="14"/>
      <c r="BX210" s="14"/>
      <c r="BY210" s="14"/>
      <c r="BZ210" s="14"/>
      <c r="CA210" s="14"/>
      <c r="CB210" s="14"/>
      <c r="CC210" s="14"/>
      <c r="CD210" s="14"/>
      <c r="CF210" s="14"/>
      <c r="CJ210" s="16"/>
      <c r="CM210" s="14"/>
      <c r="CN210" s="14"/>
      <c r="CO210" s="14"/>
      <c r="CP210" s="14"/>
      <c r="CQ210" s="14"/>
      <c r="CR210" s="14"/>
      <c r="CS210" s="14"/>
      <c r="CT210" s="14"/>
      <c r="CU210" s="14"/>
      <c r="CV210" s="14"/>
    </row>
    <row r="211" spans="1:100" x14ac:dyDescent="0.2">
      <c r="A211" s="14"/>
      <c r="B211" s="14"/>
      <c r="C211" s="14"/>
      <c r="D211" s="14"/>
      <c r="E211" s="14"/>
      <c r="F211" s="14"/>
      <c r="G211" s="14"/>
      <c r="H211" s="14"/>
      <c r="I211" s="14"/>
      <c r="J211" s="14"/>
      <c r="K211" s="14"/>
      <c r="L211" s="15"/>
      <c r="M211" s="14"/>
      <c r="N211" s="14"/>
      <c r="O211" s="14"/>
      <c r="P211" s="14"/>
      <c r="Q211" s="16"/>
      <c r="R211" s="14"/>
      <c r="Z211" s="16"/>
      <c r="AC211" s="14"/>
      <c r="AD211" s="14"/>
      <c r="AE211" s="14"/>
      <c r="AF211" s="14"/>
      <c r="AG211" s="14"/>
      <c r="AH211" s="14"/>
      <c r="AI211" s="14"/>
      <c r="AJ211" s="14"/>
      <c r="AK211" s="14"/>
      <c r="AL211" s="14"/>
      <c r="AS211" s="14"/>
      <c r="AT211" s="14"/>
      <c r="AU211" s="14"/>
      <c r="AV211" s="14"/>
      <c r="AW211" s="14"/>
      <c r="AX211" s="14"/>
      <c r="AY211" s="14"/>
      <c r="BA211" s="14"/>
      <c r="BE211" s="16"/>
      <c r="BH211" s="14"/>
      <c r="BI211" s="14"/>
      <c r="BJ211" s="14"/>
      <c r="BK211" s="14"/>
      <c r="BL211" s="14"/>
      <c r="BM211" s="14"/>
      <c r="BN211" s="14"/>
      <c r="BO211" s="14"/>
      <c r="BP211" s="14"/>
      <c r="BQ211" s="14"/>
      <c r="BX211" s="14"/>
      <c r="BY211" s="14"/>
      <c r="BZ211" s="14"/>
      <c r="CA211" s="14"/>
      <c r="CB211" s="14"/>
      <c r="CC211" s="14"/>
      <c r="CD211" s="14"/>
      <c r="CF211" s="14"/>
      <c r="CJ211" s="16"/>
      <c r="CM211" s="14"/>
      <c r="CN211" s="14"/>
      <c r="CO211" s="14"/>
      <c r="CP211" s="14"/>
      <c r="CQ211" s="14"/>
      <c r="CR211" s="14"/>
      <c r="CS211" s="14"/>
      <c r="CT211" s="14"/>
      <c r="CU211" s="14"/>
      <c r="CV211" s="14"/>
    </row>
    <row r="212" spans="1:100" x14ac:dyDescent="0.2">
      <c r="A212" s="14"/>
      <c r="B212" s="14"/>
      <c r="C212" s="14"/>
      <c r="D212" s="14"/>
      <c r="E212" s="14"/>
      <c r="F212" s="14"/>
      <c r="G212" s="14"/>
      <c r="H212" s="14"/>
      <c r="I212" s="14"/>
      <c r="J212" s="14"/>
      <c r="K212" s="14"/>
      <c r="L212" s="15"/>
      <c r="M212" s="14"/>
      <c r="N212" s="14"/>
      <c r="O212" s="14"/>
      <c r="P212" s="14"/>
      <c r="Q212" s="16"/>
      <c r="R212" s="14"/>
      <c r="Z212" s="16"/>
      <c r="AC212" s="14"/>
      <c r="AD212" s="14"/>
      <c r="AE212" s="14"/>
      <c r="AF212" s="14"/>
      <c r="AG212" s="14"/>
      <c r="AH212" s="14"/>
      <c r="AI212" s="14"/>
      <c r="AJ212" s="14"/>
      <c r="AK212" s="14"/>
      <c r="AL212" s="14"/>
      <c r="AS212" s="14"/>
      <c r="AT212" s="14"/>
      <c r="AU212" s="14"/>
      <c r="AV212" s="14"/>
      <c r="AW212" s="14"/>
      <c r="AX212" s="14"/>
      <c r="AY212" s="14"/>
      <c r="BA212" s="14"/>
      <c r="BE212" s="16"/>
      <c r="BH212" s="14"/>
      <c r="BI212" s="14"/>
      <c r="BJ212" s="14"/>
      <c r="BK212" s="14"/>
      <c r="BL212" s="14"/>
      <c r="BM212" s="14"/>
      <c r="BN212" s="14"/>
      <c r="BO212" s="14"/>
      <c r="BP212" s="14"/>
      <c r="BQ212" s="14"/>
      <c r="BX212" s="14"/>
      <c r="BY212" s="14"/>
      <c r="BZ212" s="14"/>
      <c r="CA212" s="14"/>
      <c r="CB212" s="14"/>
      <c r="CC212" s="14"/>
      <c r="CD212" s="14"/>
      <c r="CF212" s="14"/>
      <c r="CJ212" s="16"/>
      <c r="CM212" s="14"/>
      <c r="CN212" s="14"/>
      <c r="CO212" s="14"/>
      <c r="CP212" s="14"/>
      <c r="CQ212" s="14"/>
      <c r="CR212" s="14"/>
      <c r="CS212" s="14"/>
      <c r="CT212" s="14"/>
      <c r="CU212" s="14"/>
      <c r="CV212" s="14"/>
    </row>
    <row r="213" spans="1:100" x14ac:dyDescent="0.2">
      <c r="A213" s="14"/>
      <c r="B213" s="14"/>
      <c r="C213" s="14"/>
      <c r="D213" s="14"/>
      <c r="E213" s="14"/>
      <c r="F213" s="14"/>
      <c r="G213" s="14"/>
      <c r="H213" s="14"/>
      <c r="I213" s="14"/>
      <c r="J213" s="14"/>
      <c r="K213" s="14"/>
      <c r="L213" s="15"/>
      <c r="M213" s="14"/>
      <c r="N213" s="14"/>
      <c r="O213" s="14"/>
      <c r="P213" s="14"/>
      <c r="Q213" s="16"/>
      <c r="R213" s="14"/>
      <c r="Z213" s="16"/>
      <c r="AC213" s="14"/>
      <c r="AD213" s="14"/>
      <c r="AE213" s="14"/>
      <c r="AF213" s="14"/>
      <c r="AG213" s="14"/>
      <c r="AH213" s="14"/>
      <c r="AI213" s="14"/>
      <c r="AJ213" s="14"/>
      <c r="AK213" s="14"/>
      <c r="AL213" s="14"/>
      <c r="AS213" s="14"/>
      <c r="AT213" s="14"/>
      <c r="AU213" s="14"/>
      <c r="AV213" s="14"/>
      <c r="AW213" s="14"/>
      <c r="AX213" s="14"/>
      <c r="AY213" s="14"/>
      <c r="BA213" s="14"/>
      <c r="BE213" s="16"/>
      <c r="BH213" s="14"/>
      <c r="BI213" s="14"/>
      <c r="BJ213" s="14"/>
      <c r="BK213" s="14"/>
      <c r="BL213" s="14"/>
      <c r="BM213" s="14"/>
      <c r="BN213" s="14"/>
      <c r="BO213" s="14"/>
      <c r="BP213" s="14"/>
      <c r="BQ213" s="14"/>
      <c r="BX213" s="14"/>
      <c r="BY213" s="14"/>
      <c r="BZ213" s="14"/>
      <c r="CA213" s="14"/>
      <c r="CB213" s="14"/>
      <c r="CC213" s="14"/>
      <c r="CD213" s="14"/>
      <c r="CF213" s="14"/>
      <c r="CJ213" s="16"/>
      <c r="CM213" s="14"/>
      <c r="CN213" s="14"/>
      <c r="CO213" s="14"/>
      <c r="CP213" s="14"/>
      <c r="CQ213" s="14"/>
      <c r="CR213" s="14"/>
      <c r="CS213" s="14"/>
      <c r="CT213" s="14"/>
      <c r="CU213" s="14"/>
      <c r="CV213" s="14"/>
    </row>
    <row r="214" spans="1:100" x14ac:dyDescent="0.2">
      <c r="A214" s="14"/>
      <c r="B214" s="14"/>
      <c r="C214" s="14"/>
      <c r="D214" s="14"/>
      <c r="E214" s="14"/>
      <c r="F214" s="14"/>
      <c r="G214" s="14"/>
      <c r="H214" s="14"/>
      <c r="I214" s="14"/>
      <c r="J214" s="14"/>
      <c r="K214" s="14"/>
      <c r="L214" s="15"/>
      <c r="M214" s="14"/>
      <c r="N214" s="14"/>
      <c r="O214" s="14"/>
      <c r="P214" s="14"/>
      <c r="Q214" s="16"/>
      <c r="R214" s="14"/>
      <c r="Z214" s="16"/>
      <c r="AC214" s="14"/>
      <c r="AD214" s="14"/>
      <c r="AE214" s="14"/>
      <c r="AF214" s="14"/>
      <c r="AG214" s="14"/>
      <c r="AH214" s="14"/>
      <c r="AI214" s="14"/>
      <c r="AJ214" s="14"/>
      <c r="AK214" s="14"/>
      <c r="AL214" s="14"/>
      <c r="AS214" s="14"/>
      <c r="AT214" s="14"/>
      <c r="AU214" s="14"/>
      <c r="AV214" s="14"/>
      <c r="AW214" s="14"/>
      <c r="AX214" s="14"/>
      <c r="AY214" s="14"/>
      <c r="BA214" s="14"/>
      <c r="BE214" s="16"/>
      <c r="BH214" s="14"/>
      <c r="BI214" s="14"/>
      <c r="BJ214" s="14"/>
      <c r="BK214" s="14"/>
      <c r="BL214" s="14"/>
      <c r="BM214" s="14"/>
      <c r="BN214" s="14"/>
      <c r="BO214" s="14"/>
      <c r="BP214" s="14"/>
      <c r="BQ214" s="14"/>
      <c r="BX214" s="14"/>
      <c r="BY214" s="14"/>
      <c r="BZ214" s="14"/>
      <c r="CA214" s="14"/>
      <c r="CB214" s="14"/>
      <c r="CC214" s="14"/>
      <c r="CD214" s="14"/>
      <c r="CF214" s="14"/>
      <c r="CJ214" s="16"/>
      <c r="CM214" s="14"/>
      <c r="CN214" s="14"/>
      <c r="CO214" s="14"/>
      <c r="CP214" s="14"/>
      <c r="CQ214" s="14"/>
      <c r="CR214" s="14"/>
      <c r="CS214" s="14"/>
      <c r="CT214" s="14"/>
      <c r="CU214" s="14"/>
      <c r="CV214" s="14"/>
    </row>
    <row r="215" spans="1:100" x14ac:dyDescent="0.2">
      <c r="A215" s="14"/>
      <c r="B215" s="14"/>
      <c r="C215" s="14"/>
      <c r="D215" s="14"/>
      <c r="E215" s="14"/>
      <c r="F215" s="14"/>
      <c r="G215" s="14"/>
      <c r="H215" s="14"/>
      <c r="I215" s="14"/>
      <c r="J215" s="14"/>
      <c r="K215" s="14"/>
      <c r="L215" s="15"/>
      <c r="M215" s="14"/>
      <c r="N215" s="14"/>
      <c r="O215" s="14"/>
      <c r="P215" s="14"/>
      <c r="Q215" s="16"/>
      <c r="R215" s="14"/>
      <c r="Z215" s="16"/>
      <c r="AC215" s="14"/>
      <c r="AD215" s="14"/>
      <c r="AE215" s="14"/>
      <c r="AF215" s="14"/>
      <c r="AG215" s="14"/>
      <c r="AH215" s="14"/>
      <c r="AI215" s="14"/>
      <c r="AJ215" s="14"/>
      <c r="AK215" s="14"/>
      <c r="AL215" s="14"/>
      <c r="AS215" s="14"/>
      <c r="AT215" s="14"/>
      <c r="AU215" s="14"/>
      <c r="AV215" s="14"/>
      <c r="AW215" s="14"/>
      <c r="AX215" s="14"/>
      <c r="AY215" s="14"/>
      <c r="BA215" s="14"/>
      <c r="BE215" s="16"/>
      <c r="BH215" s="14"/>
      <c r="BI215" s="14"/>
      <c r="BJ215" s="14"/>
      <c r="BK215" s="14"/>
      <c r="BL215" s="14"/>
      <c r="BM215" s="14"/>
      <c r="BN215" s="14"/>
      <c r="BO215" s="14"/>
      <c r="BP215" s="14"/>
      <c r="BQ215" s="14"/>
      <c r="BX215" s="14"/>
      <c r="BY215" s="14"/>
      <c r="BZ215" s="14"/>
      <c r="CA215" s="14"/>
      <c r="CB215" s="14"/>
      <c r="CC215" s="14"/>
      <c r="CD215" s="14"/>
      <c r="CF215" s="14"/>
      <c r="CJ215" s="16"/>
      <c r="CM215" s="14"/>
      <c r="CN215" s="14"/>
      <c r="CO215" s="14"/>
      <c r="CP215" s="14"/>
      <c r="CQ215" s="14"/>
      <c r="CR215" s="14"/>
      <c r="CS215" s="14"/>
      <c r="CT215" s="14"/>
      <c r="CU215" s="14"/>
      <c r="CV215" s="14"/>
    </row>
    <row r="216" spans="1:100" x14ac:dyDescent="0.2">
      <c r="A216" s="14"/>
      <c r="B216" s="14"/>
      <c r="C216" s="14"/>
      <c r="D216" s="14"/>
      <c r="E216" s="14"/>
      <c r="F216" s="14"/>
      <c r="G216" s="14"/>
      <c r="H216" s="14"/>
      <c r="I216" s="14"/>
      <c r="J216" s="14"/>
      <c r="K216" s="14"/>
      <c r="L216" s="15"/>
      <c r="M216" s="14"/>
      <c r="N216" s="14"/>
      <c r="O216" s="14"/>
      <c r="P216" s="14"/>
      <c r="Q216" s="16"/>
      <c r="R216" s="14"/>
      <c r="Z216" s="16"/>
      <c r="AC216" s="14"/>
      <c r="AD216" s="14"/>
      <c r="AE216" s="14"/>
      <c r="AF216" s="14"/>
      <c r="AG216" s="14"/>
      <c r="AH216" s="14"/>
      <c r="AI216" s="14"/>
      <c r="AJ216" s="14"/>
      <c r="AK216" s="14"/>
      <c r="AL216" s="14"/>
      <c r="AS216" s="14"/>
      <c r="AT216" s="14"/>
      <c r="AU216" s="14"/>
      <c r="AV216" s="14"/>
      <c r="AW216" s="14"/>
      <c r="AX216" s="14"/>
      <c r="AY216" s="14"/>
      <c r="BA216" s="14"/>
      <c r="BE216" s="16"/>
      <c r="BH216" s="14"/>
      <c r="BI216" s="14"/>
      <c r="BJ216" s="14"/>
      <c r="BK216" s="14"/>
      <c r="BL216" s="14"/>
      <c r="BM216" s="14"/>
      <c r="BN216" s="14"/>
      <c r="BO216" s="14"/>
      <c r="BP216" s="14"/>
      <c r="BQ216" s="14"/>
      <c r="BX216" s="14"/>
      <c r="BY216" s="14"/>
      <c r="BZ216" s="14"/>
      <c r="CA216" s="14"/>
      <c r="CB216" s="14"/>
      <c r="CC216" s="14"/>
      <c r="CD216" s="14"/>
      <c r="CF216" s="14"/>
      <c r="CJ216" s="16"/>
      <c r="CM216" s="14"/>
      <c r="CN216" s="14"/>
      <c r="CO216" s="14"/>
      <c r="CP216" s="14"/>
      <c r="CQ216" s="14"/>
      <c r="CR216" s="14"/>
      <c r="CS216" s="14"/>
      <c r="CT216" s="14"/>
      <c r="CU216" s="14"/>
      <c r="CV216" s="14"/>
    </row>
    <row r="217" spans="1:100" x14ac:dyDescent="0.2">
      <c r="A217" s="14"/>
      <c r="B217" s="14"/>
      <c r="C217" s="14"/>
      <c r="D217" s="14"/>
      <c r="E217" s="14"/>
      <c r="F217" s="14"/>
      <c r="G217" s="14"/>
      <c r="H217" s="14"/>
      <c r="I217" s="14"/>
      <c r="J217" s="14"/>
      <c r="K217" s="14"/>
      <c r="L217" s="15"/>
      <c r="M217" s="14"/>
      <c r="N217" s="14"/>
      <c r="O217" s="14"/>
      <c r="P217" s="14"/>
      <c r="Q217" s="16"/>
      <c r="R217" s="14"/>
      <c r="Z217" s="16"/>
      <c r="AC217" s="14"/>
      <c r="AD217" s="14"/>
      <c r="AE217" s="14"/>
      <c r="AF217" s="14"/>
      <c r="AG217" s="14"/>
      <c r="AH217" s="14"/>
      <c r="AI217" s="14"/>
      <c r="AJ217" s="14"/>
      <c r="AK217" s="14"/>
      <c r="AL217" s="14"/>
      <c r="AS217" s="14"/>
      <c r="AT217" s="14"/>
      <c r="AU217" s="14"/>
      <c r="AV217" s="14"/>
      <c r="AW217" s="14"/>
      <c r="AX217" s="14"/>
      <c r="AY217" s="14"/>
      <c r="BA217" s="14"/>
      <c r="BE217" s="16"/>
      <c r="BH217" s="14"/>
      <c r="BI217" s="14"/>
      <c r="BJ217" s="14"/>
      <c r="BK217" s="14"/>
      <c r="BL217" s="14"/>
      <c r="BM217" s="14"/>
      <c r="BN217" s="14"/>
      <c r="BO217" s="14"/>
      <c r="BP217" s="14"/>
      <c r="BQ217" s="14"/>
      <c r="BX217" s="14"/>
      <c r="BY217" s="14"/>
      <c r="BZ217" s="14"/>
      <c r="CA217" s="14"/>
      <c r="CB217" s="14"/>
      <c r="CC217" s="14"/>
      <c r="CD217" s="14"/>
      <c r="CF217" s="14"/>
      <c r="CJ217" s="16"/>
      <c r="CM217" s="14"/>
      <c r="CN217" s="14"/>
      <c r="CO217" s="14"/>
      <c r="CP217" s="14"/>
      <c r="CQ217" s="14"/>
      <c r="CR217" s="14"/>
      <c r="CS217" s="14"/>
      <c r="CT217" s="14"/>
      <c r="CU217" s="14"/>
      <c r="CV217" s="14"/>
    </row>
    <row r="218" spans="1:100" x14ac:dyDescent="0.2">
      <c r="A218" s="14"/>
      <c r="B218" s="14"/>
      <c r="C218" s="14"/>
      <c r="D218" s="14"/>
      <c r="E218" s="14"/>
      <c r="F218" s="14"/>
      <c r="G218" s="14"/>
      <c r="H218" s="14"/>
      <c r="I218" s="14"/>
      <c r="J218" s="14"/>
      <c r="K218" s="14"/>
      <c r="L218" s="15"/>
      <c r="M218" s="14"/>
      <c r="N218" s="14"/>
      <c r="O218" s="14"/>
      <c r="P218" s="14"/>
      <c r="Q218" s="16"/>
      <c r="R218" s="14"/>
      <c r="Z218" s="16"/>
      <c r="AC218" s="14"/>
      <c r="AD218" s="14"/>
      <c r="AE218" s="14"/>
      <c r="AF218" s="14"/>
      <c r="AG218" s="14"/>
      <c r="AH218" s="14"/>
      <c r="AI218" s="14"/>
      <c r="AJ218" s="14"/>
      <c r="AK218" s="14"/>
      <c r="AL218" s="14"/>
      <c r="AS218" s="14"/>
      <c r="AT218" s="14"/>
      <c r="AU218" s="14"/>
      <c r="AV218" s="14"/>
      <c r="AW218" s="14"/>
      <c r="AX218" s="14"/>
      <c r="AY218" s="14"/>
      <c r="BA218" s="14"/>
      <c r="BE218" s="16"/>
      <c r="BH218" s="14"/>
      <c r="BI218" s="14"/>
      <c r="BJ218" s="14"/>
      <c r="BK218" s="14"/>
      <c r="BL218" s="14"/>
      <c r="BM218" s="14"/>
      <c r="BN218" s="14"/>
      <c r="BO218" s="14"/>
      <c r="BP218" s="14"/>
      <c r="BQ218" s="14"/>
      <c r="BX218" s="14"/>
      <c r="BY218" s="14"/>
      <c r="BZ218" s="14"/>
      <c r="CA218" s="14"/>
      <c r="CB218" s="14"/>
      <c r="CC218" s="14"/>
      <c r="CD218" s="14"/>
      <c r="CF218" s="14"/>
      <c r="CJ218" s="16"/>
      <c r="CM218" s="14"/>
      <c r="CN218" s="14"/>
      <c r="CO218" s="14"/>
      <c r="CP218" s="14"/>
      <c r="CQ218" s="14"/>
      <c r="CR218" s="14"/>
      <c r="CS218" s="14"/>
      <c r="CT218" s="14"/>
      <c r="CU218" s="14"/>
      <c r="CV218" s="14"/>
    </row>
    <row r="219" spans="1:100" x14ac:dyDescent="0.2">
      <c r="A219" s="14"/>
      <c r="B219" s="14"/>
      <c r="C219" s="14"/>
      <c r="D219" s="14"/>
      <c r="E219" s="14"/>
      <c r="F219" s="14"/>
      <c r="G219" s="14"/>
      <c r="H219" s="14"/>
      <c r="I219" s="14"/>
      <c r="J219" s="14"/>
      <c r="K219" s="14"/>
      <c r="L219" s="15"/>
      <c r="M219" s="14"/>
      <c r="N219" s="14"/>
      <c r="O219" s="14"/>
      <c r="P219" s="14"/>
      <c r="Q219" s="16"/>
      <c r="R219" s="14"/>
      <c r="Z219" s="16"/>
      <c r="AC219" s="14"/>
      <c r="AD219" s="14"/>
      <c r="AE219" s="14"/>
      <c r="AF219" s="14"/>
      <c r="AG219" s="14"/>
      <c r="AH219" s="14"/>
      <c r="AI219" s="14"/>
      <c r="AJ219" s="14"/>
      <c r="AK219" s="14"/>
      <c r="AL219" s="14"/>
      <c r="AS219" s="14"/>
      <c r="AT219" s="14"/>
      <c r="AU219" s="14"/>
      <c r="AV219" s="14"/>
      <c r="AW219" s="14"/>
      <c r="AX219" s="14"/>
      <c r="AY219" s="14"/>
      <c r="BA219" s="14"/>
      <c r="BE219" s="16"/>
      <c r="BH219" s="14"/>
      <c r="BI219" s="14"/>
      <c r="BJ219" s="14"/>
      <c r="BK219" s="14"/>
      <c r="BL219" s="14"/>
      <c r="BM219" s="14"/>
      <c r="BN219" s="14"/>
      <c r="BO219" s="14"/>
      <c r="BP219" s="14"/>
      <c r="BQ219" s="14"/>
      <c r="BX219" s="14"/>
      <c r="BY219" s="14"/>
      <c r="BZ219" s="14"/>
      <c r="CA219" s="14"/>
      <c r="CB219" s="14"/>
      <c r="CC219" s="14"/>
      <c r="CD219" s="14"/>
      <c r="CF219" s="14"/>
      <c r="CJ219" s="16"/>
      <c r="CM219" s="14"/>
      <c r="CN219" s="14"/>
      <c r="CO219" s="14"/>
      <c r="CP219" s="14"/>
      <c r="CQ219" s="14"/>
      <c r="CR219" s="14"/>
      <c r="CS219" s="14"/>
      <c r="CT219" s="14"/>
      <c r="CU219" s="14"/>
      <c r="CV219" s="14"/>
    </row>
    <row r="220" spans="1:100" x14ac:dyDescent="0.2">
      <c r="A220" s="14"/>
      <c r="B220" s="14"/>
      <c r="C220" s="14"/>
      <c r="D220" s="14"/>
      <c r="E220" s="14"/>
      <c r="F220" s="14"/>
      <c r="G220" s="14"/>
      <c r="H220" s="14"/>
      <c r="I220" s="14"/>
      <c r="J220" s="14"/>
      <c r="K220" s="14"/>
      <c r="L220" s="15"/>
      <c r="M220" s="14"/>
      <c r="N220" s="14"/>
      <c r="O220" s="14"/>
      <c r="P220" s="14"/>
      <c r="Q220" s="16"/>
      <c r="R220" s="14"/>
      <c r="Z220" s="16"/>
      <c r="AC220" s="14"/>
      <c r="AD220" s="14"/>
      <c r="AE220" s="14"/>
      <c r="AF220" s="14"/>
      <c r="AG220" s="14"/>
      <c r="AH220" s="14"/>
      <c r="AI220" s="14"/>
      <c r="AJ220" s="14"/>
      <c r="AK220" s="14"/>
      <c r="AL220" s="14"/>
      <c r="AS220" s="14"/>
      <c r="AT220" s="14"/>
      <c r="AU220" s="14"/>
      <c r="AV220" s="14"/>
      <c r="AW220" s="14"/>
      <c r="AX220" s="14"/>
      <c r="AY220" s="14"/>
      <c r="BA220" s="14"/>
      <c r="BE220" s="16"/>
      <c r="BH220" s="14"/>
      <c r="BI220" s="14"/>
      <c r="BJ220" s="14"/>
      <c r="BK220" s="14"/>
      <c r="BL220" s="14"/>
      <c r="BM220" s="14"/>
      <c r="BN220" s="14"/>
      <c r="BO220" s="14"/>
      <c r="BP220" s="14"/>
      <c r="BQ220" s="14"/>
      <c r="BX220" s="14"/>
      <c r="BY220" s="14"/>
      <c r="BZ220" s="14"/>
      <c r="CA220" s="14"/>
      <c r="CB220" s="14"/>
      <c r="CC220" s="14"/>
      <c r="CD220" s="14"/>
      <c r="CF220" s="14"/>
      <c r="CJ220" s="16"/>
      <c r="CM220" s="14"/>
      <c r="CN220" s="14"/>
      <c r="CO220" s="14"/>
      <c r="CP220" s="14"/>
      <c r="CQ220" s="14"/>
      <c r="CR220" s="14"/>
      <c r="CS220" s="14"/>
      <c r="CT220" s="14"/>
      <c r="CU220" s="14"/>
      <c r="CV220" s="14"/>
    </row>
    <row r="221" spans="1:100" x14ac:dyDescent="0.2">
      <c r="A221" s="14"/>
      <c r="B221" s="14"/>
      <c r="C221" s="14"/>
      <c r="D221" s="14"/>
      <c r="E221" s="14"/>
      <c r="F221" s="14"/>
      <c r="G221" s="14"/>
      <c r="H221" s="14"/>
      <c r="I221" s="14"/>
      <c r="J221" s="14"/>
      <c r="K221" s="14"/>
      <c r="L221" s="15"/>
      <c r="M221" s="14"/>
      <c r="N221" s="14"/>
      <c r="O221" s="14"/>
      <c r="P221" s="14"/>
      <c r="Q221" s="16"/>
      <c r="R221" s="14"/>
      <c r="Z221" s="16"/>
      <c r="AC221" s="14"/>
      <c r="AD221" s="14"/>
      <c r="AE221" s="14"/>
      <c r="AF221" s="14"/>
      <c r="AG221" s="14"/>
      <c r="AH221" s="14"/>
      <c r="AI221" s="14"/>
      <c r="AJ221" s="14"/>
      <c r="AK221" s="14"/>
      <c r="AL221" s="14"/>
      <c r="AS221" s="14"/>
      <c r="AT221" s="14"/>
      <c r="AU221" s="14"/>
      <c r="AV221" s="14"/>
      <c r="AW221" s="14"/>
      <c r="AX221" s="14"/>
      <c r="AY221" s="14"/>
      <c r="BA221" s="14"/>
      <c r="BE221" s="16"/>
      <c r="BH221" s="14"/>
      <c r="BI221" s="14"/>
      <c r="BJ221" s="14"/>
      <c r="BK221" s="14"/>
      <c r="BL221" s="14"/>
      <c r="BM221" s="14"/>
      <c r="BN221" s="14"/>
      <c r="BO221" s="14"/>
      <c r="BP221" s="14"/>
      <c r="BQ221" s="14"/>
      <c r="BX221" s="14"/>
      <c r="BY221" s="14"/>
      <c r="BZ221" s="14"/>
      <c r="CA221" s="14"/>
      <c r="CB221" s="14"/>
      <c r="CC221" s="14"/>
      <c r="CD221" s="14"/>
      <c r="CF221" s="14"/>
      <c r="CJ221" s="16"/>
      <c r="CM221" s="14"/>
      <c r="CN221" s="14"/>
      <c r="CO221" s="14"/>
      <c r="CP221" s="14"/>
      <c r="CQ221" s="14"/>
      <c r="CR221" s="14"/>
      <c r="CS221" s="14"/>
      <c r="CT221" s="14"/>
      <c r="CU221" s="14"/>
      <c r="CV221" s="14"/>
    </row>
    <row r="222" spans="1:100" x14ac:dyDescent="0.2">
      <c r="A222" s="14"/>
      <c r="B222" s="14"/>
      <c r="C222" s="14"/>
      <c r="D222" s="14"/>
      <c r="E222" s="14"/>
      <c r="F222" s="14"/>
      <c r="G222" s="14"/>
      <c r="H222" s="14"/>
      <c r="I222" s="14"/>
      <c r="J222" s="14"/>
      <c r="K222" s="14"/>
      <c r="L222" s="15"/>
      <c r="M222" s="14"/>
      <c r="N222" s="14"/>
      <c r="O222" s="14"/>
      <c r="P222" s="14"/>
      <c r="Q222" s="16"/>
      <c r="R222" s="14"/>
      <c r="Z222" s="16"/>
      <c r="AC222" s="14"/>
      <c r="AD222" s="14"/>
      <c r="AE222" s="14"/>
      <c r="AF222" s="14"/>
      <c r="AG222" s="14"/>
      <c r="AH222" s="14"/>
      <c r="AI222" s="14"/>
      <c r="AJ222" s="14"/>
      <c r="AK222" s="14"/>
      <c r="AL222" s="14"/>
      <c r="AS222" s="14"/>
      <c r="AT222" s="14"/>
      <c r="AU222" s="14"/>
      <c r="AV222" s="14"/>
      <c r="AW222" s="14"/>
      <c r="AX222" s="14"/>
      <c r="AY222" s="14"/>
      <c r="BA222" s="14"/>
      <c r="BE222" s="16"/>
      <c r="BH222" s="14"/>
      <c r="BI222" s="14"/>
      <c r="BJ222" s="14"/>
      <c r="BK222" s="14"/>
      <c r="BL222" s="14"/>
      <c r="BM222" s="14"/>
      <c r="BN222" s="14"/>
      <c r="BO222" s="14"/>
      <c r="BP222" s="14"/>
      <c r="BQ222" s="14"/>
      <c r="BX222" s="14"/>
      <c r="BY222" s="14"/>
      <c r="BZ222" s="14"/>
      <c r="CA222" s="14"/>
      <c r="CB222" s="14"/>
      <c r="CC222" s="14"/>
      <c r="CD222" s="14"/>
      <c r="CF222" s="14"/>
      <c r="CJ222" s="16"/>
      <c r="CM222" s="14"/>
      <c r="CN222" s="14"/>
      <c r="CO222" s="14"/>
      <c r="CP222" s="14"/>
      <c r="CQ222" s="14"/>
      <c r="CR222" s="14"/>
      <c r="CS222" s="14"/>
      <c r="CT222" s="14"/>
      <c r="CU222" s="14"/>
      <c r="CV222" s="14"/>
    </row>
    <row r="223" spans="1:100" x14ac:dyDescent="0.2">
      <c r="A223" s="14"/>
      <c r="B223" s="14"/>
      <c r="C223" s="14"/>
      <c r="D223" s="14"/>
      <c r="E223" s="14"/>
      <c r="F223" s="14"/>
      <c r="G223" s="14"/>
      <c r="H223" s="14"/>
      <c r="I223" s="14"/>
      <c r="J223" s="14"/>
      <c r="K223" s="14"/>
      <c r="L223" s="15"/>
      <c r="M223" s="14"/>
      <c r="N223" s="14"/>
      <c r="O223" s="14"/>
      <c r="P223" s="14"/>
      <c r="Q223" s="16"/>
      <c r="R223" s="14"/>
      <c r="Z223" s="16"/>
      <c r="AC223" s="14"/>
      <c r="AD223" s="14"/>
      <c r="AE223" s="14"/>
      <c r="AF223" s="14"/>
      <c r="AG223" s="14"/>
      <c r="AH223" s="14"/>
      <c r="AI223" s="14"/>
      <c r="AJ223" s="14"/>
      <c r="AK223" s="14"/>
      <c r="AL223" s="14"/>
      <c r="AS223" s="14"/>
      <c r="AT223" s="14"/>
      <c r="AU223" s="14"/>
      <c r="AV223" s="14"/>
      <c r="AW223" s="14"/>
      <c r="AX223" s="14"/>
      <c r="AY223" s="14"/>
      <c r="BA223" s="14"/>
      <c r="BE223" s="16"/>
      <c r="BH223" s="14"/>
      <c r="BI223" s="14"/>
      <c r="BJ223" s="14"/>
      <c r="BK223" s="14"/>
      <c r="BL223" s="14"/>
      <c r="BM223" s="14"/>
      <c r="BN223" s="14"/>
      <c r="BO223" s="14"/>
      <c r="BP223" s="14"/>
      <c r="BQ223" s="14"/>
      <c r="BX223" s="14"/>
      <c r="BY223" s="14"/>
      <c r="BZ223" s="14"/>
      <c r="CA223" s="14"/>
      <c r="CB223" s="14"/>
      <c r="CC223" s="14"/>
      <c r="CD223" s="14"/>
      <c r="CF223" s="14"/>
      <c r="CJ223" s="16"/>
      <c r="CM223" s="14"/>
      <c r="CN223" s="14"/>
      <c r="CO223" s="14"/>
      <c r="CP223" s="14"/>
      <c r="CQ223" s="14"/>
      <c r="CR223" s="14"/>
      <c r="CS223" s="14"/>
      <c r="CT223" s="14"/>
      <c r="CU223" s="14"/>
      <c r="CV223" s="14"/>
    </row>
    <row r="224" spans="1:100" x14ac:dyDescent="0.2">
      <c r="A224" s="14"/>
      <c r="B224" s="14"/>
      <c r="C224" s="14"/>
      <c r="D224" s="14"/>
      <c r="E224" s="14"/>
      <c r="F224" s="14"/>
      <c r="G224" s="14"/>
      <c r="H224" s="14"/>
      <c r="I224" s="14"/>
      <c r="J224" s="14"/>
      <c r="K224" s="14"/>
      <c r="L224" s="15"/>
      <c r="M224" s="14"/>
      <c r="N224" s="14"/>
      <c r="O224" s="14"/>
      <c r="P224" s="14"/>
      <c r="Q224" s="16"/>
      <c r="R224" s="14"/>
      <c r="Z224" s="16"/>
      <c r="AC224" s="14"/>
      <c r="AD224" s="14"/>
      <c r="AE224" s="14"/>
      <c r="AF224" s="14"/>
      <c r="AG224" s="14"/>
      <c r="AH224" s="14"/>
      <c r="AI224" s="14"/>
      <c r="AJ224" s="14"/>
      <c r="AK224" s="14"/>
      <c r="AL224" s="14"/>
      <c r="AS224" s="14"/>
      <c r="AT224" s="14"/>
      <c r="AU224" s="14"/>
      <c r="AV224" s="14"/>
      <c r="AW224" s="14"/>
      <c r="AX224" s="14"/>
      <c r="AY224" s="14"/>
      <c r="BA224" s="14"/>
      <c r="BE224" s="16"/>
      <c r="BH224" s="14"/>
      <c r="BI224" s="14"/>
      <c r="BJ224" s="14"/>
      <c r="BK224" s="14"/>
      <c r="BL224" s="14"/>
      <c r="BM224" s="14"/>
      <c r="BN224" s="14"/>
      <c r="BO224" s="14"/>
      <c r="BP224" s="14"/>
      <c r="BQ224" s="14"/>
      <c r="BX224" s="14"/>
      <c r="BY224" s="14"/>
      <c r="BZ224" s="14"/>
      <c r="CA224" s="14"/>
      <c r="CB224" s="14"/>
      <c r="CC224" s="14"/>
      <c r="CD224" s="14"/>
      <c r="CF224" s="14"/>
      <c r="CJ224" s="16"/>
      <c r="CM224" s="14"/>
      <c r="CN224" s="14"/>
      <c r="CO224" s="14"/>
      <c r="CP224" s="14"/>
      <c r="CQ224" s="14"/>
      <c r="CR224" s="14"/>
      <c r="CS224" s="14"/>
      <c r="CT224" s="14"/>
      <c r="CU224" s="14"/>
      <c r="CV224" s="14"/>
    </row>
    <row r="225" spans="1:100" x14ac:dyDescent="0.2">
      <c r="A225" s="14"/>
      <c r="B225" s="14"/>
      <c r="C225" s="14"/>
      <c r="D225" s="14"/>
      <c r="E225" s="14"/>
      <c r="F225" s="14"/>
      <c r="G225" s="14"/>
      <c r="H225" s="14"/>
      <c r="I225" s="14"/>
      <c r="J225" s="14"/>
      <c r="K225" s="14"/>
      <c r="L225" s="15"/>
      <c r="M225" s="14"/>
      <c r="N225" s="14"/>
      <c r="O225" s="14"/>
      <c r="P225" s="14"/>
      <c r="Q225" s="16"/>
      <c r="R225" s="14"/>
      <c r="Z225" s="16"/>
      <c r="AC225" s="14"/>
      <c r="AD225" s="14"/>
      <c r="AE225" s="14"/>
      <c r="AF225" s="14"/>
      <c r="AG225" s="14"/>
      <c r="AH225" s="14"/>
      <c r="AI225" s="14"/>
      <c r="AJ225" s="14"/>
      <c r="AK225" s="14"/>
      <c r="AL225" s="14"/>
      <c r="AS225" s="14"/>
      <c r="AT225" s="14"/>
      <c r="AU225" s="14"/>
      <c r="AV225" s="14"/>
      <c r="AW225" s="14"/>
      <c r="AX225" s="14"/>
      <c r="AY225" s="14"/>
      <c r="BA225" s="14"/>
      <c r="BE225" s="16"/>
      <c r="BH225" s="14"/>
      <c r="BI225" s="14"/>
      <c r="BJ225" s="14"/>
      <c r="BK225" s="14"/>
      <c r="BL225" s="14"/>
      <c r="BM225" s="14"/>
      <c r="BN225" s="14"/>
      <c r="BO225" s="14"/>
      <c r="BP225" s="14"/>
      <c r="BQ225" s="14"/>
      <c r="BX225" s="14"/>
      <c r="BY225" s="14"/>
      <c r="BZ225" s="14"/>
      <c r="CA225" s="14"/>
      <c r="CB225" s="14"/>
      <c r="CC225" s="14"/>
      <c r="CD225" s="14"/>
      <c r="CF225" s="14"/>
      <c r="CJ225" s="16"/>
      <c r="CM225" s="14"/>
      <c r="CN225" s="14"/>
      <c r="CO225" s="14"/>
      <c r="CP225" s="14"/>
      <c r="CQ225" s="14"/>
      <c r="CR225" s="14"/>
      <c r="CS225" s="14"/>
      <c r="CT225" s="14"/>
      <c r="CU225" s="14"/>
      <c r="CV225" s="14"/>
    </row>
    <row r="226" spans="1:100" x14ac:dyDescent="0.2">
      <c r="A226" s="14"/>
      <c r="B226" s="14"/>
      <c r="C226" s="14"/>
      <c r="D226" s="14"/>
      <c r="E226" s="14"/>
      <c r="F226" s="14"/>
      <c r="G226" s="14"/>
      <c r="H226" s="14"/>
      <c r="I226" s="14"/>
      <c r="J226" s="14"/>
      <c r="K226" s="14"/>
      <c r="L226" s="15"/>
      <c r="M226" s="14"/>
      <c r="N226" s="14"/>
      <c r="O226" s="14"/>
      <c r="P226" s="14"/>
      <c r="Q226" s="16"/>
      <c r="R226" s="14"/>
      <c r="Z226" s="16"/>
      <c r="AC226" s="14"/>
      <c r="AD226" s="14"/>
      <c r="AE226" s="14"/>
      <c r="AF226" s="14"/>
      <c r="AG226" s="14"/>
      <c r="AH226" s="14"/>
      <c r="AI226" s="14"/>
      <c r="AJ226" s="14"/>
      <c r="AK226" s="14"/>
      <c r="AL226" s="14"/>
      <c r="AS226" s="14"/>
      <c r="AT226" s="14"/>
      <c r="AU226" s="14"/>
      <c r="AV226" s="14"/>
      <c r="AW226" s="14"/>
      <c r="AX226" s="14"/>
      <c r="AY226" s="14"/>
      <c r="BA226" s="14"/>
      <c r="BE226" s="16"/>
      <c r="BH226" s="14"/>
      <c r="BI226" s="14"/>
      <c r="BJ226" s="14"/>
      <c r="BK226" s="14"/>
      <c r="BL226" s="14"/>
      <c r="BM226" s="14"/>
      <c r="BN226" s="14"/>
      <c r="BO226" s="14"/>
      <c r="BP226" s="14"/>
      <c r="BQ226" s="14"/>
      <c r="BX226" s="14"/>
      <c r="BY226" s="14"/>
      <c r="BZ226" s="14"/>
      <c r="CA226" s="14"/>
      <c r="CB226" s="14"/>
      <c r="CC226" s="14"/>
      <c r="CD226" s="14"/>
      <c r="CF226" s="14"/>
      <c r="CJ226" s="16"/>
      <c r="CM226" s="14"/>
      <c r="CN226" s="14"/>
      <c r="CO226" s="14"/>
      <c r="CP226" s="14"/>
      <c r="CQ226" s="14"/>
      <c r="CR226" s="14"/>
      <c r="CS226" s="14"/>
      <c r="CT226" s="14"/>
      <c r="CU226" s="14"/>
      <c r="CV226" s="14"/>
    </row>
    <row r="227" spans="1:100" x14ac:dyDescent="0.2">
      <c r="A227" s="14"/>
      <c r="B227" s="14"/>
      <c r="C227" s="14"/>
      <c r="D227" s="14"/>
      <c r="E227" s="14"/>
      <c r="F227" s="14"/>
      <c r="G227" s="14"/>
      <c r="H227" s="14"/>
      <c r="I227" s="14"/>
      <c r="J227" s="14"/>
      <c r="K227" s="14"/>
      <c r="L227" s="15"/>
      <c r="M227" s="14"/>
      <c r="N227" s="14"/>
      <c r="O227" s="14"/>
      <c r="P227" s="14"/>
      <c r="Q227" s="16"/>
      <c r="R227" s="14"/>
      <c r="Z227" s="16"/>
      <c r="AC227" s="14"/>
      <c r="AD227" s="14"/>
      <c r="AE227" s="14"/>
      <c r="AF227" s="14"/>
      <c r="AG227" s="14"/>
      <c r="AH227" s="14"/>
      <c r="AI227" s="14"/>
      <c r="AJ227" s="14"/>
      <c r="AK227" s="14"/>
      <c r="AL227" s="14"/>
      <c r="AS227" s="14"/>
      <c r="AT227" s="14"/>
      <c r="AU227" s="14"/>
      <c r="AV227" s="14"/>
      <c r="AW227" s="14"/>
      <c r="AX227" s="14"/>
      <c r="AY227" s="14"/>
      <c r="BA227" s="14"/>
      <c r="BE227" s="16"/>
      <c r="BH227" s="14"/>
      <c r="BI227" s="14"/>
      <c r="BJ227" s="14"/>
      <c r="BK227" s="14"/>
      <c r="BL227" s="14"/>
      <c r="BM227" s="14"/>
      <c r="BN227" s="14"/>
      <c r="BO227" s="14"/>
      <c r="BP227" s="14"/>
      <c r="BQ227" s="14"/>
      <c r="BX227" s="14"/>
      <c r="BY227" s="14"/>
      <c r="BZ227" s="14"/>
      <c r="CA227" s="14"/>
      <c r="CB227" s="14"/>
      <c r="CC227" s="14"/>
      <c r="CD227" s="14"/>
      <c r="CF227" s="14"/>
      <c r="CJ227" s="16"/>
      <c r="CM227" s="14"/>
      <c r="CN227" s="14"/>
      <c r="CO227" s="14"/>
      <c r="CP227" s="14"/>
      <c r="CQ227" s="14"/>
      <c r="CR227" s="14"/>
      <c r="CS227" s="14"/>
      <c r="CT227" s="14"/>
      <c r="CU227" s="14"/>
      <c r="CV227" s="14"/>
    </row>
    <row r="228" spans="1:100" x14ac:dyDescent="0.2">
      <c r="A228" s="14"/>
      <c r="B228" s="14"/>
      <c r="C228" s="14"/>
      <c r="D228" s="14"/>
      <c r="E228" s="14"/>
      <c r="F228" s="14"/>
      <c r="G228" s="14"/>
      <c r="H228" s="14"/>
      <c r="I228" s="14"/>
      <c r="J228" s="14"/>
      <c r="K228" s="14"/>
      <c r="L228" s="15"/>
      <c r="M228" s="14"/>
      <c r="N228" s="14"/>
      <c r="O228" s="14"/>
      <c r="P228" s="14"/>
      <c r="Q228" s="16"/>
      <c r="R228" s="14"/>
      <c r="Z228" s="16"/>
      <c r="AC228" s="14"/>
      <c r="AD228" s="14"/>
      <c r="AE228" s="14"/>
      <c r="AF228" s="14"/>
      <c r="AG228" s="14"/>
      <c r="AH228" s="14"/>
      <c r="AI228" s="14"/>
      <c r="AJ228" s="14"/>
      <c r="AK228" s="14"/>
      <c r="AL228" s="14"/>
      <c r="AS228" s="14"/>
      <c r="AT228" s="14"/>
      <c r="AU228" s="14"/>
      <c r="AV228" s="14"/>
      <c r="AW228" s="14"/>
      <c r="AX228" s="14"/>
      <c r="AY228" s="14"/>
      <c r="BA228" s="14"/>
      <c r="BE228" s="16"/>
      <c r="BH228" s="14"/>
      <c r="BI228" s="14"/>
      <c r="BJ228" s="14"/>
      <c r="BK228" s="14"/>
      <c r="BL228" s="14"/>
      <c r="BM228" s="14"/>
      <c r="BN228" s="14"/>
      <c r="BO228" s="14"/>
      <c r="BP228" s="14"/>
      <c r="BQ228" s="14"/>
      <c r="BX228" s="14"/>
      <c r="BY228" s="14"/>
      <c r="BZ228" s="14"/>
      <c r="CA228" s="14"/>
      <c r="CB228" s="14"/>
      <c r="CC228" s="14"/>
      <c r="CD228" s="14"/>
      <c r="CF228" s="14"/>
      <c r="CJ228" s="16"/>
      <c r="CM228" s="14"/>
      <c r="CN228" s="14"/>
      <c r="CO228" s="14"/>
      <c r="CP228" s="14"/>
      <c r="CQ228" s="14"/>
      <c r="CR228" s="14"/>
      <c r="CS228" s="14"/>
      <c r="CT228" s="14"/>
      <c r="CU228" s="14"/>
      <c r="CV228" s="14"/>
    </row>
    <row r="229" spans="1:100" x14ac:dyDescent="0.2">
      <c r="A229" s="14"/>
      <c r="B229" s="14"/>
      <c r="C229" s="14"/>
      <c r="D229" s="14"/>
      <c r="E229" s="14"/>
      <c r="F229" s="14"/>
      <c r="G229" s="14"/>
      <c r="H229" s="14"/>
      <c r="I229" s="14"/>
      <c r="J229" s="14"/>
      <c r="K229" s="14"/>
      <c r="L229" s="15"/>
      <c r="M229" s="14"/>
      <c r="N229" s="14"/>
      <c r="O229" s="14"/>
      <c r="P229" s="14"/>
      <c r="Q229" s="16"/>
      <c r="R229" s="14"/>
      <c r="Z229" s="16"/>
      <c r="AC229" s="14"/>
      <c r="AD229" s="14"/>
      <c r="AE229" s="14"/>
      <c r="AF229" s="14"/>
      <c r="AG229" s="14"/>
      <c r="AH229" s="14"/>
      <c r="AI229" s="14"/>
      <c r="AJ229" s="14"/>
      <c r="AK229" s="14"/>
      <c r="AL229" s="14"/>
      <c r="AS229" s="14"/>
      <c r="AT229" s="14"/>
      <c r="AU229" s="14"/>
      <c r="AV229" s="14"/>
      <c r="AW229" s="14"/>
      <c r="AX229" s="14"/>
      <c r="AY229" s="14"/>
      <c r="BA229" s="14"/>
      <c r="BE229" s="16"/>
      <c r="BH229" s="14"/>
      <c r="BI229" s="14"/>
      <c r="BJ229" s="14"/>
      <c r="BK229" s="14"/>
      <c r="BL229" s="14"/>
      <c r="BM229" s="14"/>
      <c r="BN229" s="14"/>
      <c r="BO229" s="14"/>
      <c r="BP229" s="14"/>
      <c r="BQ229" s="14"/>
      <c r="BX229" s="14"/>
      <c r="BY229" s="14"/>
      <c r="BZ229" s="14"/>
      <c r="CA229" s="14"/>
      <c r="CB229" s="14"/>
      <c r="CC229" s="14"/>
      <c r="CD229" s="14"/>
      <c r="CF229" s="14"/>
      <c r="CJ229" s="16"/>
      <c r="CM229" s="14"/>
      <c r="CN229" s="14"/>
      <c r="CO229" s="14"/>
      <c r="CP229" s="14"/>
      <c r="CQ229" s="14"/>
      <c r="CR229" s="14"/>
      <c r="CS229" s="14"/>
      <c r="CT229" s="14"/>
      <c r="CU229" s="14"/>
      <c r="CV229" s="14"/>
    </row>
    <row r="230" spans="1:100" x14ac:dyDescent="0.2">
      <c r="A230" s="14"/>
      <c r="B230" s="14"/>
      <c r="C230" s="14"/>
      <c r="D230" s="14"/>
      <c r="E230" s="14"/>
      <c r="F230" s="14"/>
      <c r="G230" s="14"/>
      <c r="H230" s="14"/>
      <c r="I230" s="14"/>
      <c r="J230" s="14"/>
      <c r="K230" s="14"/>
      <c r="L230" s="15"/>
      <c r="M230" s="14"/>
      <c r="N230" s="14"/>
      <c r="O230" s="14"/>
      <c r="P230" s="14"/>
      <c r="Q230" s="16"/>
      <c r="R230" s="14"/>
      <c r="Z230" s="16"/>
      <c r="AC230" s="14"/>
      <c r="AD230" s="14"/>
      <c r="AE230" s="14"/>
      <c r="AF230" s="14"/>
      <c r="AG230" s="14"/>
      <c r="AH230" s="14"/>
      <c r="AI230" s="14"/>
      <c r="AJ230" s="14"/>
      <c r="AK230" s="14"/>
      <c r="AL230" s="14"/>
      <c r="AS230" s="14"/>
      <c r="AT230" s="14"/>
      <c r="AU230" s="14"/>
      <c r="AV230" s="14"/>
      <c r="AW230" s="14"/>
      <c r="AX230" s="14"/>
      <c r="AY230" s="14"/>
      <c r="BA230" s="14"/>
      <c r="BE230" s="16"/>
      <c r="BH230" s="14"/>
      <c r="BI230" s="14"/>
      <c r="BJ230" s="14"/>
      <c r="BK230" s="14"/>
      <c r="BL230" s="14"/>
      <c r="BM230" s="14"/>
      <c r="BN230" s="14"/>
      <c r="BO230" s="14"/>
      <c r="BP230" s="14"/>
      <c r="BQ230" s="14"/>
      <c r="BX230" s="14"/>
      <c r="BY230" s="14"/>
      <c r="BZ230" s="14"/>
      <c r="CA230" s="14"/>
      <c r="CB230" s="14"/>
      <c r="CC230" s="14"/>
      <c r="CD230" s="14"/>
      <c r="CF230" s="14"/>
      <c r="CJ230" s="16"/>
      <c r="CM230" s="14"/>
      <c r="CN230" s="14"/>
      <c r="CO230" s="14"/>
      <c r="CP230" s="14"/>
      <c r="CQ230" s="14"/>
      <c r="CR230" s="14"/>
      <c r="CS230" s="14"/>
      <c r="CT230" s="14"/>
      <c r="CU230" s="14"/>
      <c r="CV230" s="14"/>
    </row>
    <row r="231" spans="1:100" x14ac:dyDescent="0.2">
      <c r="A231" s="14"/>
      <c r="B231" s="14"/>
      <c r="C231" s="14"/>
      <c r="D231" s="14"/>
      <c r="E231" s="14"/>
      <c r="F231" s="14"/>
      <c r="G231" s="14"/>
      <c r="H231" s="14"/>
      <c r="I231" s="14"/>
      <c r="J231" s="14"/>
      <c r="K231" s="14"/>
      <c r="L231" s="15"/>
      <c r="M231" s="14"/>
      <c r="N231" s="14"/>
      <c r="O231" s="14"/>
      <c r="P231" s="14"/>
      <c r="Q231" s="16"/>
      <c r="R231" s="14"/>
      <c r="Z231" s="16"/>
      <c r="AC231" s="14"/>
      <c r="AD231" s="14"/>
      <c r="AE231" s="14"/>
      <c r="AF231" s="14"/>
      <c r="AG231" s="14"/>
      <c r="AH231" s="14"/>
      <c r="AI231" s="14"/>
      <c r="AJ231" s="14"/>
      <c r="AK231" s="14"/>
      <c r="AL231" s="14"/>
      <c r="AS231" s="14"/>
      <c r="AT231" s="14"/>
      <c r="AU231" s="14"/>
      <c r="AV231" s="14"/>
      <c r="AW231" s="14"/>
      <c r="AX231" s="14"/>
      <c r="AY231" s="14"/>
      <c r="BA231" s="14"/>
      <c r="BE231" s="16"/>
      <c r="BH231" s="14"/>
      <c r="BI231" s="14"/>
      <c r="BJ231" s="14"/>
      <c r="BK231" s="14"/>
      <c r="BL231" s="14"/>
      <c r="BM231" s="14"/>
      <c r="BN231" s="14"/>
      <c r="BO231" s="14"/>
      <c r="BP231" s="14"/>
      <c r="BQ231" s="14"/>
      <c r="BX231" s="14"/>
      <c r="BY231" s="14"/>
      <c r="BZ231" s="14"/>
      <c r="CA231" s="14"/>
      <c r="CB231" s="14"/>
      <c r="CC231" s="14"/>
      <c r="CD231" s="14"/>
      <c r="CF231" s="14"/>
      <c r="CJ231" s="16"/>
      <c r="CM231" s="14"/>
      <c r="CN231" s="14"/>
      <c r="CO231" s="14"/>
      <c r="CP231" s="14"/>
      <c r="CQ231" s="14"/>
      <c r="CR231" s="14"/>
      <c r="CS231" s="14"/>
      <c r="CT231" s="14"/>
      <c r="CU231" s="14"/>
      <c r="CV231" s="14"/>
    </row>
    <row r="232" spans="1:100" x14ac:dyDescent="0.2">
      <c r="A232" s="14"/>
      <c r="B232" s="14"/>
      <c r="C232" s="14"/>
      <c r="D232" s="14"/>
      <c r="E232" s="14"/>
      <c r="F232" s="14"/>
      <c r="G232" s="14"/>
      <c r="H232" s="14"/>
      <c r="I232" s="14"/>
      <c r="J232" s="14"/>
      <c r="K232" s="14"/>
      <c r="L232" s="15"/>
      <c r="M232" s="14"/>
      <c r="N232" s="14"/>
      <c r="O232" s="14"/>
      <c r="P232" s="14"/>
      <c r="Q232" s="16"/>
      <c r="R232" s="14"/>
      <c r="Z232" s="16"/>
      <c r="AC232" s="14"/>
      <c r="AD232" s="14"/>
      <c r="AE232" s="14"/>
      <c r="AF232" s="14"/>
      <c r="AG232" s="14"/>
      <c r="AH232" s="14"/>
      <c r="AI232" s="14"/>
      <c r="AJ232" s="14"/>
      <c r="AK232" s="14"/>
      <c r="AL232" s="14"/>
      <c r="AS232" s="14"/>
      <c r="AT232" s="14"/>
      <c r="AU232" s="14"/>
      <c r="AV232" s="14"/>
      <c r="AW232" s="14"/>
      <c r="AX232" s="14"/>
      <c r="AY232" s="14"/>
      <c r="BA232" s="14"/>
      <c r="BE232" s="16"/>
      <c r="BH232" s="14"/>
      <c r="BI232" s="14"/>
      <c r="BJ232" s="14"/>
      <c r="BK232" s="14"/>
      <c r="BL232" s="14"/>
      <c r="BM232" s="14"/>
      <c r="BN232" s="14"/>
      <c r="BO232" s="14"/>
      <c r="BP232" s="14"/>
      <c r="BQ232" s="14"/>
      <c r="BX232" s="14"/>
      <c r="BY232" s="14"/>
      <c r="BZ232" s="14"/>
      <c r="CA232" s="14"/>
      <c r="CB232" s="14"/>
      <c r="CC232" s="14"/>
      <c r="CD232" s="14"/>
      <c r="CF232" s="14"/>
      <c r="CJ232" s="16"/>
      <c r="CM232" s="14"/>
      <c r="CN232" s="14"/>
      <c r="CO232" s="14"/>
      <c r="CP232" s="14"/>
      <c r="CQ232" s="14"/>
      <c r="CR232" s="14"/>
      <c r="CS232" s="14"/>
      <c r="CT232" s="14"/>
      <c r="CU232" s="14"/>
      <c r="CV232" s="14"/>
    </row>
    <row r="233" spans="1:100" x14ac:dyDescent="0.2">
      <c r="A233" s="14"/>
      <c r="B233" s="14"/>
      <c r="C233" s="14"/>
      <c r="D233" s="14"/>
      <c r="E233" s="14"/>
      <c r="F233" s="14"/>
      <c r="G233" s="14"/>
      <c r="H233" s="14"/>
      <c r="I233" s="14"/>
      <c r="J233" s="14"/>
      <c r="K233" s="14"/>
      <c r="L233" s="15"/>
      <c r="M233" s="14"/>
      <c r="N233" s="14"/>
      <c r="O233" s="14"/>
      <c r="P233" s="14"/>
      <c r="Q233" s="16"/>
      <c r="R233" s="14"/>
      <c r="Z233" s="16"/>
      <c r="AC233" s="14"/>
      <c r="AD233" s="14"/>
      <c r="AE233" s="14"/>
      <c r="AF233" s="14"/>
      <c r="AG233" s="14"/>
      <c r="AH233" s="14"/>
      <c r="AI233" s="14"/>
      <c r="AJ233" s="14"/>
      <c r="AK233" s="14"/>
      <c r="AL233" s="14"/>
      <c r="AS233" s="14"/>
      <c r="AT233" s="14"/>
      <c r="AU233" s="14"/>
      <c r="AV233" s="14"/>
      <c r="AW233" s="14"/>
      <c r="AX233" s="14"/>
      <c r="AY233" s="14"/>
      <c r="BA233" s="14"/>
      <c r="BE233" s="16"/>
      <c r="BH233" s="14"/>
      <c r="BI233" s="14"/>
      <c r="BJ233" s="14"/>
      <c r="BK233" s="14"/>
      <c r="BL233" s="14"/>
      <c r="BM233" s="14"/>
      <c r="BN233" s="14"/>
      <c r="BO233" s="14"/>
      <c r="BP233" s="14"/>
      <c r="BQ233" s="14"/>
      <c r="BX233" s="14"/>
      <c r="BY233" s="14"/>
      <c r="BZ233" s="14"/>
      <c r="CA233" s="14"/>
      <c r="CB233" s="14"/>
      <c r="CC233" s="14"/>
      <c r="CD233" s="14"/>
      <c r="CF233" s="14"/>
      <c r="CJ233" s="16"/>
      <c r="CM233" s="14"/>
      <c r="CN233" s="14"/>
      <c r="CO233" s="14"/>
      <c r="CP233" s="14"/>
      <c r="CQ233" s="14"/>
      <c r="CR233" s="14"/>
      <c r="CS233" s="14"/>
      <c r="CT233" s="14"/>
      <c r="CU233" s="14"/>
      <c r="CV233" s="14"/>
    </row>
    <row r="234" spans="1:100" x14ac:dyDescent="0.2">
      <c r="A234" s="14"/>
      <c r="B234" s="14"/>
      <c r="C234" s="14"/>
      <c r="D234" s="14"/>
      <c r="E234" s="14"/>
      <c r="F234" s="14"/>
      <c r="G234" s="14"/>
      <c r="H234" s="14"/>
      <c r="I234" s="14"/>
      <c r="J234" s="14"/>
      <c r="K234" s="14"/>
      <c r="L234" s="15"/>
      <c r="M234" s="14"/>
      <c r="N234" s="14"/>
      <c r="O234" s="14"/>
      <c r="P234" s="14"/>
      <c r="Q234" s="16"/>
      <c r="R234" s="14"/>
      <c r="Z234" s="16"/>
      <c r="AC234" s="14"/>
      <c r="AD234" s="14"/>
      <c r="AE234" s="14"/>
      <c r="AF234" s="14"/>
      <c r="AG234" s="14"/>
      <c r="AH234" s="14"/>
      <c r="AI234" s="14"/>
      <c r="AJ234" s="14"/>
      <c r="AK234" s="14"/>
      <c r="AL234" s="14"/>
      <c r="AS234" s="14"/>
      <c r="AT234" s="14"/>
      <c r="AU234" s="14"/>
      <c r="AV234" s="14"/>
      <c r="AW234" s="14"/>
      <c r="AX234" s="14"/>
      <c r="AY234" s="14"/>
      <c r="BA234" s="14"/>
      <c r="BE234" s="16"/>
      <c r="BH234" s="14"/>
      <c r="BI234" s="14"/>
      <c r="BJ234" s="14"/>
      <c r="BK234" s="14"/>
      <c r="BL234" s="14"/>
      <c r="BM234" s="14"/>
      <c r="BN234" s="14"/>
      <c r="BO234" s="14"/>
      <c r="BP234" s="14"/>
      <c r="BQ234" s="14"/>
      <c r="BX234" s="14"/>
      <c r="BY234" s="14"/>
      <c r="BZ234" s="14"/>
      <c r="CA234" s="14"/>
      <c r="CB234" s="14"/>
      <c r="CC234" s="14"/>
      <c r="CD234" s="14"/>
      <c r="CF234" s="14"/>
      <c r="CJ234" s="16"/>
      <c r="CM234" s="14"/>
      <c r="CN234" s="14"/>
      <c r="CO234" s="14"/>
      <c r="CP234" s="14"/>
      <c r="CQ234" s="14"/>
      <c r="CR234" s="14"/>
      <c r="CS234" s="14"/>
      <c r="CT234" s="14"/>
      <c r="CU234" s="14"/>
      <c r="CV234" s="14"/>
    </row>
    <row r="235" spans="1:100" x14ac:dyDescent="0.2">
      <c r="A235" s="14"/>
      <c r="B235" s="14"/>
      <c r="C235" s="14"/>
      <c r="D235" s="14"/>
      <c r="E235" s="14"/>
      <c r="F235" s="14"/>
      <c r="G235" s="14"/>
      <c r="H235" s="14"/>
      <c r="I235" s="14"/>
      <c r="J235" s="14"/>
      <c r="K235" s="14"/>
      <c r="L235" s="15"/>
      <c r="M235" s="14"/>
      <c r="N235" s="14"/>
      <c r="O235" s="14"/>
      <c r="P235" s="14"/>
      <c r="Q235" s="16"/>
      <c r="R235" s="14"/>
      <c r="Z235" s="16"/>
      <c r="AC235" s="14"/>
      <c r="AD235" s="14"/>
      <c r="AE235" s="14"/>
      <c r="AF235" s="14"/>
      <c r="AG235" s="14"/>
      <c r="AH235" s="14"/>
      <c r="AI235" s="14"/>
      <c r="AJ235" s="14"/>
      <c r="AK235" s="14"/>
      <c r="AL235" s="14"/>
      <c r="AS235" s="14"/>
      <c r="AT235" s="14"/>
      <c r="AU235" s="14"/>
      <c r="AV235" s="14"/>
      <c r="AW235" s="14"/>
      <c r="AX235" s="14"/>
      <c r="AY235" s="14"/>
      <c r="BA235" s="14"/>
      <c r="BE235" s="16"/>
      <c r="BH235" s="14"/>
      <c r="BI235" s="14"/>
      <c r="BJ235" s="14"/>
      <c r="BK235" s="14"/>
      <c r="BL235" s="14"/>
      <c r="BM235" s="14"/>
      <c r="BN235" s="14"/>
      <c r="BO235" s="14"/>
      <c r="BP235" s="14"/>
      <c r="BQ235" s="14"/>
      <c r="BX235" s="14"/>
      <c r="BY235" s="14"/>
      <c r="BZ235" s="14"/>
      <c r="CA235" s="14"/>
      <c r="CB235" s="14"/>
      <c r="CC235" s="14"/>
      <c r="CD235" s="14"/>
      <c r="CF235" s="14"/>
      <c r="CJ235" s="16"/>
      <c r="CM235" s="14"/>
      <c r="CN235" s="14"/>
      <c r="CO235" s="14"/>
      <c r="CP235" s="14"/>
      <c r="CQ235" s="14"/>
      <c r="CR235" s="14"/>
      <c r="CS235" s="14"/>
      <c r="CT235" s="14"/>
      <c r="CU235" s="14"/>
      <c r="CV235" s="14"/>
    </row>
    <row r="236" spans="1:100" x14ac:dyDescent="0.2">
      <c r="A236" s="14"/>
      <c r="B236" s="14"/>
      <c r="C236" s="14"/>
      <c r="D236" s="14"/>
      <c r="E236" s="14"/>
      <c r="F236" s="14"/>
      <c r="G236" s="14"/>
      <c r="H236" s="14"/>
      <c r="I236" s="14"/>
      <c r="J236" s="14"/>
      <c r="K236" s="14"/>
      <c r="L236" s="15"/>
      <c r="M236" s="14"/>
      <c r="N236" s="14"/>
      <c r="O236" s="14"/>
      <c r="P236" s="14"/>
      <c r="Q236" s="16"/>
      <c r="R236" s="14"/>
      <c r="Z236" s="16"/>
      <c r="AC236" s="14"/>
      <c r="AD236" s="14"/>
      <c r="AE236" s="14"/>
      <c r="AF236" s="14"/>
      <c r="AG236" s="14"/>
      <c r="AH236" s="14"/>
      <c r="AI236" s="14"/>
      <c r="AJ236" s="14"/>
      <c r="AK236" s="14"/>
      <c r="AL236" s="14"/>
      <c r="AS236" s="14"/>
      <c r="AT236" s="14"/>
      <c r="AU236" s="14"/>
      <c r="AV236" s="14"/>
      <c r="AW236" s="14"/>
      <c r="AX236" s="14"/>
      <c r="AY236" s="14"/>
      <c r="BA236" s="14"/>
      <c r="BE236" s="16"/>
      <c r="BH236" s="14"/>
      <c r="BI236" s="14"/>
      <c r="BJ236" s="14"/>
      <c r="BK236" s="14"/>
      <c r="BL236" s="14"/>
      <c r="BM236" s="14"/>
      <c r="BN236" s="14"/>
      <c r="BO236" s="14"/>
      <c r="BP236" s="14"/>
      <c r="BQ236" s="14"/>
      <c r="BX236" s="14"/>
      <c r="BY236" s="14"/>
      <c r="BZ236" s="14"/>
      <c r="CA236" s="14"/>
      <c r="CB236" s="14"/>
      <c r="CC236" s="14"/>
      <c r="CD236" s="14"/>
      <c r="CF236" s="14"/>
      <c r="CJ236" s="16"/>
      <c r="CM236" s="14"/>
      <c r="CN236" s="14"/>
      <c r="CO236" s="14"/>
      <c r="CP236" s="14"/>
      <c r="CQ236" s="14"/>
      <c r="CR236" s="14"/>
      <c r="CS236" s="14"/>
      <c r="CT236" s="14"/>
      <c r="CU236" s="14"/>
      <c r="CV236" s="14"/>
    </row>
    <row r="237" spans="1:100" x14ac:dyDescent="0.2">
      <c r="A237" s="14"/>
      <c r="B237" s="14"/>
      <c r="C237" s="14"/>
      <c r="D237" s="14"/>
      <c r="E237" s="14"/>
      <c r="F237" s="14"/>
      <c r="G237" s="14"/>
      <c r="H237" s="14"/>
      <c r="I237" s="14"/>
      <c r="J237" s="14"/>
      <c r="K237" s="14"/>
      <c r="L237" s="15"/>
      <c r="M237" s="14"/>
      <c r="N237" s="14"/>
      <c r="O237" s="14"/>
      <c r="P237" s="14"/>
      <c r="Q237" s="16"/>
      <c r="R237" s="14"/>
      <c r="Z237" s="16"/>
      <c r="AC237" s="14"/>
      <c r="AD237" s="14"/>
      <c r="AE237" s="14"/>
      <c r="AF237" s="14"/>
      <c r="AG237" s="14"/>
      <c r="AH237" s="14"/>
      <c r="AI237" s="14"/>
      <c r="AJ237" s="14"/>
      <c r="AK237" s="14"/>
      <c r="AL237" s="14"/>
      <c r="AS237" s="14"/>
      <c r="AT237" s="14"/>
      <c r="AU237" s="14"/>
      <c r="AV237" s="14"/>
      <c r="AW237" s="14"/>
      <c r="AX237" s="14"/>
      <c r="AY237" s="14"/>
      <c r="BA237" s="14"/>
      <c r="BE237" s="16"/>
      <c r="BH237" s="14"/>
      <c r="BI237" s="14"/>
      <c r="BJ237" s="14"/>
      <c r="BK237" s="14"/>
      <c r="BL237" s="14"/>
      <c r="BM237" s="14"/>
      <c r="BN237" s="14"/>
      <c r="BO237" s="14"/>
      <c r="BP237" s="14"/>
      <c r="BQ237" s="14"/>
      <c r="BX237" s="14"/>
      <c r="BY237" s="14"/>
      <c r="BZ237" s="14"/>
      <c r="CA237" s="14"/>
      <c r="CB237" s="14"/>
      <c r="CC237" s="14"/>
      <c r="CD237" s="14"/>
      <c r="CF237" s="14"/>
      <c r="CJ237" s="16"/>
      <c r="CM237" s="14"/>
      <c r="CN237" s="14"/>
      <c r="CO237" s="14"/>
      <c r="CP237" s="14"/>
      <c r="CQ237" s="14"/>
      <c r="CR237" s="14"/>
      <c r="CS237" s="14"/>
      <c r="CT237" s="14"/>
      <c r="CU237" s="14"/>
      <c r="CV237" s="14"/>
    </row>
    <row r="238" spans="1:100" x14ac:dyDescent="0.2">
      <c r="A238" s="14"/>
      <c r="B238" s="14"/>
      <c r="C238" s="14"/>
      <c r="D238" s="14"/>
      <c r="E238" s="14"/>
      <c r="F238" s="14"/>
      <c r="G238" s="14"/>
      <c r="H238" s="14"/>
      <c r="I238" s="14"/>
      <c r="J238" s="14"/>
      <c r="K238" s="14"/>
      <c r="L238" s="15"/>
      <c r="M238" s="14"/>
      <c r="N238" s="14"/>
      <c r="O238" s="14"/>
      <c r="P238" s="14"/>
      <c r="Q238" s="16"/>
      <c r="R238" s="14"/>
      <c r="Z238" s="16"/>
      <c r="AC238" s="14"/>
      <c r="AD238" s="14"/>
      <c r="AE238" s="14"/>
      <c r="AF238" s="14"/>
      <c r="AG238" s="14"/>
      <c r="AH238" s="14"/>
      <c r="AI238" s="14"/>
      <c r="AJ238" s="14"/>
      <c r="AK238" s="14"/>
      <c r="AL238" s="14"/>
      <c r="AS238" s="14"/>
      <c r="AT238" s="14"/>
      <c r="AU238" s="14"/>
      <c r="AV238" s="14"/>
      <c r="AW238" s="14"/>
      <c r="AX238" s="14"/>
      <c r="AY238" s="14"/>
      <c r="BA238" s="14"/>
      <c r="BE238" s="16"/>
      <c r="BH238" s="14"/>
      <c r="BI238" s="14"/>
      <c r="BJ238" s="14"/>
      <c r="BK238" s="14"/>
      <c r="BL238" s="14"/>
      <c r="BM238" s="14"/>
      <c r="BN238" s="14"/>
      <c r="BO238" s="14"/>
      <c r="BP238" s="14"/>
      <c r="BQ238" s="14"/>
      <c r="BX238" s="14"/>
      <c r="BY238" s="14"/>
      <c r="BZ238" s="14"/>
      <c r="CA238" s="14"/>
      <c r="CB238" s="14"/>
      <c r="CC238" s="14"/>
      <c r="CD238" s="14"/>
      <c r="CF238" s="14"/>
      <c r="CJ238" s="16"/>
      <c r="CM238" s="14"/>
      <c r="CN238" s="14"/>
      <c r="CO238" s="14"/>
      <c r="CP238" s="14"/>
      <c r="CQ238" s="14"/>
      <c r="CR238" s="14"/>
      <c r="CS238" s="14"/>
      <c r="CT238" s="14"/>
      <c r="CU238" s="14"/>
      <c r="CV238" s="14"/>
    </row>
    <row r="239" spans="1:100" x14ac:dyDescent="0.2">
      <c r="A239" s="14"/>
      <c r="B239" s="14"/>
      <c r="C239" s="14"/>
      <c r="D239" s="14"/>
      <c r="E239" s="14"/>
      <c r="F239" s="14"/>
      <c r="G239" s="14"/>
      <c r="H239" s="14"/>
      <c r="I239" s="14"/>
      <c r="J239" s="14"/>
      <c r="K239" s="14"/>
      <c r="L239" s="15"/>
      <c r="M239" s="14"/>
      <c r="N239" s="14"/>
      <c r="O239" s="14"/>
      <c r="P239" s="14"/>
      <c r="Q239" s="16"/>
      <c r="R239" s="14"/>
      <c r="Z239" s="16"/>
      <c r="AC239" s="14"/>
      <c r="AD239" s="14"/>
      <c r="AE239" s="14"/>
      <c r="AF239" s="14"/>
      <c r="AG239" s="14"/>
      <c r="AH239" s="14"/>
      <c r="AI239" s="14"/>
      <c r="AJ239" s="14"/>
      <c r="AK239" s="14"/>
      <c r="AL239" s="14"/>
      <c r="AS239" s="14"/>
      <c r="AT239" s="14"/>
      <c r="AU239" s="14"/>
      <c r="AV239" s="14"/>
      <c r="AW239" s="14"/>
      <c r="AX239" s="14"/>
      <c r="AY239" s="14"/>
      <c r="BA239" s="14"/>
      <c r="BE239" s="16"/>
      <c r="BH239" s="14"/>
      <c r="BI239" s="14"/>
      <c r="BJ239" s="14"/>
      <c r="BK239" s="14"/>
      <c r="BL239" s="14"/>
      <c r="BM239" s="14"/>
      <c r="BN239" s="14"/>
      <c r="BO239" s="14"/>
      <c r="BP239" s="14"/>
      <c r="BQ239" s="14"/>
      <c r="BX239" s="14"/>
      <c r="BY239" s="14"/>
      <c r="BZ239" s="14"/>
      <c r="CA239" s="14"/>
      <c r="CB239" s="14"/>
      <c r="CC239" s="14"/>
      <c r="CD239" s="14"/>
      <c r="CF239" s="14"/>
      <c r="CJ239" s="16"/>
      <c r="CM239" s="14"/>
      <c r="CN239" s="14"/>
      <c r="CO239" s="14"/>
      <c r="CP239" s="14"/>
      <c r="CQ239" s="14"/>
      <c r="CR239" s="14"/>
      <c r="CS239" s="14"/>
      <c r="CT239" s="14"/>
      <c r="CU239" s="14"/>
      <c r="CV239" s="14"/>
    </row>
    <row r="240" spans="1:100" x14ac:dyDescent="0.2">
      <c r="A240" s="14"/>
      <c r="B240" s="14"/>
      <c r="C240" s="14"/>
      <c r="D240" s="14"/>
      <c r="E240" s="14"/>
      <c r="F240" s="14"/>
      <c r="G240" s="14"/>
      <c r="H240" s="14"/>
      <c r="I240" s="14"/>
      <c r="J240" s="14"/>
      <c r="K240" s="14"/>
      <c r="L240" s="15"/>
      <c r="M240" s="14"/>
      <c r="N240" s="14"/>
      <c r="O240" s="14"/>
      <c r="P240" s="14"/>
      <c r="Q240" s="16"/>
      <c r="R240" s="14"/>
      <c r="Z240" s="16"/>
      <c r="AC240" s="14"/>
      <c r="AD240" s="14"/>
      <c r="AE240" s="14"/>
      <c r="AF240" s="14"/>
      <c r="AG240" s="14"/>
      <c r="AH240" s="14"/>
      <c r="AI240" s="14"/>
      <c r="AJ240" s="14"/>
      <c r="AK240" s="14"/>
      <c r="AL240" s="14"/>
      <c r="AS240" s="14"/>
      <c r="AT240" s="14"/>
      <c r="AU240" s="14"/>
      <c r="AV240" s="14"/>
      <c r="AW240" s="14"/>
      <c r="AX240" s="14"/>
      <c r="AY240" s="14"/>
      <c r="BA240" s="14"/>
      <c r="BE240" s="16"/>
      <c r="BH240" s="14"/>
      <c r="BI240" s="14"/>
      <c r="BJ240" s="14"/>
      <c r="BK240" s="14"/>
      <c r="BL240" s="14"/>
      <c r="BM240" s="14"/>
      <c r="BN240" s="14"/>
      <c r="BO240" s="14"/>
      <c r="BP240" s="14"/>
      <c r="BQ240" s="14"/>
      <c r="BX240" s="14"/>
      <c r="BY240" s="14"/>
      <c r="BZ240" s="14"/>
      <c r="CA240" s="14"/>
      <c r="CB240" s="14"/>
      <c r="CC240" s="14"/>
      <c r="CD240" s="14"/>
      <c r="CF240" s="14"/>
      <c r="CJ240" s="16"/>
      <c r="CM240" s="14"/>
      <c r="CN240" s="14"/>
      <c r="CO240" s="14"/>
      <c r="CP240" s="14"/>
      <c r="CQ240" s="14"/>
      <c r="CR240" s="14"/>
      <c r="CS240" s="14"/>
      <c r="CT240" s="14"/>
      <c r="CU240" s="14"/>
      <c r="CV240" s="14"/>
    </row>
    <row r="241" spans="1:100" x14ac:dyDescent="0.2">
      <c r="A241" s="14"/>
      <c r="B241" s="14"/>
      <c r="C241" s="14"/>
      <c r="D241" s="14"/>
      <c r="E241" s="14"/>
      <c r="F241" s="14"/>
      <c r="G241" s="14"/>
      <c r="H241" s="14"/>
      <c r="I241" s="14"/>
      <c r="J241" s="14"/>
      <c r="K241" s="14"/>
      <c r="L241" s="15"/>
      <c r="M241" s="14"/>
      <c r="N241" s="14"/>
      <c r="O241" s="14"/>
      <c r="P241" s="14"/>
      <c r="Q241" s="16"/>
      <c r="R241" s="14"/>
      <c r="Z241" s="16"/>
      <c r="AC241" s="14"/>
      <c r="AD241" s="14"/>
      <c r="AE241" s="14"/>
      <c r="AF241" s="14"/>
      <c r="AG241" s="14"/>
      <c r="AH241" s="14"/>
      <c r="AI241" s="14"/>
      <c r="AJ241" s="14"/>
      <c r="AK241" s="14"/>
      <c r="AL241" s="14"/>
      <c r="AS241" s="14"/>
      <c r="AT241" s="14"/>
      <c r="AU241" s="14"/>
      <c r="AV241" s="14"/>
      <c r="AW241" s="14"/>
      <c r="AX241" s="14"/>
      <c r="AY241" s="14"/>
      <c r="BA241" s="14"/>
      <c r="BE241" s="16"/>
      <c r="BH241" s="14"/>
      <c r="BI241" s="14"/>
      <c r="BJ241" s="14"/>
      <c r="BK241" s="14"/>
      <c r="BL241" s="14"/>
      <c r="BM241" s="14"/>
      <c r="BN241" s="14"/>
      <c r="BO241" s="14"/>
      <c r="BP241" s="14"/>
      <c r="BQ241" s="14"/>
      <c r="BX241" s="14"/>
      <c r="BY241" s="14"/>
      <c r="BZ241" s="14"/>
      <c r="CA241" s="14"/>
      <c r="CB241" s="14"/>
      <c r="CC241" s="14"/>
      <c r="CD241" s="14"/>
      <c r="CF241" s="14"/>
      <c r="CJ241" s="16"/>
      <c r="CM241" s="14"/>
      <c r="CN241" s="14"/>
      <c r="CO241" s="14"/>
      <c r="CP241" s="14"/>
      <c r="CQ241" s="14"/>
      <c r="CR241" s="14"/>
      <c r="CS241" s="14"/>
      <c r="CT241" s="14"/>
      <c r="CU241" s="14"/>
      <c r="CV241" s="14"/>
    </row>
    <row r="242" spans="1:100" x14ac:dyDescent="0.2">
      <c r="A242" s="14"/>
      <c r="B242" s="14"/>
      <c r="C242" s="14"/>
      <c r="D242" s="14"/>
      <c r="E242" s="14"/>
      <c r="F242" s="14"/>
      <c r="G242" s="14"/>
      <c r="H242" s="14"/>
      <c r="I242" s="14"/>
      <c r="J242" s="14"/>
      <c r="K242" s="14"/>
      <c r="L242" s="15"/>
      <c r="M242" s="14"/>
      <c r="N242" s="14"/>
      <c r="O242" s="14"/>
      <c r="P242" s="14"/>
      <c r="Q242" s="16"/>
      <c r="R242" s="14"/>
      <c r="Z242" s="16"/>
      <c r="AC242" s="14"/>
      <c r="AD242" s="14"/>
      <c r="AE242" s="14"/>
      <c r="AF242" s="14"/>
      <c r="AG242" s="14"/>
      <c r="AH242" s="14"/>
      <c r="AI242" s="14"/>
      <c r="AJ242" s="14"/>
      <c r="AK242" s="14"/>
      <c r="AL242" s="14"/>
      <c r="AS242" s="14"/>
      <c r="AT242" s="14"/>
      <c r="AU242" s="14"/>
      <c r="AV242" s="14"/>
      <c r="AW242" s="14"/>
      <c r="AX242" s="14"/>
      <c r="AY242" s="14"/>
      <c r="BA242" s="14"/>
      <c r="BE242" s="16"/>
      <c r="BH242" s="14"/>
      <c r="BI242" s="14"/>
      <c r="BJ242" s="14"/>
      <c r="BK242" s="14"/>
      <c r="BL242" s="14"/>
      <c r="BM242" s="14"/>
      <c r="BN242" s="14"/>
      <c r="BO242" s="14"/>
      <c r="BP242" s="14"/>
      <c r="BQ242" s="14"/>
      <c r="BX242" s="14"/>
      <c r="BY242" s="14"/>
      <c r="BZ242" s="14"/>
      <c r="CA242" s="14"/>
      <c r="CB242" s="14"/>
      <c r="CC242" s="14"/>
      <c r="CD242" s="14"/>
      <c r="CF242" s="14"/>
      <c r="CJ242" s="16"/>
      <c r="CM242" s="14"/>
      <c r="CN242" s="14"/>
      <c r="CO242" s="14"/>
      <c r="CP242" s="14"/>
      <c r="CQ242" s="14"/>
      <c r="CR242" s="14"/>
      <c r="CS242" s="14"/>
      <c r="CT242" s="14"/>
      <c r="CU242" s="14"/>
      <c r="CV242" s="14"/>
    </row>
    <row r="243" spans="1:100" x14ac:dyDescent="0.2">
      <c r="A243" s="14"/>
      <c r="B243" s="14"/>
      <c r="C243" s="14"/>
      <c r="D243" s="14"/>
      <c r="E243" s="14"/>
      <c r="F243" s="14"/>
      <c r="G243" s="14"/>
      <c r="H243" s="14"/>
      <c r="I243" s="14"/>
      <c r="J243" s="14"/>
      <c r="K243" s="14"/>
      <c r="L243" s="15"/>
      <c r="M243" s="14"/>
      <c r="N243" s="14"/>
      <c r="O243" s="14"/>
      <c r="P243" s="14"/>
      <c r="Q243" s="16"/>
      <c r="R243" s="14"/>
      <c r="Z243" s="16"/>
      <c r="AC243" s="14"/>
      <c r="AD243" s="14"/>
      <c r="AE243" s="14"/>
      <c r="AF243" s="14"/>
      <c r="AG243" s="14"/>
      <c r="AH243" s="14"/>
      <c r="AI243" s="14"/>
      <c r="AJ243" s="14"/>
      <c r="AK243" s="14"/>
      <c r="AL243" s="14"/>
      <c r="AS243" s="14"/>
      <c r="AT243" s="14"/>
      <c r="AU243" s="14"/>
      <c r="AV243" s="14"/>
      <c r="AW243" s="14"/>
      <c r="AX243" s="14"/>
      <c r="AY243" s="14"/>
      <c r="BA243" s="14"/>
      <c r="BE243" s="16"/>
      <c r="BH243" s="14"/>
      <c r="BI243" s="14"/>
      <c r="BJ243" s="14"/>
      <c r="BK243" s="14"/>
      <c r="BL243" s="14"/>
      <c r="BM243" s="14"/>
      <c r="BN243" s="14"/>
      <c r="BO243" s="14"/>
      <c r="BP243" s="14"/>
      <c r="BQ243" s="14"/>
      <c r="BX243" s="14"/>
      <c r="BY243" s="14"/>
      <c r="BZ243" s="14"/>
      <c r="CA243" s="14"/>
      <c r="CB243" s="14"/>
      <c r="CC243" s="14"/>
      <c r="CD243" s="14"/>
      <c r="CF243" s="14"/>
      <c r="CJ243" s="16"/>
      <c r="CM243" s="14"/>
      <c r="CN243" s="14"/>
      <c r="CO243" s="14"/>
      <c r="CP243" s="14"/>
      <c r="CQ243" s="14"/>
      <c r="CR243" s="14"/>
      <c r="CS243" s="14"/>
      <c r="CT243" s="14"/>
      <c r="CU243" s="14"/>
      <c r="CV243" s="14"/>
    </row>
    <row r="244" spans="1:100" x14ac:dyDescent="0.2">
      <c r="A244" s="14"/>
      <c r="B244" s="14"/>
      <c r="C244" s="14"/>
      <c r="D244" s="14"/>
      <c r="E244" s="14"/>
      <c r="F244" s="14"/>
      <c r="G244" s="14"/>
      <c r="H244" s="14"/>
      <c r="I244" s="14"/>
      <c r="J244" s="14"/>
      <c r="K244" s="14"/>
      <c r="L244" s="15"/>
      <c r="M244" s="14"/>
      <c r="N244" s="14"/>
      <c r="O244" s="14"/>
      <c r="P244" s="14"/>
      <c r="Q244" s="16"/>
      <c r="R244" s="14"/>
      <c r="Z244" s="16"/>
      <c r="AC244" s="14"/>
      <c r="AD244" s="14"/>
      <c r="AE244" s="14"/>
      <c r="AF244" s="14"/>
      <c r="AG244" s="14"/>
      <c r="AH244" s="14"/>
      <c r="AI244" s="14"/>
      <c r="AJ244" s="14"/>
      <c r="AK244" s="14"/>
      <c r="AL244" s="14"/>
      <c r="AS244" s="14"/>
      <c r="AT244" s="14"/>
      <c r="AU244" s="14"/>
      <c r="AV244" s="14"/>
      <c r="AW244" s="14"/>
      <c r="AX244" s="14"/>
      <c r="AY244" s="14"/>
      <c r="BA244" s="14"/>
      <c r="BE244" s="16"/>
      <c r="BH244" s="14"/>
      <c r="BI244" s="14"/>
      <c r="BJ244" s="14"/>
      <c r="BK244" s="14"/>
      <c r="BL244" s="14"/>
      <c r="BM244" s="14"/>
      <c r="BN244" s="14"/>
      <c r="BO244" s="14"/>
      <c r="BP244" s="14"/>
      <c r="BQ244" s="14"/>
      <c r="BX244" s="14"/>
      <c r="BY244" s="14"/>
      <c r="BZ244" s="14"/>
      <c r="CA244" s="14"/>
      <c r="CB244" s="14"/>
      <c r="CC244" s="14"/>
      <c r="CD244" s="14"/>
      <c r="CF244" s="14"/>
      <c r="CJ244" s="16"/>
      <c r="CM244" s="14"/>
      <c r="CN244" s="14"/>
      <c r="CO244" s="14"/>
      <c r="CP244" s="14"/>
      <c r="CQ244" s="14"/>
      <c r="CR244" s="14"/>
      <c r="CS244" s="14"/>
      <c r="CT244" s="14"/>
      <c r="CU244" s="14"/>
      <c r="CV244" s="14"/>
    </row>
    <row r="245" spans="1:100" x14ac:dyDescent="0.2">
      <c r="A245" s="14"/>
      <c r="B245" s="14"/>
      <c r="C245" s="14"/>
      <c r="D245" s="14"/>
      <c r="E245" s="14"/>
      <c r="F245" s="14"/>
      <c r="G245" s="14"/>
      <c r="H245" s="14"/>
      <c r="I245" s="14"/>
      <c r="J245" s="14"/>
      <c r="K245" s="14"/>
      <c r="L245" s="15"/>
      <c r="M245" s="14"/>
      <c r="N245" s="14"/>
      <c r="O245" s="14"/>
      <c r="P245" s="14"/>
      <c r="Q245" s="16"/>
      <c r="R245" s="14"/>
      <c r="Z245" s="16"/>
      <c r="AC245" s="14"/>
      <c r="AD245" s="14"/>
      <c r="AE245" s="14"/>
      <c r="AF245" s="14"/>
      <c r="AG245" s="14"/>
      <c r="AH245" s="14"/>
      <c r="AI245" s="14"/>
      <c r="AJ245" s="14"/>
      <c r="AK245" s="14"/>
      <c r="AL245" s="14"/>
      <c r="AS245" s="14"/>
      <c r="AT245" s="14"/>
      <c r="AU245" s="14"/>
      <c r="AV245" s="14"/>
      <c r="AW245" s="14"/>
      <c r="AX245" s="14"/>
      <c r="AY245" s="14"/>
      <c r="BA245" s="14"/>
      <c r="BE245" s="16"/>
      <c r="BH245" s="14"/>
      <c r="BI245" s="14"/>
      <c r="BJ245" s="14"/>
      <c r="BK245" s="14"/>
      <c r="BL245" s="14"/>
      <c r="BM245" s="14"/>
      <c r="BN245" s="14"/>
      <c r="BO245" s="14"/>
      <c r="BP245" s="14"/>
      <c r="BQ245" s="14"/>
      <c r="BX245" s="14"/>
      <c r="BY245" s="14"/>
      <c r="BZ245" s="14"/>
      <c r="CA245" s="14"/>
      <c r="CB245" s="14"/>
      <c r="CC245" s="14"/>
      <c r="CD245" s="14"/>
      <c r="CF245" s="14"/>
      <c r="CJ245" s="16"/>
      <c r="CM245" s="14"/>
      <c r="CN245" s="14"/>
      <c r="CO245" s="14"/>
      <c r="CP245" s="14"/>
      <c r="CQ245" s="14"/>
      <c r="CR245" s="14"/>
      <c r="CS245" s="14"/>
      <c r="CT245" s="14"/>
      <c r="CU245" s="14"/>
      <c r="CV245" s="14"/>
    </row>
    <row r="246" spans="1:100" x14ac:dyDescent="0.2">
      <c r="A246" s="14"/>
      <c r="B246" s="14"/>
      <c r="C246" s="14"/>
      <c r="D246" s="14"/>
      <c r="E246" s="14"/>
      <c r="F246" s="14"/>
      <c r="G246" s="14"/>
      <c r="H246" s="14"/>
      <c r="I246" s="14"/>
      <c r="J246" s="14"/>
      <c r="K246" s="14"/>
      <c r="L246" s="15"/>
      <c r="M246" s="14"/>
      <c r="N246" s="14"/>
      <c r="O246" s="14"/>
      <c r="P246" s="14"/>
      <c r="Q246" s="16"/>
      <c r="R246" s="14"/>
      <c r="Z246" s="16"/>
      <c r="AC246" s="14"/>
      <c r="AD246" s="14"/>
      <c r="AE246" s="14"/>
      <c r="AF246" s="14"/>
      <c r="AG246" s="14"/>
      <c r="AH246" s="14"/>
      <c r="AI246" s="14"/>
      <c r="AJ246" s="14"/>
      <c r="AK246" s="14"/>
      <c r="AL246" s="14"/>
      <c r="AS246" s="14"/>
      <c r="AT246" s="14"/>
      <c r="AU246" s="14"/>
      <c r="AV246" s="14"/>
      <c r="AW246" s="14"/>
      <c r="AX246" s="14"/>
      <c r="AY246" s="14"/>
      <c r="BA246" s="14"/>
      <c r="BE246" s="16"/>
      <c r="BH246" s="14"/>
      <c r="BI246" s="14"/>
      <c r="BJ246" s="14"/>
      <c r="BK246" s="14"/>
      <c r="BL246" s="14"/>
      <c r="BM246" s="14"/>
      <c r="BN246" s="14"/>
      <c r="BO246" s="14"/>
      <c r="BP246" s="14"/>
      <c r="BQ246" s="14"/>
      <c r="BX246" s="14"/>
      <c r="BY246" s="14"/>
      <c r="BZ246" s="14"/>
      <c r="CA246" s="14"/>
      <c r="CB246" s="14"/>
      <c r="CC246" s="14"/>
      <c r="CD246" s="14"/>
      <c r="CF246" s="14"/>
      <c r="CJ246" s="16"/>
      <c r="CM246" s="14"/>
      <c r="CN246" s="14"/>
      <c r="CO246" s="14"/>
      <c r="CP246" s="14"/>
      <c r="CQ246" s="14"/>
      <c r="CR246" s="14"/>
      <c r="CS246" s="14"/>
      <c r="CT246" s="14"/>
      <c r="CU246" s="14"/>
      <c r="CV246" s="14"/>
    </row>
    <row r="247" spans="1:100" x14ac:dyDescent="0.2">
      <c r="A247" s="14"/>
      <c r="B247" s="14"/>
      <c r="C247" s="14"/>
      <c r="D247" s="14"/>
      <c r="E247" s="14"/>
      <c r="F247" s="14"/>
      <c r="G247" s="14"/>
      <c r="H247" s="14"/>
      <c r="I247" s="14"/>
      <c r="J247" s="14"/>
      <c r="K247" s="14"/>
      <c r="L247" s="15"/>
      <c r="M247" s="14"/>
      <c r="N247" s="14"/>
      <c r="O247" s="14"/>
      <c r="P247" s="14"/>
      <c r="Q247" s="16"/>
      <c r="R247" s="14"/>
      <c r="Z247" s="16"/>
      <c r="AC247" s="14"/>
      <c r="AD247" s="14"/>
      <c r="AE247" s="14"/>
      <c r="AF247" s="14"/>
      <c r="AG247" s="14"/>
      <c r="AH247" s="14"/>
      <c r="AI247" s="14"/>
      <c r="AJ247" s="14"/>
      <c r="AK247" s="14"/>
      <c r="AL247" s="14"/>
      <c r="AS247" s="14"/>
      <c r="AT247" s="14"/>
      <c r="AU247" s="14"/>
      <c r="AV247" s="14"/>
      <c r="AW247" s="14"/>
      <c r="AX247" s="14"/>
      <c r="AY247" s="14"/>
      <c r="BA247" s="14"/>
      <c r="BE247" s="16"/>
      <c r="BH247" s="14"/>
      <c r="BI247" s="14"/>
      <c r="BJ247" s="14"/>
      <c r="BK247" s="14"/>
      <c r="BL247" s="14"/>
      <c r="BM247" s="14"/>
      <c r="BN247" s="14"/>
      <c r="BO247" s="14"/>
      <c r="BP247" s="14"/>
      <c r="BQ247" s="14"/>
      <c r="BX247" s="14"/>
      <c r="BY247" s="14"/>
      <c r="BZ247" s="14"/>
      <c r="CA247" s="14"/>
      <c r="CB247" s="14"/>
      <c r="CC247" s="14"/>
      <c r="CD247" s="14"/>
      <c r="CF247" s="14"/>
      <c r="CJ247" s="16"/>
      <c r="CM247" s="14"/>
      <c r="CN247" s="14"/>
      <c r="CO247" s="14"/>
      <c r="CP247" s="14"/>
      <c r="CQ247" s="14"/>
      <c r="CR247" s="14"/>
      <c r="CS247" s="14"/>
      <c r="CT247" s="14"/>
      <c r="CU247" s="14"/>
      <c r="CV247" s="14"/>
    </row>
    <row r="248" spans="1:100" x14ac:dyDescent="0.2">
      <c r="A248" s="14"/>
      <c r="B248" s="14"/>
      <c r="C248" s="14"/>
      <c r="D248" s="14"/>
      <c r="E248" s="14"/>
      <c r="F248" s="14"/>
      <c r="G248" s="14"/>
      <c r="H248" s="14"/>
      <c r="I248" s="14"/>
      <c r="J248" s="14"/>
      <c r="K248" s="14"/>
      <c r="L248" s="15"/>
      <c r="M248" s="14"/>
      <c r="N248" s="14"/>
      <c r="O248" s="14"/>
      <c r="P248" s="14"/>
      <c r="Q248" s="16"/>
      <c r="R248" s="14"/>
      <c r="Z248" s="16"/>
      <c r="AC248" s="14"/>
      <c r="AD248" s="14"/>
      <c r="AE248" s="14"/>
      <c r="AF248" s="14"/>
      <c r="AG248" s="14"/>
      <c r="AH248" s="14"/>
      <c r="AI248" s="14"/>
      <c r="AJ248" s="14"/>
      <c r="AK248" s="14"/>
      <c r="AL248" s="14"/>
      <c r="AS248" s="14"/>
      <c r="AT248" s="14"/>
      <c r="AU248" s="14"/>
      <c r="AV248" s="14"/>
      <c r="AW248" s="14"/>
      <c r="AX248" s="14"/>
      <c r="AY248" s="14"/>
      <c r="BA248" s="14"/>
      <c r="BE248" s="16"/>
      <c r="BH248" s="14"/>
      <c r="BI248" s="14"/>
      <c r="BJ248" s="14"/>
      <c r="BK248" s="14"/>
      <c r="BL248" s="14"/>
      <c r="BM248" s="14"/>
      <c r="BN248" s="14"/>
      <c r="BO248" s="14"/>
      <c r="BP248" s="14"/>
      <c r="BQ248" s="14"/>
      <c r="BX248" s="14"/>
      <c r="BY248" s="14"/>
      <c r="BZ248" s="14"/>
      <c r="CA248" s="14"/>
      <c r="CB248" s="14"/>
      <c r="CC248" s="14"/>
      <c r="CD248" s="14"/>
      <c r="CF248" s="14"/>
      <c r="CJ248" s="16"/>
      <c r="CM248" s="14"/>
      <c r="CN248" s="14"/>
      <c r="CO248" s="14"/>
      <c r="CP248" s="14"/>
      <c r="CQ248" s="14"/>
      <c r="CR248" s="14"/>
      <c r="CS248" s="14"/>
      <c r="CT248" s="14"/>
      <c r="CU248" s="14"/>
      <c r="CV248" s="14"/>
    </row>
    <row r="249" spans="1:100" x14ac:dyDescent="0.2">
      <c r="A249" s="14"/>
      <c r="B249" s="14"/>
      <c r="C249" s="14"/>
      <c r="D249" s="14"/>
      <c r="E249" s="14"/>
      <c r="F249" s="14"/>
      <c r="G249" s="14"/>
      <c r="H249" s="14"/>
      <c r="I249" s="14"/>
      <c r="J249" s="14"/>
      <c r="K249" s="14"/>
      <c r="L249" s="15"/>
      <c r="M249" s="14"/>
      <c r="N249" s="14"/>
      <c r="O249" s="14"/>
      <c r="P249" s="14"/>
      <c r="Q249" s="16"/>
      <c r="R249" s="14"/>
      <c r="Z249" s="16"/>
      <c r="AC249" s="14"/>
      <c r="AD249" s="14"/>
      <c r="AE249" s="14"/>
      <c r="AF249" s="14"/>
      <c r="AG249" s="14"/>
      <c r="AH249" s="14"/>
      <c r="AI249" s="14"/>
      <c r="AJ249" s="14"/>
      <c r="AK249" s="14"/>
      <c r="AL249" s="14"/>
      <c r="AS249" s="14"/>
      <c r="AT249" s="14"/>
      <c r="AU249" s="14"/>
      <c r="AV249" s="14"/>
      <c r="AW249" s="14"/>
      <c r="AX249" s="14"/>
      <c r="AY249" s="14"/>
      <c r="BA249" s="14"/>
      <c r="BE249" s="16"/>
      <c r="BH249" s="14"/>
      <c r="BI249" s="14"/>
      <c r="BJ249" s="14"/>
      <c r="BK249" s="14"/>
      <c r="BL249" s="14"/>
      <c r="BM249" s="14"/>
      <c r="BN249" s="14"/>
      <c r="BO249" s="14"/>
      <c r="BP249" s="14"/>
      <c r="BQ249" s="14"/>
      <c r="BX249" s="14"/>
      <c r="BY249" s="14"/>
      <c r="BZ249" s="14"/>
      <c r="CA249" s="14"/>
      <c r="CB249" s="14"/>
      <c r="CC249" s="14"/>
      <c r="CD249" s="14"/>
      <c r="CF249" s="14"/>
      <c r="CJ249" s="16"/>
      <c r="CM249" s="14"/>
      <c r="CN249" s="14"/>
      <c r="CO249" s="14"/>
      <c r="CP249" s="14"/>
      <c r="CQ249" s="14"/>
      <c r="CR249" s="14"/>
      <c r="CS249" s="14"/>
      <c r="CT249" s="14"/>
      <c r="CU249" s="14"/>
      <c r="CV249" s="14"/>
    </row>
    <row r="250" spans="1:100" x14ac:dyDescent="0.2">
      <c r="A250" s="14"/>
      <c r="B250" s="14"/>
      <c r="C250" s="14"/>
      <c r="D250" s="14"/>
      <c r="E250" s="14"/>
      <c r="F250" s="14"/>
      <c r="G250" s="14"/>
      <c r="H250" s="14"/>
      <c r="I250" s="14"/>
      <c r="J250" s="14"/>
      <c r="K250" s="14"/>
      <c r="L250" s="15"/>
      <c r="M250" s="14"/>
      <c r="N250" s="14"/>
      <c r="O250" s="14"/>
      <c r="P250" s="14"/>
      <c r="Q250" s="16"/>
      <c r="R250" s="14"/>
      <c r="Z250" s="16"/>
      <c r="AC250" s="14"/>
      <c r="AD250" s="14"/>
      <c r="AE250" s="14"/>
      <c r="AF250" s="14"/>
      <c r="AG250" s="14"/>
      <c r="AH250" s="14"/>
      <c r="AI250" s="14"/>
      <c r="AJ250" s="14"/>
      <c r="AK250" s="14"/>
      <c r="AL250" s="14"/>
      <c r="AS250" s="14"/>
      <c r="AT250" s="14"/>
      <c r="AU250" s="14"/>
      <c r="AV250" s="14"/>
      <c r="AW250" s="14"/>
      <c r="AX250" s="14"/>
      <c r="AY250" s="14"/>
      <c r="BA250" s="14"/>
      <c r="BE250" s="16"/>
      <c r="BH250" s="14"/>
      <c r="BI250" s="14"/>
      <c r="BJ250" s="14"/>
      <c r="BK250" s="14"/>
      <c r="BL250" s="14"/>
      <c r="BM250" s="14"/>
      <c r="BN250" s="14"/>
      <c r="BO250" s="14"/>
      <c r="BP250" s="14"/>
      <c r="BQ250" s="14"/>
      <c r="BX250" s="14"/>
      <c r="BY250" s="14"/>
      <c r="BZ250" s="14"/>
      <c r="CA250" s="14"/>
      <c r="CB250" s="14"/>
      <c r="CC250" s="14"/>
      <c r="CD250" s="14"/>
      <c r="CF250" s="14"/>
      <c r="CJ250" s="16"/>
      <c r="CM250" s="14"/>
      <c r="CN250" s="14"/>
      <c r="CO250" s="14"/>
      <c r="CP250" s="14"/>
      <c r="CQ250" s="14"/>
      <c r="CR250" s="14"/>
      <c r="CS250" s="14"/>
      <c r="CT250" s="14"/>
      <c r="CU250" s="14"/>
      <c r="CV250" s="14"/>
    </row>
    <row r="251" spans="1:100" x14ac:dyDescent="0.2">
      <c r="A251" s="14"/>
      <c r="B251" s="14"/>
      <c r="C251" s="14"/>
      <c r="D251" s="14"/>
      <c r="E251" s="14"/>
      <c r="F251" s="14"/>
      <c r="G251" s="14"/>
      <c r="H251" s="14"/>
      <c r="I251" s="14"/>
      <c r="J251" s="14"/>
      <c r="K251" s="14"/>
      <c r="L251" s="15"/>
      <c r="M251" s="14"/>
      <c r="N251" s="14"/>
      <c r="O251" s="14"/>
      <c r="P251" s="14"/>
      <c r="Q251" s="16"/>
      <c r="R251" s="14"/>
      <c r="Z251" s="16"/>
      <c r="AC251" s="14"/>
      <c r="AD251" s="14"/>
      <c r="AE251" s="14"/>
      <c r="AF251" s="14"/>
      <c r="AG251" s="14"/>
      <c r="AH251" s="14"/>
      <c r="AI251" s="14"/>
      <c r="AJ251" s="14"/>
      <c r="AK251" s="14"/>
      <c r="AL251" s="14"/>
      <c r="AS251" s="14"/>
      <c r="AT251" s="14"/>
      <c r="AU251" s="14"/>
      <c r="AV251" s="14"/>
      <c r="AW251" s="14"/>
      <c r="AX251" s="14"/>
      <c r="AY251" s="14"/>
      <c r="BA251" s="14"/>
      <c r="BE251" s="16"/>
      <c r="BH251" s="14"/>
      <c r="BI251" s="14"/>
      <c r="BJ251" s="14"/>
      <c r="BK251" s="14"/>
      <c r="BL251" s="14"/>
      <c r="BM251" s="14"/>
      <c r="BN251" s="14"/>
      <c r="BO251" s="14"/>
      <c r="BP251" s="14"/>
      <c r="BQ251" s="14"/>
      <c r="BX251" s="14"/>
      <c r="BY251" s="14"/>
      <c r="BZ251" s="14"/>
      <c r="CA251" s="14"/>
      <c r="CB251" s="14"/>
      <c r="CC251" s="14"/>
      <c r="CD251" s="14"/>
      <c r="CF251" s="14"/>
      <c r="CJ251" s="16"/>
      <c r="CM251" s="14"/>
      <c r="CN251" s="14"/>
      <c r="CO251" s="14"/>
      <c r="CP251" s="14"/>
      <c r="CQ251" s="14"/>
      <c r="CR251" s="14"/>
      <c r="CS251" s="14"/>
      <c r="CT251" s="14"/>
      <c r="CU251" s="14"/>
      <c r="CV251" s="14"/>
    </row>
    <row r="252" spans="1:100" x14ac:dyDescent="0.2">
      <c r="A252" s="14"/>
      <c r="B252" s="14"/>
      <c r="C252" s="14"/>
      <c r="D252" s="14"/>
      <c r="E252" s="14"/>
      <c r="F252" s="14"/>
      <c r="G252" s="14"/>
      <c r="H252" s="14"/>
      <c r="I252" s="14"/>
      <c r="J252" s="14"/>
      <c r="K252" s="14"/>
      <c r="L252" s="15"/>
      <c r="M252" s="14"/>
      <c r="N252" s="14"/>
      <c r="O252" s="14"/>
      <c r="P252" s="14"/>
      <c r="Q252" s="16"/>
      <c r="R252" s="14"/>
      <c r="Z252" s="16"/>
      <c r="AC252" s="14"/>
      <c r="AD252" s="14"/>
      <c r="AE252" s="14"/>
      <c r="AF252" s="14"/>
      <c r="AG252" s="14"/>
      <c r="AH252" s="14"/>
      <c r="AI252" s="14"/>
      <c r="AJ252" s="14"/>
      <c r="AK252" s="14"/>
      <c r="AL252" s="14"/>
      <c r="AS252" s="14"/>
      <c r="AT252" s="14"/>
      <c r="AU252" s="14"/>
      <c r="AV252" s="14"/>
      <c r="AW252" s="14"/>
      <c r="AX252" s="14"/>
      <c r="AY252" s="14"/>
      <c r="BA252" s="14"/>
      <c r="BE252" s="16"/>
      <c r="BH252" s="14"/>
      <c r="BI252" s="14"/>
      <c r="BJ252" s="14"/>
      <c r="BK252" s="14"/>
      <c r="BL252" s="14"/>
      <c r="BM252" s="14"/>
      <c r="BN252" s="14"/>
      <c r="BO252" s="14"/>
      <c r="BP252" s="14"/>
      <c r="BQ252" s="14"/>
      <c r="BX252" s="14"/>
      <c r="BY252" s="14"/>
      <c r="BZ252" s="14"/>
      <c r="CA252" s="14"/>
      <c r="CB252" s="14"/>
      <c r="CC252" s="14"/>
      <c r="CD252" s="14"/>
      <c r="CF252" s="14"/>
      <c r="CJ252" s="16"/>
      <c r="CM252" s="14"/>
      <c r="CN252" s="14"/>
      <c r="CO252" s="14"/>
      <c r="CP252" s="14"/>
      <c r="CQ252" s="14"/>
      <c r="CR252" s="14"/>
      <c r="CS252" s="14"/>
      <c r="CT252" s="14"/>
      <c r="CU252" s="14"/>
      <c r="CV252" s="14"/>
    </row>
    <row r="253" spans="1:100" x14ac:dyDescent="0.2">
      <c r="A253" s="14"/>
      <c r="B253" s="14"/>
      <c r="C253" s="14"/>
      <c r="D253" s="14"/>
      <c r="E253" s="14"/>
      <c r="F253" s="14"/>
      <c r="G253" s="14"/>
      <c r="H253" s="14"/>
      <c r="I253" s="14"/>
      <c r="J253" s="14"/>
      <c r="K253" s="14"/>
      <c r="L253" s="15"/>
      <c r="M253" s="14"/>
      <c r="N253" s="14"/>
      <c r="O253" s="14"/>
      <c r="P253" s="14"/>
      <c r="Q253" s="16"/>
      <c r="R253" s="14"/>
      <c r="Z253" s="16"/>
      <c r="AC253" s="14"/>
      <c r="AD253" s="14"/>
      <c r="AE253" s="14"/>
      <c r="AF253" s="14"/>
      <c r="AG253" s="14"/>
      <c r="AH253" s="14"/>
      <c r="AI253" s="14"/>
      <c r="AJ253" s="14"/>
      <c r="AK253" s="14"/>
      <c r="AL253" s="14"/>
      <c r="AS253" s="14"/>
      <c r="AT253" s="14"/>
      <c r="AU253" s="14"/>
      <c r="AV253" s="14"/>
      <c r="AW253" s="14"/>
      <c r="AX253" s="14"/>
      <c r="AY253" s="14"/>
      <c r="BA253" s="14"/>
      <c r="BE253" s="16"/>
      <c r="BH253" s="14"/>
      <c r="BI253" s="14"/>
      <c r="BJ253" s="14"/>
      <c r="BK253" s="14"/>
      <c r="BL253" s="14"/>
      <c r="BM253" s="14"/>
      <c r="BN253" s="14"/>
      <c r="BO253" s="14"/>
      <c r="BP253" s="14"/>
      <c r="BQ253" s="14"/>
      <c r="BX253" s="14"/>
      <c r="BY253" s="14"/>
      <c r="BZ253" s="14"/>
      <c r="CA253" s="14"/>
      <c r="CB253" s="14"/>
      <c r="CC253" s="14"/>
      <c r="CD253" s="14"/>
      <c r="CF253" s="14"/>
      <c r="CJ253" s="16"/>
      <c r="CM253" s="14"/>
      <c r="CN253" s="14"/>
      <c r="CO253" s="14"/>
      <c r="CP253" s="14"/>
      <c r="CQ253" s="14"/>
      <c r="CR253" s="14"/>
      <c r="CS253" s="14"/>
      <c r="CT253" s="14"/>
      <c r="CU253" s="14"/>
      <c r="CV253" s="14"/>
    </row>
    <row r="254" spans="1:100" x14ac:dyDescent="0.2">
      <c r="A254" s="14"/>
      <c r="B254" s="14"/>
      <c r="C254" s="14"/>
      <c r="D254" s="14"/>
      <c r="E254" s="14"/>
      <c r="F254" s="14"/>
      <c r="G254" s="14"/>
      <c r="H254" s="14"/>
      <c r="I254" s="14"/>
      <c r="J254" s="14"/>
      <c r="K254" s="14"/>
      <c r="L254" s="15"/>
      <c r="M254" s="14"/>
      <c r="N254" s="14"/>
      <c r="O254" s="14"/>
      <c r="P254" s="14"/>
      <c r="Q254" s="16"/>
      <c r="R254" s="14"/>
      <c r="Z254" s="16"/>
      <c r="AC254" s="14"/>
      <c r="AD254" s="14"/>
      <c r="AE254" s="14"/>
      <c r="AF254" s="14"/>
      <c r="AG254" s="14"/>
      <c r="AH254" s="14"/>
      <c r="AI254" s="14"/>
      <c r="AJ254" s="14"/>
      <c r="AK254" s="14"/>
      <c r="AL254" s="14"/>
      <c r="AS254" s="14"/>
      <c r="AT254" s="14"/>
      <c r="AU254" s="14"/>
      <c r="AV254" s="14"/>
      <c r="AW254" s="14"/>
      <c r="AX254" s="14"/>
      <c r="AY254" s="14"/>
      <c r="BA254" s="14"/>
      <c r="BE254" s="16"/>
      <c r="BH254" s="14"/>
      <c r="BI254" s="14"/>
      <c r="BJ254" s="14"/>
      <c r="BK254" s="14"/>
      <c r="BL254" s="14"/>
      <c r="BM254" s="14"/>
      <c r="BN254" s="14"/>
      <c r="BO254" s="14"/>
      <c r="BP254" s="14"/>
      <c r="BQ254" s="14"/>
      <c r="BX254" s="14"/>
      <c r="BY254" s="14"/>
      <c r="BZ254" s="14"/>
      <c r="CA254" s="14"/>
      <c r="CB254" s="14"/>
      <c r="CC254" s="14"/>
      <c r="CD254" s="14"/>
      <c r="CF254" s="14"/>
      <c r="CJ254" s="16"/>
      <c r="CM254" s="14"/>
      <c r="CN254" s="14"/>
      <c r="CO254" s="14"/>
      <c r="CP254" s="14"/>
      <c r="CQ254" s="14"/>
      <c r="CR254" s="14"/>
      <c r="CS254" s="14"/>
      <c r="CT254" s="14"/>
      <c r="CU254" s="14"/>
      <c r="CV254" s="14"/>
    </row>
    <row r="255" spans="1:100" x14ac:dyDescent="0.2">
      <c r="A255" s="14"/>
      <c r="B255" s="14"/>
      <c r="C255" s="14"/>
      <c r="D255" s="14"/>
      <c r="E255" s="14"/>
      <c r="F255" s="14"/>
      <c r="G255" s="14"/>
      <c r="H255" s="14"/>
      <c r="I255" s="14"/>
      <c r="J255" s="14"/>
      <c r="K255" s="14"/>
      <c r="L255" s="15"/>
      <c r="M255" s="14"/>
      <c r="N255" s="14"/>
      <c r="O255" s="14"/>
      <c r="P255" s="14"/>
      <c r="Q255" s="16"/>
      <c r="R255" s="14"/>
      <c r="Z255" s="16"/>
      <c r="AC255" s="14"/>
      <c r="AD255" s="14"/>
      <c r="AE255" s="14"/>
      <c r="AF255" s="14"/>
      <c r="AG255" s="14"/>
      <c r="AH255" s="14"/>
      <c r="AI255" s="14"/>
      <c r="AJ255" s="14"/>
      <c r="AK255" s="14"/>
      <c r="AL255" s="14"/>
      <c r="AS255" s="14"/>
      <c r="AT255" s="14"/>
      <c r="AU255" s="14"/>
      <c r="AV255" s="14"/>
      <c r="AW255" s="14"/>
      <c r="AX255" s="14"/>
      <c r="AY255" s="14"/>
      <c r="BA255" s="14"/>
      <c r="BE255" s="16"/>
      <c r="BH255" s="14"/>
      <c r="BI255" s="14"/>
      <c r="BJ255" s="14"/>
      <c r="BK255" s="14"/>
      <c r="BL255" s="14"/>
      <c r="BM255" s="14"/>
      <c r="BN255" s="14"/>
      <c r="BO255" s="14"/>
      <c r="BP255" s="14"/>
      <c r="BQ255" s="14"/>
      <c r="BX255" s="14"/>
      <c r="BY255" s="14"/>
      <c r="BZ255" s="14"/>
      <c r="CA255" s="14"/>
      <c r="CB255" s="14"/>
      <c r="CC255" s="14"/>
      <c r="CD255" s="14"/>
      <c r="CF255" s="14"/>
      <c r="CJ255" s="16"/>
      <c r="CM255" s="14"/>
      <c r="CN255" s="14"/>
      <c r="CO255" s="14"/>
      <c r="CP255" s="14"/>
      <c r="CQ255" s="14"/>
      <c r="CR255" s="14"/>
      <c r="CS255" s="14"/>
      <c r="CT255" s="14"/>
      <c r="CU255" s="14"/>
      <c r="CV255" s="14"/>
    </row>
    <row r="256" spans="1:100" x14ac:dyDescent="0.2">
      <c r="A256" s="14"/>
      <c r="B256" s="14"/>
      <c r="C256" s="14"/>
      <c r="D256" s="14"/>
      <c r="E256" s="14"/>
      <c r="F256" s="14"/>
      <c r="G256" s="14"/>
      <c r="H256" s="14"/>
      <c r="I256" s="14"/>
      <c r="J256" s="14"/>
      <c r="K256" s="14"/>
      <c r="L256" s="15"/>
      <c r="M256" s="14"/>
      <c r="N256" s="14"/>
      <c r="O256" s="14"/>
      <c r="P256" s="14"/>
      <c r="Q256" s="16"/>
      <c r="R256" s="14"/>
      <c r="Z256" s="16"/>
      <c r="AC256" s="14"/>
      <c r="AD256" s="14"/>
      <c r="AE256" s="14"/>
      <c r="AF256" s="14"/>
      <c r="AG256" s="14"/>
      <c r="AH256" s="14"/>
      <c r="AI256" s="14"/>
      <c r="AJ256" s="14"/>
      <c r="AK256" s="14"/>
      <c r="AL256" s="14"/>
      <c r="AS256" s="14"/>
      <c r="AT256" s="14"/>
      <c r="AU256" s="14"/>
      <c r="AV256" s="14"/>
      <c r="AW256" s="14"/>
      <c r="AX256" s="14"/>
      <c r="AY256" s="14"/>
      <c r="BA256" s="14"/>
      <c r="BE256" s="16"/>
      <c r="BH256" s="14"/>
      <c r="BI256" s="14"/>
      <c r="BJ256" s="14"/>
      <c r="BK256" s="14"/>
      <c r="BL256" s="14"/>
      <c r="BM256" s="14"/>
      <c r="BN256" s="14"/>
      <c r="BO256" s="14"/>
      <c r="BP256" s="14"/>
      <c r="BQ256" s="14"/>
      <c r="BX256" s="14"/>
      <c r="BY256" s="14"/>
      <c r="BZ256" s="14"/>
      <c r="CA256" s="14"/>
      <c r="CB256" s="14"/>
      <c r="CC256" s="14"/>
      <c r="CD256" s="14"/>
      <c r="CF256" s="14"/>
      <c r="CJ256" s="16"/>
      <c r="CM256" s="14"/>
      <c r="CN256" s="14"/>
      <c r="CO256" s="14"/>
      <c r="CP256" s="14"/>
      <c r="CQ256" s="14"/>
      <c r="CR256" s="14"/>
      <c r="CS256" s="14"/>
      <c r="CT256" s="14"/>
      <c r="CU256" s="14"/>
      <c r="CV256" s="14"/>
    </row>
    <row r="257" spans="1:100" x14ac:dyDescent="0.2">
      <c r="A257" s="14"/>
      <c r="B257" s="14"/>
      <c r="C257" s="14"/>
      <c r="D257" s="14"/>
      <c r="E257" s="14"/>
      <c r="F257" s="14"/>
      <c r="G257" s="14"/>
      <c r="H257" s="14"/>
      <c r="I257" s="14"/>
      <c r="J257" s="14"/>
      <c r="K257" s="14"/>
      <c r="L257" s="15"/>
      <c r="M257" s="14"/>
      <c r="N257" s="14"/>
      <c r="O257" s="14"/>
      <c r="P257" s="14"/>
      <c r="Q257" s="16"/>
      <c r="R257" s="14"/>
      <c r="Z257" s="16"/>
      <c r="AC257" s="14"/>
      <c r="AD257" s="14"/>
      <c r="AE257" s="14"/>
      <c r="AF257" s="14"/>
      <c r="AG257" s="14"/>
      <c r="AH257" s="14"/>
      <c r="AI257" s="14"/>
      <c r="AJ257" s="14"/>
      <c r="AK257" s="14"/>
      <c r="AL257" s="14"/>
      <c r="AS257" s="14"/>
      <c r="AT257" s="14"/>
      <c r="AU257" s="14"/>
      <c r="AV257" s="14"/>
      <c r="AW257" s="14"/>
      <c r="AX257" s="14"/>
      <c r="AY257" s="14"/>
      <c r="BA257" s="14"/>
      <c r="BE257" s="16"/>
      <c r="BH257" s="14"/>
      <c r="BI257" s="14"/>
      <c r="BJ257" s="14"/>
      <c r="BK257" s="14"/>
      <c r="BL257" s="14"/>
      <c r="BM257" s="14"/>
      <c r="BN257" s="14"/>
      <c r="BO257" s="14"/>
      <c r="BP257" s="14"/>
      <c r="BQ257" s="14"/>
      <c r="BX257" s="14"/>
      <c r="BY257" s="14"/>
      <c r="BZ257" s="14"/>
      <c r="CA257" s="14"/>
      <c r="CB257" s="14"/>
      <c r="CC257" s="14"/>
      <c r="CD257" s="14"/>
      <c r="CF257" s="14"/>
      <c r="CJ257" s="16"/>
      <c r="CM257" s="14"/>
      <c r="CN257" s="14"/>
      <c r="CO257" s="14"/>
      <c r="CP257" s="14"/>
      <c r="CQ257" s="14"/>
      <c r="CR257" s="14"/>
      <c r="CS257" s="14"/>
      <c r="CT257" s="14"/>
      <c r="CU257" s="14"/>
      <c r="CV257" s="14"/>
    </row>
    <row r="258" spans="1:100" x14ac:dyDescent="0.2">
      <c r="A258" s="14"/>
      <c r="B258" s="14"/>
      <c r="C258" s="14"/>
      <c r="D258" s="14"/>
      <c r="E258" s="14"/>
      <c r="F258" s="14"/>
      <c r="G258" s="14"/>
      <c r="H258" s="14"/>
      <c r="I258" s="14"/>
      <c r="J258" s="14"/>
      <c r="K258" s="14"/>
      <c r="L258" s="15"/>
      <c r="M258" s="14"/>
      <c r="N258" s="14"/>
      <c r="O258" s="14"/>
      <c r="P258" s="14"/>
      <c r="Q258" s="16"/>
      <c r="R258" s="14"/>
      <c r="Z258" s="16"/>
      <c r="AC258" s="14"/>
      <c r="AD258" s="14"/>
      <c r="AE258" s="14"/>
      <c r="AF258" s="14"/>
      <c r="AG258" s="14"/>
      <c r="AH258" s="14"/>
      <c r="AI258" s="14"/>
      <c r="AJ258" s="14"/>
      <c r="AK258" s="14"/>
      <c r="AL258" s="14"/>
      <c r="AS258" s="14"/>
      <c r="AT258" s="14"/>
      <c r="AU258" s="14"/>
      <c r="AV258" s="14"/>
      <c r="AW258" s="14"/>
      <c r="AX258" s="14"/>
      <c r="AY258" s="14"/>
      <c r="BA258" s="14"/>
      <c r="BE258" s="16"/>
      <c r="BH258" s="14"/>
      <c r="BI258" s="14"/>
      <c r="BJ258" s="14"/>
      <c r="BK258" s="14"/>
      <c r="BL258" s="14"/>
      <c r="BM258" s="14"/>
      <c r="BN258" s="14"/>
      <c r="BO258" s="14"/>
      <c r="BP258" s="14"/>
      <c r="BQ258" s="14"/>
      <c r="BX258" s="14"/>
      <c r="BY258" s="14"/>
      <c r="BZ258" s="14"/>
      <c r="CA258" s="14"/>
      <c r="CB258" s="14"/>
      <c r="CC258" s="14"/>
      <c r="CD258" s="14"/>
      <c r="CF258" s="14"/>
      <c r="CJ258" s="16"/>
      <c r="CM258" s="14"/>
      <c r="CN258" s="14"/>
      <c r="CO258" s="14"/>
      <c r="CP258" s="14"/>
      <c r="CQ258" s="14"/>
      <c r="CR258" s="14"/>
      <c r="CS258" s="14"/>
      <c r="CT258" s="14"/>
      <c r="CU258" s="14"/>
      <c r="CV258" s="14"/>
    </row>
    <row r="259" spans="1:100" x14ac:dyDescent="0.2">
      <c r="A259" s="14"/>
      <c r="B259" s="14"/>
      <c r="C259" s="14"/>
      <c r="D259" s="14"/>
      <c r="E259" s="14"/>
      <c r="F259" s="14"/>
      <c r="G259" s="14"/>
      <c r="H259" s="14"/>
      <c r="I259" s="14"/>
      <c r="J259" s="14"/>
      <c r="K259" s="14"/>
      <c r="L259" s="15"/>
      <c r="M259" s="14"/>
      <c r="N259" s="14"/>
      <c r="O259" s="14"/>
      <c r="P259" s="14"/>
      <c r="Q259" s="16"/>
      <c r="R259" s="14"/>
      <c r="Z259" s="16"/>
      <c r="AC259" s="14"/>
      <c r="AD259" s="14"/>
      <c r="AE259" s="14"/>
      <c r="AF259" s="14"/>
      <c r="AG259" s="14"/>
      <c r="AH259" s="14"/>
      <c r="AI259" s="14"/>
      <c r="AJ259" s="14"/>
      <c r="AK259" s="14"/>
      <c r="AL259" s="14"/>
      <c r="AS259" s="14"/>
      <c r="AT259" s="14"/>
      <c r="AU259" s="14"/>
      <c r="AV259" s="14"/>
      <c r="AW259" s="14"/>
      <c r="AX259" s="14"/>
      <c r="AY259" s="14"/>
      <c r="BA259" s="14"/>
      <c r="BE259" s="16"/>
      <c r="BH259" s="14"/>
      <c r="BI259" s="14"/>
      <c r="BJ259" s="14"/>
      <c r="BK259" s="14"/>
      <c r="BL259" s="14"/>
      <c r="BM259" s="14"/>
      <c r="BN259" s="14"/>
      <c r="BO259" s="14"/>
      <c r="BP259" s="14"/>
      <c r="BQ259" s="14"/>
      <c r="BX259" s="14"/>
      <c r="BY259" s="14"/>
      <c r="BZ259" s="14"/>
      <c r="CA259" s="14"/>
      <c r="CB259" s="14"/>
      <c r="CC259" s="14"/>
      <c r="CD259" s="14"/>
      <c r="CF259" s="14"/>
      <c r="CJ259" s="16"/>
      <c r="CM259" s="14"/>
      <c r="CN259" s="14"/>
      <c r="CO259" s="14"/>
      <c r="CP259" s="14"/>
      <c r="CQ259" s="14"/>
      <c r="CR259" s="14"/>
      <c r="CS259" s="14"/>
      <c r="CT259" s="14"/>
      <c r="CU259" s="14"/>
      <c r="CV259" s="14"/>
    </row>
    <row r="260" spans="1:100" x14ac:dyDescent="0.2">
      <c r="A260" s="14"/>
      <c r="B260" s="14"/>
      <c r="C260" s="14"/>
      <c r="D260" s="14"/>
      <c r="E260" s="14"/>
      <c r="F260" s="14"/>
      <c r="G260" s="14"/>
      <c r="H260" s="14"/>
      <c r="I260" s="14"/>
      <c r="J260" s="14"/>
      <c r="K260" s="14"/>
      <c r="L260" s="15"/>
      <c r="M260" s="14"/>
      <c r="N260" s="14"/>
      <c r="O260" s="14"/>
      <c r="P260" s="14"/>
      <c r="Q260" s="16"/>
      <c r="R260" s="14"/>
      <c r="Z260" s="16"/>
      <c r="AC260" s="14"/>
      <c r="AD260" s="14"/>
      <c r="AE260" s="14"/>
      <c r="AF260" s="14"/>
      <c r="AG260" s="14"/>
      <c r="AH260" s="14"/>
      <c r="AI260" s="14"/>
      <c r="AJ260" s="14"/>
      <c r="AK260" s="14"/>
      <c r="AL260" s="14"/>
      <c r="AS260" s="14"/>
      <c r="AT260" s="14"/>
      <c r="AU260" s="14"/>
      <c r="AV260" s="14"/>
      <c r="AW260" s="14"/>
      <c r="AX260" s="14"/>
      <c r="AY260" s="14"/>
      <c r="BA260" s="14"/>
      <c r="BE260" s="16"/>
      <c r="BH260" s="14"/>
      <c r="BI260" s="14"/>
      <c r="BJ260" s="14"/>
      <c r="BK260" s="14"/>
      <c r="BL260" s="14"/>
      <c r="BM260" s="14"/>
      <c r="BN260" s="14"/>
      <c r="BO260" s="14"/>
      <c r="BP260" s="14"/>
      <c r="BQ260" s="14"/>
      <c r="BX260" s="14"/>
      <c r="BY260" s="14"/>
      <c r="BZ260" s="14"/>
      <c r="CA260" s="14"/>
      <c r="CB260" s="14"/>
      <c r="CC260" s="14"/>
      <c r="CD260" s="14"/>
      <c r="CF260" s="14"/>
      <c r="CJ260" s="16"/>
      <c r="CM260" s="14"/>
      <c r="CN260" s="14"/>
      <c r="CO260" s="14"/>
      <c r="CP260" s="14"/>
      <c r="CQ260" s="14"/>
      <c r="CR260" s="14"/>
      <c r="CS260" s="14"/>
      <c r="CT260" s="14"/>
      <c r="CU260" s="14"/>
      <c r="CV260" s="14"/>
    </row>
    <row r="261" spans="1:100" x14ac:dyDescent="0.2">
      <c r="A261" s="14"/>
      <c r="B261" s="14"/>
      <c r="C261" s="14"/>
      <c r="D261" s="14"/>
      <c r="E261" s="14"/>
      <c r="F261" s="14"/>
      <c r="G261" s="14"/>
      <c r="H261" s="14"/>
      <c r="I261" s="14"/>
      <c r="J261" s="14"/>
      <c r="K261" s="14"/>
      <c r="L261" s="15"/>
      <c r="M261" s="14"/>
      <c r="N261" s="14"/>
      <c r="O261" s="14"/>
      <c r="P261" s="14"/>
      <c r="Q261" s="16"/>
      <c r="R261" s="14"/>
      <c r="Z261" s="16"/>
      <c r="AC261" s="14"/>
      <c r="AD261" s="14"/>
      <c r="AE261" s="14"/>
      <c r="AF261" s="14"/>
      <c r="AG261" s="14"/>
      <c r="AH261" s="14"/>
      <c r="AI261" s="14"/>
      <c r="AJ261" s="14"/>
      <c r="AK261" s="14"/>
      <c r="AL261" s="14"/>
      <c r="AS261" s="14"/>
      <c r="AT261" s="14"/>
      <c r="AU261" s="14"/>
      <c r="AV261" s="14"/>
      <c r="AW261" s="14"/>
      <c r="AX261" s="14"/>
      <c r="AY261" s="14"/>
      <c r="BA261" s="14"/>
      <c r="BE261" s="16"/>
      <c r="BH261" s="14"/>
      <c r="BI261" s="14"/>
      <c r="BJ261" s="14"/>
      <c r="BK261" s="14"/>
      <c r="BL261" s="14"/>
      <c r="BM261" s="14"/>
      <c r="BN261" s="14"/>
      <c r="BO261" s="14"/>
      <c r="BP261" s="14"/>
      <c r="BQ261" s="14"/>
      <c r="BX261" s="14"/>
      <c r="BY261" s="14"/>
      <c r="BZ261" s="14"/>
      <c r="CA261" s="14"/>
      <c r="CB261" s="14"/>
      <c r="CC261" s="14"/>
      <c r="CD261" s="14"/>
      <c r="CF261" s="14"/>
      <c r="CJ261" s="16"/>
      <c r="CM261" s="14"/>
      <c r="CN261" s="14"/>
      <c r="CO261" s="14"/>
      <c r="CP261" s="14"/>
      <c r="CQ261" s="14"/>
      <c r="CR261" s="14"/>
      <c r="CS261" s="14"/>
      <c r="CT261" s="14"/>
      <c r="CU261" s="14"/>
      <c r="CV261" s="14"/>
    </row>
    <row r="262" spans="1:100" x14ac:dyDescent="0.2">
      <c r="A262" s="14"/>
      <c r="B262" s="14"/>
      <c r="C262" s="14"/>
      <c r="D262" s="14"/>
      <c r="E262" s="14"/>
      <c r="F262" s="14"/>
      <c r="G262" s="14"/>
      <c r="H262" s="14"/>
      <c r="I262" s="14"/>
      <c r="J262" s="14"/>
      <c r="K262" s="14"/>
      <c r="L262" s="15"/>
      <c r="M262" s="14"/>
      <c r="N262" s="14"/>
      <c r="O262" s="14"/>
      <c r="P262" s="14"/>
      <c r="Q262" s="16"/>
      <c r="R262" s="14"/>
      <c r="Z262" s="16"/>
      <c r="AC262" s="14"/>
      <c r="AD262" s="14"/>
      <c r="AE262" s="14"/>
      <c r="AF262" s="14"/>
      <c r="AG262" s="14"/>
      <c r="AH262" s="14"/>
      <c r="AI262" s="14"/>
      <c r="AJ262" s="14"/>
      <c r="AK262" s="14"/>
      <c r="AL262" s="14"/>
      <c r="AS262" s="14"/>
      <c r="AT262" s="14"/>
      <c r="AU262" s="14"/>
      <c r="AV262" s="14"/>
      <c r="AW262" s="14"/>
      <c r="AX262" s="14"/>
      <c r="AY262" s="14"/>
      <c r="BA262" s="14"/>
      <c r="BE262" s="16"/>
      <c r="BH262" s="14"/>
      <c r="BI262" s="14"/>
      <c r="BJ262" s="14"/>
      <c r="BK262" s="14"/>
      <c r="BL262" s="14"/>
      <c r="BM262" s="14"/>
      <c r="BN262" s="14"/>
      <c r="BO262" s="14"/>
      <c r="BP262" s="14"/>
      <c r="BQ262" s="14"/>
      <c r="BX262" s="14"/>
      <c r="BY262" s="14"/>
      <c r="BZ262" s="14"/>
      <c r="CA262" s="14"/>
      <c r="CB262" s="14"/>
      <c r="CC262" s="14"/>
      <c r="CD262" s="14"/>
      <c r="CF262" s="14"/>
      <c r="CJ262" s="16"/>
      <c r="CM262" s="14"/>
      <c r="CN262" s="14"/>
      <c r="CO262" s="14"/>
      <c r="CP262" s="14"/>
      <c r="CQ262" s="14"/>
      <c r="CR262" s="14"/>
      <c r="CS262" s="14"/>
      <c r="CT262" s="14"/>
      <c r="CU262" s="14"/>
      <c r="CV262" s="14"/>
    </row>
    <row r="263" spans="1:100" x14ac:dyDescent="0.2">
      <c r="A263" s="14"/>
      <c r="B263" s="14"/>
      <c r="C263" s="14"/>
      <c r="D263" s="14"/>
      <c r="E263" s="14"/>
      <c r="F263" s="14"/>
      <c r="G263" s="14"/>
      <c r="H263" s="14"/>
      <c r="I263" s="14"/>
      <c r="J263" s="14"/>
      <c r="K263" s="14"/>
      <c r="L263" s="15"/>
      <c r="M263" s="14"/>
      <c r="N263" s="14"/>
      <c r="O263" s="14"/>
      <c r="P263" s="14"/>
      <c r="Q263" s="16"/>
      <c r="R263" s="14"/>
      <c r="Z263" s="16"/>
      <c r="AC263" s="14"/>
      <c r="AD263" s="14"/>
      <c r="AE263" s="14"/>
      <c r="AF263" s="14"/>
      <c r="AG263" s="14"/>
      <c r="AH263" s="14"/>
      <c r="AI263" s="14"/>
      <c r="AJ263" s="14"/>
      <c r="AK263" s="14"/>
      <c r="AL263" s="14"/>
      <c r="AS263" s="14"/>
      <c r="AT263" s="14"/>
      <c r="AU263" s="14"/>
      <c r="AV263" s="14"/>
      <c r="AW263" s="14"/>
      <c r="AX263" s="14"/>
      <c r="AY263" s="14"/>
      <c r="BA263" s="14"/>
      <c r="BE263" s="16"/>
      <c r="BH263" s="14"/>
      <c r="BI263" s="14"/>
      <c r="BJ263" s="14"/>
      <c r="BK263" s="14"/>
      <c r="BL263" s="14"/>
      <c r="BM263" s="14"/>
      <c r="BN263" s="14"/>
      <c r="BO263" s="14"/>
      <c r="BP263" s="14"/>
      <c r="BQ263" s="14"/>
      <c r="BX263" s="14"/>
      <c r="BY263" s="14"/>
      <c r="BZ263" s="14"/>
      <c r="CA263" s="14"/>
      <c r="CB263" s="14"/>
      <c r="CC263" s="14"/>
      <c r="CD263" s="14"/>
      <c r="CF263" s="14"/>
      <c r="CJ263" s="16"/>
      <c r="CM263" s="14"/>
      <c r="CN263" s="14"/>
      <c r="CO263" s="14"/>
      <c r="CP263" s="14"/>
      <c r="CQ263" s="14"/>
      <c r="CR263" s="14"/>
      <c r="CS263" s="14"/>
      <c r="CT263" s="14"/>
      <c r="CU263" s="14"/>
      <c r="CV263" s="14"/>
    </row>
    <row r="264" spans="1:100" x14ac:dyDescent="0.2">
      <c r="A264" s="14"/>
      <c r="B264" s="14"/>
      <c r="C264" s="14"/>
      <c r="D264" s="14"/>
      <c r="E264" s="14"/>
      <c r="F264" s="14"/>
      <c r="G264" s="14"/>
      <c r="H264" s="14"/>
      <c r="I264" s="14"/>
      <c r="J264" s="14"/>
      <c r="K264" s="14"/>
      <c r="L264" s="15"/>
      <c r="M264" s="14"/>
      <c r="N264" s="14"/>
      <c r="O264" s="14"/>
      <c r="P264" s="14"/>
      <c r="Q264" s="16"/>
      <c r="R264" s="14"/>
      <c r="Z264" s="16"/>
      <c r="AC264" s="14"/>
      <c r="AD264" s="14"/>
      <c r="AE264" s="14"/>
      <c r="AF264" s="14"/>
      <c r="AG264" s="14"/>
      <c r="AH264" s="14"/>
      <c r="AI264" s="14"/>
      <c r="AJ264" s="14"/>
      <c r="AK264" s="14"/>
      <c r="AL264" s="14"/>
      <c r="AS264" s="14"/>
      <c r="AT264" s="14"/>
      <c r="AU264" s="14"/>
      <c r="AV264" s="14"/>
      <c r="AW264" s="14"/>
      <c r="AX264" s="14"/>
      <c r="AY264" s="14"/>
      <c r="BA264" s="14"/>
      <c r="BE264" s="16"/>
      <c r="BH264" s="14"/>
      <c r="BI264" s="14"/>
      <c r="BJ264" s="14"/>
      <c r="BK264" s="14"/>
      <c r="BL264" s="14"/>
      <c r="BM264" s="14"/>
      <c r="BN264" s="14"/>
      <c r="BO264" s="14"/>
      <c r="BP264" s="14"/>
      <c r="BQ264" s="14"/>
      <c r="BX264" s="14"/>
      <c r="BY264" s="14"/>
      <c r="BZ264" s="14"/>
      <c r="CA264" s="14"/>
      <c r="CB264" s="14"/>
      <c r="CC264" s="14"/>
      <c r="CD264" s="14"/>
      <c r="CF264" s="14"/>
      <c r="CJ264" s="16"/>
      <c r="CM264" s="14"/>
      <c r="CN264" s="14"/>
      <c r="CO264" s="14"/>
      <c r="CP264" s="14"/>
      <c r="CQ264" s="14"/>
      <c r="CR264" s="14"/>
      <c r="CS264" s="14"/>
      <c r="CT264" s="14"/>
      <c r="CU264" s="14"/>
      <c r="CV264" s="14"/>
    </row>
    <row r="265" spans="1:100" x14ac:dyDescent="0.2">
      <c r="A265" s="14"/>
      <c r="B265" s="14"/>
      <c r="C265" s="14"/>
      <c r="D265" s="14"/>
      <c r="E265" s="14"/>
      <c r="F265" s="14"/>
      <c r="G265" s="14"/>
      <c r="H265" s="14"/>
      <c r="I265" s="14"/>
      <c r="J265" s="14"/>
      <c r="K265" s="14"/>
      <c r="L265" s="15"/>
      <c r="M265" s="14"/>
      <c r="N265" s="14"/>
      <c r="O265" s="14"/>
      <c r="P265" s="14"/>
      <c r="Q265" s="16"/>
      <c r="R265" s="14"/>
      <c r="Z265" s="16"/>
      <c r="AC265" s="14"/>
      <c r="AD265" s="14"/>
      <c r="AE265" s="14"/>
      <c r="AF265" s="14"/>
      <c r="AG265" s="14"/>
      <c r="AH265" s="14"/>
      <c r="AI265" s="14"/>
      <c r="AJ265" s="14"/>
      <c r="AK265" s="14"/>
      <c r="AL265" s="14"/>
      <c r="AS265" s="14"/>
      <c r="AT265" s="14"/>
      <c r="AU265" s="14"/>
      <c r="AV265" s="14"/>
      <c r="AW265" s="14"/>
      <c r="AX265" s="14"/>
      <c r="AY265" s="14"/>
      <c r="BA265" s="14"/>
      <c r="BE265" s="16"/>
      <c r="BH265" s="14"/>
      <c r="BI265" s="14"/>
      <c r="BJ265" s="14"/>
      <c r="BK265" s="14"/>
      <c r="BL265" s="14"/>
      <c r="BM265" s="14"/>
      <c r="BN265" s="14"/>
      <c r="BO265" s="14"/>
      <c r="BP265" s="14"/>
      <c r="BQ265" s="14"/>
      <c r="BX265" s="14"/>
      <c r="BY265" s="14"/>
      <c r="BZ265" s="14"/>
      <c r="CA265" s="14"/>
      <c r="CB265" s="14"/>
      <c r="CC265" s="14"/>
      <c r="CD265" s="14"/>
      <c r="CF265" s="14"/>
      <c r="CJ265" s="16"/>
      <c r="CM265" s="14"/>
      <c r="CN265" s="14"/>
      <c r="CO265" s="14"/>
      <c r="CP265" s="14"/>
      <c r="CQ265" s="14"/>
      <c r="CR265" s="14"/>
      <c r="CS265" s="14"/>
      <c r="CT265" s="14"/>
      <c r="CU265" s="14"/>
      <c r="CV265" s="14"/>
    </row>
    <row r="266" spans="1:100" x14ac:dyDescent="0.2">
      <c r="A266" s="14"/>
      <c r="B266" s="14"/>
      <c r="C266" s="14"/>
      <c r="D266" s="14"/>
      <c r="E266" s="14"/>
      <c r="F266" s="14"/>
      <c r="G266" s="14"/>
      <c r="H266" s="14"/>
      <c r="I266" s="14"/>
      <c r="J266" s="14"/>
      <c r="K266" s="14"/>
      <c r="L266" s="15"/>
      <c r="M266" s="14"/>
      <c r="N266" s="14"/>
      <c r="O266" s="14"/>
      <c r="P266" s="14"/>
      <c r="Q266" s="16"/>
      <c r="R266" s="14"/>
      <c r="Z266" s="16"/>
      <c r="AC266" s="14"/>
      <c r="AD266" s="14"/>
      <c r="AE266" s="14"/>
      <c r="AF266" s="14"/>
      <c r="AG266" s="14"/>
      <c r="AH266" s="14"/>
      <c r="AI266" s="14"/>
      <c r="AJ266" s="14"/>
      <c r="AK266" s="14"/>
      <c r="AL266" s="14"/>
      <c r="AS266" s="14"/>
      <c r="AT266" s="14"/>
      <c r="AU266" s="14"/>
      <c r="AV266" s="14"/>
      <c r="AW266" s="14"/>
      <c r="AX266" s="14"/>
      <c r="AY266" s="14"/>
      <c r="BA266" s="14"/>
      <c r="BE266" s="16"/>
      <c r="BH266" s="14"/>
      <c r="BI266" s="14"/>
      <c r="BJ266" s="14"/>
      <c r="BK266" s="14"/>
      <c r="BL266" s="14"/>
      <c r="BM266" s="14"/>
      <c r="BN266" s="14"/>
      <c r="BO266" s="14"/>
      <c r="BP266" s="14"/>
      <c r="BQ266" s="14"/>
      <c r="BX266" s="14"/>
      <c r="BY266" s="14"/>
      <c r="BZ266" s="14"/>
      <c r="CA266" s="14"/>
      <c r="CB266" s="14"/>
      <c r="CC266" s="14"/>
      <c r="CD266" s="14"/>
      <c r="CF266" s="14"/>
      <c r="CJ266" s="16"/>
      <c r="CM266" s="14"/>
      <c r="CN266" s="14"/>
      <c r="CO266" s="14"/>
      <c r="CP266" s="14"/>
      <c r="CQ266" s="14"/>
      <c r="CR266" s="14"/>
      <c r="CS266" s="14"/>
      <c r="CT266" s="14"/>
      <c r="CU266" s="14"/>
      <c r="CV266" s="14"/>
    </row>
    <row r="267" spans="1:100" x14ac:dyDescent="0.2">
      <c r="A267" s="14"/>
      <c r="B267" s="14"/>
      <c r="C267" s="14"/>
      <c r="D267" s="14"/>
      <c r="E267" s="14"/>
      <c r="F267" s="14"/>
      <c r="G267" s="14"/>
      <c r="H267" s="14"/>
      <c r="I267" s="14"/>
      <c r="J267" s="14"/>
      <c r="K267" s="14"/>
      <c r="L267" s="15"/>
      <c r="M267" s="14"/>
      <c r="N267" s="14"/>
      <c r="O267" s="14"/>
      <c r="P267" s="14"/>
      <c r="Q267" s="16"/>
      <c r="R267" s="14"/>
      <c r="Z267" s="16"/>
      <c r="AC267" s="14"/>
      <c r="AD267" s="14"/>
      <c r="AE267" s="14"/>
      <c r="AF267" s="14"/>
      <c r="AG267" s="14"/>
      <c r="AH267" s="14"/>
      <c r="AI267" s="14"/>
      <c r="AJ267" s="14"/>
      <c r="AK267" s="14"/>
      <c r="AL267" s="14"/>
      <c r="AS267" s="14"/>
      <c r="AT267" s="14"/>
      <c r="AU267" s="14"/>
      <c r="AV267" s="14"/>
      <c r="AW267" s="14"/>
      <c r="AX267" s="14"/>
      <c r="AY267" s="14"/>
      <c r="BA267" s="14"/>
      <c r="BE267" s="16"/>
      <c r="BH267" s="14"/>
      <c r="BI267" s="14"/>
      <c r="BJ267" s="14"/>
      <c r="BK267" s="14"/>
      <c r="BL267" s="14"/>
      <c r="BM267" s="14"/>
      <c r="BN267" s="14"/>
      <c r="BO267" s="14"/>
      <c r="BP267" s="14"/>
      <c r="BQ267" s="14"/>
      <c r="BX267" s="14"/>
      <c r="BY267" s="14"/>
      <c r="BZ267" s="14"/>
      <c r="CA267" s="14"/>
      <c r="CB267" s="14"/>
      <c r="CC267" s="14"/>
      <c r="CD267" s="14"/>
      <c r="CF267" s="14"/>
      <c r="CJ267" s="16"/>
      <c r="CM267" s="14"/>
      <c r="CN267" s="14"/>
      <c r="CO267" s="14"/>
      <c r="CP267" s="14"/>
      <c r="CQ267" s="14"/>
      <c r="CR267" s="14"/>
      <c r="CS267" s="14"/>
      <c r="CT267" s="14"/>
      <c r="CU267" s="14"/>
      <c r="CV267" s="14"/>
    </row>
    <row r="268" spans="1:100" x14ac:dyDescent="0.2">
      <c r="A268" s="14"/>
      <c r="B268" s="14"/>
      <c r="C268" s="14"/>
      <c r="D268" s="14"/>
      <c r="E268" s="14"/>
      <c r="F268" s="14"/>
      <c r="G268" s="14"/>
      <c r="H268" s="14"/>
      <c r="I268" s="14"/>
      <c r="J268" s="14"/>
      <c r="K268" s="14"/>
      <c r="L268" s="15"/>
      <c r="M268" s="14"/>
      <c r="N268" s="14"/>
      <c r="O268" s="14"/>
      <c r="P268" s="14"/>
      <c r="Q268" s="16"/>
      <c r="R268" s="14"/>
      <c r="Z268" s="16"/>
      <c r="AC268" s="14"/>
      <c r="AD268" s="14"/>
      <c r="AE268" s="14"/>
      <c r="AF268" s="14"/>
      <c r="AG268" s="14"/>
      <c r="AH268" s="14"/>
      <c r="AI268" s="14"/>
      <c r="AJ268" s="14"/>
      <c r="AK268" s="14"/>
      <c r="AL268" s="14"/>
      <c r="AS268" s="14"/>
      <c r="AT268" s="14"/>
      <c r="AU268" s="14"/>
      <c r="AV268" s="14"/>
      <c r="AW268" s="14"/>
      <c r="AX268" s="14"/>
      <c r="AY268" s="14"/>
      <c r="BA268" s="14"/>
      <c r="BE268" s="16"/>
      <c r="BH268" s="14"/>
      <c r="BI268" s="14"/>
      <c r="BJ268" s="14"/>
      <c r="BK268" s="14"/>
      <c r="BL268" s="14"/>
      <c r="BM268" s="14"/>
      <c r="BN268" s="14"/>
      <c r="BO268" s="14"/>
      <c r="BP268" s="14"/>
      <c r="BQ268" s="14"/>
      <c r="BX268" s="14"/>
      <c r="BY268" s="14"/>
      <c r="BZ268" s="14"/>
      <c r="CA268" s="14"/>
      <c r="CB268" s="14"/>
      <c r="CC268" s="14"/>
      <c r="CD268" s="14"/>
      <c r="CF268" s="14"/>
      <c r="CJ268" s="16"/>
      <c r="CM268" s="14"/>
      <c r="CN268" s="14"/>
      <c r="CO268" s="14"/>
      <c r="CP268" s="14"/>
      <c r="CQ268" s="14"/>
      <c r="CR268" s="14"/>
      <c r="CS268" s="14"/>
      <c r="CT268" s="14"/>
      <c r="CU268" s="14"/>
      <c r="CV268" s="14"/>
    </row>
    <row r="269" spans="1:100" x14ac:dyDescent="0.2">
      <c r="A269" s="14"/>
      <c r="B269" s="14"/>
      <c r="C269" s="14"/>
      <c r="D269" s="14"/>
      <c r="E269" s="14"/>
      <c r="F269" s="14"/>
      <c r="G269" s="14"/>
      <c r="H269" s="14"/>
      <c r="I269" s="14"/>
      <c r="J269" s="14"/>
      <c r="K269" s="14"/>
      <c r="L269" s="15"/>
      <c r="M269" s="14"/>
      <c r="N269" s="14"/>
      <c r="O269" s="14"/>
      <c r="P269" s="14"/>
      <c r="Q269" s="16"/>
      <c r="R269" s="14"/>
      <c r="Z269" s="16"/>
      <c r="AC269" s="14"/>
      <c r="AD269" s="14"/>
      <c r="AE269" s="14"/>
      <c r="AF269" s="14"/>
      <c r="AG269" s="14"/>
      <c r="AH269" s="14"/>
      <c r="AI269" s="14"/>
      <c r="AJ269" s="14"/>
      <c r="AK269" s="14"/>
      <c r="AL269" s="14"/>
      <c r="AS269" s="14"/>
      <c r="AT269" s="14"/>
      <c r="AU269" s="14"/>
      <c r="AV269" s="14"/>
      <c r="AW269" s="14"/>
      <c r="AX269" s="14"/>
      <c r="AY269" s="14"/>
      <c r="BA269" s="14"/>
      <c r="BE269" s="16"/>
      <c r="BH269" s="14"/>
      <c r="BI269" s="14"/>
      <c r="BJ269" s="14"/>
      <c r="BK269" s="14"/>
      <c r="BL269" s="14"/>
      <c r="BM269" s="14"/>
      <c r="BN269" s="14"/>
      <c r="BO269" s="14"/>
      <c r="BP269" s="14"/>
      <c r="BQ269" s="14"/>
      <c r="BX269" s="14"/>
      <c r="BY269" s="14"/>
      <c r="BZ269" s="14"/>
      <c r="CA269" s="14"/>
      <c r="CB269" s="14"/>
      <c r="CC269" s="14"/>
      <c r="CD269" s="14"/>
      <c r="CF269" s="14"/>
      <c r="CJ269" s="16"/>
      <c r="CM269" s="14"/>
      <c r="CN269" s="14"/>
      <c r="CO269" s="14"/>
      <c r="CP269" s="14"/>
      <c r="CQ269" s="14"/>
      <c r="CR269" s="14"/>
      <c r="CS269" s="14"/>
      <c r="CT269" s="14"/>
      <c r="CU269" s="14"/>
      <c r="CV269" s="14"/>
    </row>
    <row r="270" spans="1:100" x14ac:dyDescent="0.2">
      <c r="A270" s="14"/>
      <c r="B270" s="14"/>
      <c r="C270" s="14"/>
      <c r="D270" s="14"/>
      <c r="E270" s="14"/>
      <c r="F270" s="14"/>
      <c r="G270" s="14"/>
      <c r="H270" s="14"/>
      <c r="I270" s="14"/>
      <c r="J270" s="14"/>
      <c r="K270" s="14"/>
      <c r="L270" s="15"/>
      <c r="M270" s="14"/>
      <c r="N270" s="14"/>
      <c r="O270" s="14"/>
      <c r="P270" s="14"/>
      <c r="Q270" s="16"/>
      <c r="R270" s="14"/>
      <c r="Z270" s="16"/>
      <c r="AC270" s="14"/>
      <c r="AD270" s="14"/>
      <c r="AE270" s="14"/>
      <c r="AF270" s="14"/>
      <c r="AG270" s="14"/>
      <c r="AH270" s="14"/>
      <c r="AI270" s="14"/>
      <c r="AJ270" s="14"/>
      <c r="AK270" s="14"/>
      <c r="AL270" s="14"/>
      <c r="AS270" s="14"/>
      <c r="AT270" s="14"/>
      <c r="AU270" s="14"/>
      <c r="AV270" s="14"/>
      <c r="AW270" s="14"/>
      <c r="AX270" s="14"/>
      <c r="AY270" s="14"/>
      <c r="BA270" s="14"/>
      <c r="BE270" s="16"/>
      <c r="BH270" s="14"/>
      <c r="BI270" s="14"/>
      <c r="BJ270" s="14"/>
      <c r="BK270" s="14"/>
      <c r="BL270" s="14"/>
      <c r="BM270" s="14"/>
      <c r="BN270" s="14"/>
      <c r="BO270" s="14"/>
      <c r="BP270" s="14"/>
      <c r="BQ270" s="14"/>
      <c r="BX270" s="14"/>
      <c r="BY270" s="14"/>
      <c r="BZ270" s="14"/>
      <c r="CA270" s="14"/>
      <c r="CB270" s="14"/>
      <c r="CC270" s="14"/>
      <c r="CD270" s="14"/>
      <c r="CF270" s="14"/>
      <c r="CJ270" s="16"/>
      <c r="CM270" s="14"/>
      <c r="CN270" s="14"/>
      <c r="CO270" s="14"/>
      <c r="CP270" s="14"/>
      <c r="CQ270" s="14"/>
      <c r="CR270" s="14"/>
      <c r="CS270" s="14"/>
      <c r="CT270" s="14"/>
      <c r="CU270" s="14"/>
      <c r="CV270" s="14"/>
    </row>
    <row r="271" spans="1:100" x14ac:dyDescent="0.2">
      <c r="A271" s="14"/>
      <c r="B271" s="14"/>
      <c r="C271" s="14"/>
      <c r="D271" s="14"/>
      <c r="E271" s="14"/>
      <c r="F271" s="14"/>
      <c r="G271" s="14"/>
      <c r="H271" s="14"/>
      <c r="I271" s="14"/>
      <c r="J271" s="14"/>
      <c r="K271" s="14"/>
      <c r="L271" s="15"/>
      <c r="M271" s="14"/>
      <c r="N271" s="14"/>
      <c r="O271" s="14"/>
      <c r="P271" s="14"/>
      <c r="Q271" s="16"/>
      <c r="R271" s="14"/>
      <c r="Z271" s="16"/>
      <c r="AC271" s="14"/>
      <c r="AD271" s="14"/>
      <c r="AE271" s="14"/>
      <c r="AF271" s="14"/>
      <c r="AG271" s="14"/>
      <c r="AH271" s="14"/>
      <c r="AI271" s="14"/>
      <c r="AJ271" s="14"/>
      <c r="AK271" s="14"/>
      <c r="AL271" s="14"/>
      <c r="AS271" s="14"/>
      <c r="AT271" s="14"/>
      <c r="AU271" s="14"/>
      <c r="AV271" s="14"/>
      <c r="AW271" s="14"/>
      <c r="AX271" s="14"/>
      <c r="AY271" s="14"/>
      <c r="BA271" s="14"/>
      <c r="BE271" s="16"/>
      <c r="BH271" s="14"/>
      <c r="BI271" s="14"/>
      <c r="BJ271" s="14"/>
      <c r="BK271" s="14"/>
      <c r="BL271" s="14"/>
      <c r="BM271" s="14"/>
      <c r="BN271" s="14"/>
      <c r="BO271" s="14"/>
      <c r="BP271" s="14"/>
      <c r="BQ271" s="14"/>
      <c r="BX271" s="14"/>
      <c r="BY271" s="14"/>
      <c r="BZ271" s="14"/>
      <c r="CA271" s="14"/>
      <c r="CB271" s="14"/>
      <c r="CC271" s="14"/>
      <c r="CD271" s="14"/>
      <c r="CF271" s="14"/>
      <c r="CJ271" s="16"/>
      <c r="CM271" s="14"/>
      <c r="CN271" s="14"/>
      <c r="CO271" s="14"/>
      <c r="CP271" s="14"/>
      <c r="CQ271" s="14"/>
      <c r="CR271" s="14"/>
      <c r="CS271" s="14"/>
      <c r="CT271" s="14"/>
      <c r="CU271" s="14"/>
      <c r="CV271" s="14"/>
    </row>
    <row r="272" spans="1:100" x14ac:dyDescent="0.2">
      <c r="A272" s="14"/>
      <c r="B272" s="14"/>
      <c r="C272" s="14"/>
      <c r="D272" s="14"/>
      <c r="E272" s="14"/>
      <c r="F272" s="14"/>
      <c r="G272" s="14"/>
      <c r="H272" s="14"/>
      <c r="I272" s="14"/>
      <c r="J272" s="14"/>
      <c r="K272" s="14"/>
      <c r="L272" s="15"/>
      <c r="M272" s="14"/>
      <c r="N272" s="14"/>
      <c r="O272" s="14"/>
      <c r="P272" s="14"/>
      <c r="Q272" s="16"/>
      <c r="R272" s="14"/>
      <c r="Z272" s="16"/>
      <c r="AC272" s="14"/>
      <c r="AD272" s="14"/>
      <c r="AE272" s="14"/>
      <c r="AF272" s="14"/>
      <c r="AG272" s="14"/>
      <c r="AH272" s="14"/>
      <c r="AI272" s="14"/>
      <c r="AJ272" s="14"/>
      <c r="AK272" s="14"/>
      <c r="AL272" s="14"/>
      <c r="AS272" s="14"/>
      <c r="AT272" s="14"/>
      <c r="AU272" s="14"/>
      <c r="AV272" s="14"/>
      <c r="AW272" s="14"/>
      <c r="AX272" s="14"/>
      <c r="AY272" s="14"/>
      <c r="BA272" s="14"/>
      <c r="BE272" s="16"/>
      <c r="BH272" s="14"/>
      <c r="BI272" s="14"/>
      <c r="BJ272" s="14"/>
      <c r="BK272" s="14"/>
      <c r="BL272" s="14"/>
      <c r="BM272" s="14"/>
      <c r="BN272" s="14"/>
      <c r="BO272" s="14"/>
      <c r="BP272" s="14"/>
      <c r="BQ272" s="14"/>
      <c r="BX272" s="14"/>
      <c r="BY272" s="14"/>
      <c r="BZ272" s="14"/>
      <c r="CA272" s="14"/>
      <c r="CB272" s="14"/>
      <c r="CC272" s="14"/>
      <c r="CD272" s="14"/>
      <c r="CF272" s="14"/>
      <c r="CJ272" s="16"/>
      <c r="CM272" s="14"/>
      <c r="CN272" s="14"/>
      <c r="CO272" s="14"/>
      <c r="CP272" s="14"/>
      <c r="CQ272" s="14"/>
      <c r="CR272" s="14"/>
      <c r="CS272" s="14"/>
      <c r="CT272" s="14"/>
      <c r="CU272" s="14"/>
      <c r="CV272" s="14"/>
    </row>
    <row r="273" spans="1:100" x14ac:dyDescent="0.2">
      <c r="A273" s="14"/>
      <c r="B273" s="14"/>
      <c r="C273" s="14"/>
      <c r="D273" s="14"/>
      <c r="E273" s="14"/>
      <c r="F273" s="14"/>
      <c r="G273" s="14"/>
      <c r="H273" s="14"/>
      <c r="I273" s="14"/>
      <c r="J273" s="14"/>
      <c r="K273" s="14"/>
      <c r="L273" s="15"/>
      <c r="M273" s="14"/>
      <c r="N273" s="14"/>
      <c r="O273" s="14"/>
      <c r="P273" s="14"/>
      <c r="Q273" s="16"/>
      <c r="R273" s="14"/>
      <c r="Z273" s="16"/>
      <c r="AC273" s="14"/>
      <c r="AD273" s="14"/>
      <c r="AE273" s="14"/>
      <c r="AF273" s="14"/>
      <c r="AG273" s="14"/>
      <c r="AH273" s="14"/>
      <c r="AI273" s="14"/>
      <c r="AJ273" s="14"/>
      <c r="AK273" s="14"/>
      <c r="AL273" s="14"/>
      <c r="AS273" s="14"/>
      <c r="AT273" s="14"/>
      <c r="AU273" s="14"/>
      <c r="AV273" s="14"/>
      <c r="AW273" s="14"/>
      <c r="AX273" s="14"/>
      <c r="AY273" s="14"/>
      <c r="BA273" s="14"/>
      <c r="BE273" s="16"/>
      <c r="BH273" s="14"/>
      <c r="BI273" s="14"/>
      <c r="BJ273" s="14"/>
      <c r="BK273" s="14"/>
      <c r="BL273" s="14"/>
      <c r="BM273" s="14"/>
      <c r="BN273" s="14"/>
      <c r="BO273" s="14"/>
      <c r="BP273" s="14"/>
      <c r="BQ273" s="14"/>
      <c r="BX273" s="14"/>
      <c r="BY273" s="14"/>
      <c r="BZ273" s="14"/>
      <c r="CA273" s="14"/>
      <c r="CB273" s="14"/>
      <c r="CC273" s="14"/>
      <c r="CD273" s="14"/>
      <c r="CF273" s="14"/>
      <c r="CJ273" s="16"/>
      <c r="CM273" s="14"/>
      <c r="CN273" s="14"/>
      <c r="CO273" s="14"/>
      <c r="CP273" s="14"/>
      <c r="CQ273" s="14"/>
      <c r="CR273" s="14"/>
      <c r="CS273" s="14"/>
      <c r="CT273" s="14"/>
      <c r="CU273" s="14"/>
      <c r="CV273" s="14"/>
    </row>
    <row r="274" spans="1:100" x14ac:dyDescent="0.2">
      <c r="A274" s="14"/>
      <c r="B274" s="14"/>
      <c r="C274" s="14"/>
      <c r="D274" s="14"/>
      <c r="E274" s="14"/>
      <c r="F274" s="14"/>
      <c r="G274" s="14"/>
      <c r="H274" s="14"/>
      <c r="I274" s="14"/>
      <c r="J274" s="14"/>
      <c r="K274" s="14"/>
      <c r="L274" s="15"/>
      <c r="M274" s="14"/>
      <c r="N274" s="14"/>
      <c r="O274" s="14"/>
      <c r="P274" s="14"/>
      <c r="Q274" s="16"/>
      <c r="R274" s="14"/>
      <c r="Z274" s="16"/>
      <c r="AC274" s="14"/>
      <c r="AD274" s="14"/>
      <c r="AE274" s="14"/>
      <c r="AF274" s="14"/>
      <c r="AG274" s="14"/>
      <c r="AH274" s="14"/>
      <c r="AI274" s="14"/>
      <c r="AJ274" s="14"/>
      <c r="AK274" s="14"/>
      <c r="AL274" s="14"/>
      <c r="AS274" s="14"/>
      <c r="AT274" s="14"/>
      <c r="AU274" s="14"/>
      <c r="AV274" s="14"/>
      <c r="AW274" s="14"/>
      <c r="AX274" s="14"/>
      <c r="AY274" s="14"/>
      <c r="BA274" s="14"/>
      <c r="BE274" s="16"/>
      <c r="BH274" s="14"/>
      <c r="BI274" s="14"/>
      <c r="BJ274" s="14"/>
      <c r="BK274" s="14"/>
      <c r="BL274" s="14"/>
      <c r="BM274" s="14"/>
      <c r="BN274" s="14"/>
      <c r="BO274" s="14"/>
      <c r="BP274" s="14"/>
      <c r="BQ274" s="14"/>
      <c r="BX274" s="14"/>
      <c r="BY274" s="14"/>
      <c r="BZ274" s="14"/>
      <c r="CA274" s="14"/>
      <c r="CB274" s="14"/>
      <c r="CC274" s="14"/>
      <c r="CD274" s="14"/>
      <c r="CF274" s="14"/>
      <c r="CJ274" s="16"/>
      <c r="CM274" s="14"/>
      <c r="CN274" s="14"/>
      <c r="CO274" s="14"/>
      <c r="CP274" s="14"/>
      <c r="CQ274" s="14"/>
      <c r="CR274" s="14"/>
      <c r="CS274" s="14"/>
      <c r="CT274" s="14"/>
      <c r="CU274" s="14"/>
      <c r="CV274" s="14"/>
    </row>
    <row r="275" spans="1:100" x14ac:dyDescent="0.2">
      <c r="A275" s="14"/>
      <c r="B275" s="14"/>
      <c r="C275" s="14"/>
      <c r="D275" s="14"/>
      <c r="E275" s="14"/>
      <c r="F275" s="14"/>
      <c r="G275" s="14"/>
      <c r="H275" s="14"/>
      <c r="I275" s="14"/>
      <c r="J275" s="14"/>
      <c r="K275" s="14"/>
      <c r="L275" s="15"/>
      <c r="M275" s="14"/>
      <c r="N275" s="14"/>
      <c r="O275" s="14"/>
      <c r="P275" s="14"/>
      <c r="Q275" s="16"/>
      <c r="R275" s="14"/>
      <c r="Z275" s="16"/>
      <c r="AC275" s="14"/>
      <c r="AD275" s="14"/>
      <c r="AE275" s="14"/>
      <c r="AF275" s="14"/>
      <c r="AG275" s="14"/>
      <c r="AH275" s="14"/>
      <c r="AI275" s="14"/>
      <c r="AJ275" s="14"/>
      <c r="AK275" s="14"/>
      <c r="AL275" s="14"/>
      <c r="AS275" s="14"/>
      <c r="AT275" s="14"/>
      <c r="AU275" s="14"/>
      <c r="AV275" s="14"/>
      <c r="AW275" s="14"/>
      <c r="AX275" s="14"/>
      <c r="AY275" s="14"/>
      <c r="BA275" s="14"/>
      <c r="BE275" s="16"/>
      <c r="BH275" s="14"/>
      <c r="BI275" s="14"/>
      <c r="BJ275" s="14"/>
      <c r="BK275" s="14"/>
      <c r="BL275" s="14"/>
      <c r="BM275" s="14"/>
      <c r="BN275" s="14"/>
      <c r="BO275" s="14"/>
      <c r="BP275" s="14"/>
      <c r="BQ275" s="14"/>
      <c r="BX275" s="14"/>
      <c r="BY275" s="14"/>
      <c r="BZ275" s="14"/>
      <c r="CA275" s="14"/>
      <c r="CB275" s="14"/>
      <c r="CC275" s="14"/>
      <c r="CD275" s="14"/>
      <c r="CF275" s="14"/>
      <c r="CJ275" s="16"/>
      <c r="CM275" s="14"/>
      <c r="CN275" s="14"/>
      <c r="CO275" s="14"/>
      <c r="CP275" s="14"/>
      <c r="CQ275" s="14"/>
      <c r="CR275" s="14"/>
      <c r="CS275" s="14"/>
      <c r="CT275" s="14"/>
      <c r="CU275" s="14"/>
      <c r="CV275" s="14"/>
    </row>
    <row r="276" spans="1:100" x14ac:dyDescent="0.2">
      <c r="A276" s="14"/>
      <c r="B276" s="14"/>
      <c r="C276" s="14"/>
      <c r="D276" s="14"/>
      <c r="E276" s="14"/>
      <c r="F276" s="14"/>
      <c r="G276" s="14"/>
      <c r="H276" s="14"/>
      <c r="I276" s="14"/>
      <c r="J276" s="14"/>
      <c r="K276" s="14"/>
      <c r="L276" s="15"/>
      <c r="M276" s="14"/>
      <c r="N276" s="14"/>
      <c r="O276" s="14"/>
      <c r="P276" s="14"/>
      <c r="Q276" s="16"/>
      <c r="R276" s="14"/>
      <c r="Z276" s="16"/>
      <c r="AC276" s="14"/>
      <c r="AD276" s="14"/>
      <c r="AE276" s="14"/>
      <c r="AF276" s="14"/>
      <c r="AG276" s="14"/>
      <c r="AH276" s="14"/>
      <c r="AI276" s="14"/>
      <c r="AJ276" s="14"/>
      <c r="AK276" s="14"/>
      <c r="AL276" s="14"/>
      <c r="AS276" s="14"/>
      <c r="AT276" s="14"/>
      <c r="AU276" s="14"/>
      <c r="AV276" s="14"/>
      <c r="AW276" s="14"/>
      <c r="AX276" s="14"/>
      <c r="AY276" s="14"/>
      <c r="BA276" s="14"/>
      <c r="BE276" s="16"/>
      <c r="BH276" s="14"/>
      <c r="BI276" s="14"/>
      <c r="BJ276" s="14"/>
      <c r="BK276" s="14"/>
      <c r="BL276" s="14"/>
      <c r="BM276" s="14"/>
      <c r="BN276" s="14"/>
      <c r="BO276" s="14"/>
      <c r="BP276" s="14"/>
      <c r="BQ276" s="14"/>
      <c r="BX276" s="14"/>
      <c r="BY276" s="14"/>
      <c r="BZ276" s="14"/>
      <c r="CA276" s="14"/>
      <c r="CB276" s="14"/>
      <c r="CC276" s="14"/>
      <c r="CD276" s="14"/>
      <c r="CF276" s="14"/>
      <c r="CJ276" s="16"/>
      <c r="CM276" s="14"/>
      <c r="CN276" s="14"/>
      <c r="CO276" s="14"/>
      <c r="CP276" s="14"/>
      <c r="CQ276" s="14"/>
      <c r="CR276" s="14"/>
      <c r="CS276" s="14"/>
      <c r="CT276" s="14"/>
      <c r="CU276" s="14"/>
      <c r="CV276" s="14"/>
    </row>
    <row r="277" spans="1:100" x14ac:dyDescent="0.2">
      <c r="A277" s="14"/>
      <c r="B277" s="14"/>
      <c r="C277" s="14"/>
      <c r="D277" s="14"/>
      <c r="E277" s="14"/>
      <c r="F277" s="14"/>
      <c r="G277" s="14"/>
      <c r="H277" s="14"/>
      <c r="I277" s="14"/>
      <c r="J277" s="14"/>
      <c r="K277" s="14"/>
      <c r="L277" s="15"/>
      <c r="M277" s="14"/>
      <c r="N277" s="14"/>
      <c r="O277" s="14"/>
      <c r="P277" s="14"/>
      <c r="Q277" s="16"/>
      <c r="R277" s="14"/>
      <c r="Z277" s="16"/>
      <c r="AC277" s="14"/>
      <c r="AD277" s="14"/>
      <c r="AE277" s="14"/>
      <c r="AF277" s="14"/>
      <c r="AG277" s="14"/>
      <c r="AH277" s="14"/>
      <c r="AI277" s="14"/>
      <c r="AJ277" s="14"/>
      <c r="AK277" s="14"/>
      <c r="AL277" s="14"/>
      <c r="AS277" s="14"/>
      <c r="AT277" s="14"/>
      <c r="AU277" s="14"/>
      <c r="AV277" s="14"/>
      <c r="AW277" s="14"/>
      <c r="AX277" s="14"/>
      <c r="AY277" s="14"/>
      <c r="BA277" s="14"/>
      <c r="BE277" s="16"/>
      <c r="BH277" s="14"/>
      <c r="BI277" s="14"/>
      <c r="BJ277" s="14"/>
      <c r="BK277" s="14"/>
      <c r="BL277" s="14"/>
      <c r="BM277" s="14"/>
      <c r="BN277" s="14"/>
      <c r="BO277" s="14"/>
      <c r="BP277" s="14"/>
      <c r="BQ277" s="14"/>
      <c r="BX277" s="14"/>
      <c r="BY277" s="14"/>
      <c r="BZ277" s="14"/>
      <c r="CA277" s="14"/>
      <c r="CB277" s="14"/>
      <c r="CC277" s="14"/>
      <c r="CD277" s="14"/>
      <c r="CF277" s="14"/>
      <c r="CJ277" s="16"/>
      <c r="CM277" s="14"/>
      <c r="CN277" s="14"/>
      <c r="CO277" s="14"/>
      <c r="CP277" s="14"/>
      <c r="CQ277" s="14"/>
      <c r="CR277" s="14"/>
      <c r="CS277" s="14"/>
      <c r="CT277" s="14"/>
      <c r="CU277" s="14"/>
      <c r="CV277" s="14"/>
    </row>
    <row r="278" spans="1:100" x14ac:dyDescent="0.2">
      <c r="A278" s="14"/>
      <c r="B278" s="14"/>
      <c r="C278" s="14"/>
      <c r="D278" s="14"/>
      <c r="E278" s="14"/>
      <c r="F278" s="14"/>
      <c r="G278" s="14"/>
      <c r="H278" s="14"/>
      <c r="I278" s="14"/>
      <c r="J278" s="14"/>
      <c r="K278" s="14"/>
      <c r="L278" s="15"/>
      <c r="M278" s="14"/>
      <c r="N278" s="14"/>
      <c r="O278" s="14"/>
      <c r="P278" s="14"/>
      <c r="Q278" s="16"/>
      <c r="R278" s="14"/>
      <c r="Z278" s="16"/>
      <c r="AC278" s="14"/>
      <c r="AD278" s="14"/>
      <c r="AE278" s="14"/>
      <c r="AF278" s="14"/>
      <c r="AG278" s="14"/>
      <c r="AH278" s="14"/>
      <c r="AI278" s="14"/>
      <c r="AJ278" s="14"/>
      <c r="AK278" s="14"/>
      <c r="AL278" s="14"/>
      <c r="AS278" s="14"/>
      <c r="AT278" s="14"/>
      <c r="AU278" s="14"/>
      <c r="AV278" s="14"/>
      <c r="AW278" s="14"/>
      <c r="AX278" s="14"/>
      <c r="AY278" s="14"/>
      <c r="BA278" s="14"/>
      <c r="BE278" s="16"/>
      <c r="BH278" s="14"/>
      <c r="BI278" s="14"/>
      <c r="BJ278" s="14"/>
      <c r="BK278" s="14"/>
      <c r="BL278" s="14"/>
      <c r="BM278" s="14"/>
      <c r="BN278" s="14"/>
      <c r="BO278" s="14"/>
      <c r="BP278" s="14"/>
      <c r="BQ278" s="14"/>
      <c r="BX278" s="14"/>
      <c r="BY278" s="14"/>
      <c r="BZ278" s="14"/>
      <c r="CA278" s="14"/>
      <c r="CB278" s="14"/>
      <c r="CC278" s="14"/>
      <c r="CD278" s="14"/>
      <c r="CF278" s="14"/>
      <c r="CJ278" s="16"/>
      <c r="CM278" s="14"/>
      <c r="CN278" s="14"/>
      <c r="CO278" s="14"/>
      <c r="CP278" s="14"/>
      <c r="CQ278" s="14"/>
      <c r="CR278" s="14"/>
      <c r="CS278" s="14"/>
      <c r="CT278" s="14"/>
      <c r="CU278" s="14"/>
      <c r="CV278" s="14"/>
    </row>
    <row r="279" spans="1:100" x14ac:dyDescent="0.2">
      <c r="A279" s="14"/>
      <c r="B279" s="14"/>
      <c r="C279" s="14"/>
      <c r="D279" s="14"/>
      <c r="E279" s="14"/>
      <c r="F279" s="14"/>
      <c r="G279" s="14"/>
      <c r="H279" s="14"/>
      <c r="I279" s="14"/>
      <c r="J279" s="14"/>
      <c r="K279" s="14"/>
      <c r="L279" s="15"/>
      <c r="M279" s="14"/>
      <c r="N279" s="14"/>
      <c r="O279" s="14"/>
      <c r="P279" s="14"/>
      <c r="Q279" s="16"/>
      <c r="R279" s="14"/>
      <c r="Z279" s="16"/>
      <c r="AC279" s="14"/>
      <c r="AD279" s="14"/>
      <c r="AE279" s="14"/>
      <c r="AF279" s="14"/>
      <c r="AG279" s="14"/>
      <c r="AH279" s="14"/>
      <c r="AI279" s="14"/>
      <c r="AJ279" s="14"/>
      <c r="AK279" s="14"/>
      <c r="AL279" s="14"/>
      <c r="AS279" s="14"/>
      <c r="AT279" s="14"/>
      <c r="AU279" s="14"/>
      <c r="AV279" s="14"/>
      <c r="AW279" s="14"/>
      <c r="AX279" s="14"/>
      <c r="AY279" s="14"/>
      <c r="BA279" s="14"/>
      <c r="BE279" s="16"/>
      <c r="BH279" s="14"/>
      <c r="BI279" s="14"/>
      <c r="BJ279" s="14"/>
      <c r="BK279" s="14"/>
      <c r="BL279" s="14"/>
      <c r="BM279" s="14"/>
      <c r="BN279" s="14"/>
      <c r="BO279" s="14"/>
      <c r="BP279" s="14"/>
      <c r="BQ279" s="14"/>
      <c r="BX279" s="14"/>
      <c r="BY279" s="14"/>
      <c r="BZ279" s="14"/>
      <c r="CA279" s="14"/>
      <c r="CB279" s="14"/>
      <c r="CC279" s="14"/>
      <c r="CD279" s="14"/>
      <c r="CF279" s="14"/>
      <c r="CJ279" s="16"/>
      <c r="CM279" s="14"/>
      <c r="CN279" s="14"/>
      <c r="CO279" s="14"/>
      <c r="CP279" s="14"/>
      <c r="CQ279" s="14"/>
      <c r="CR279" s="14"/>
      <c r="CS279" s="14"/>
      <c r="CT279" s="14"/>
      <c r="CU279" s="14"/>
      <c r="CV279" s="14"/>
    </row>
    <row r="280" spans="1:100" x14ac:dyDescent="0.2">
      <c r="A280" s="14"/>
      <c r="B280" s="14"/>
      <c r="C280" s="14"/>
      <c r="D280" s="14"/>
      <c r="E280" s="14"/>
      <c r="F280" s="14"/>
      <c r="G280" s="14"/>
      <c r="H280" s="14"/>
      <c r="I280" s="14"/>
      <c r="J280" s="14"/>
      <c r="K280" s="14"/>
      <c r="L280" s="15"/>
      <c r="M280" s="14"/>
      <c r="N280" s="14"/>
      <c r="O280" s="14"/>
      <c r="P280" s="14"/>
      <c r="Q280" s="16"/>
      <c r="R280" s="14"/>
      <c r="Z280" s="16"/>
      <c r="AC280" s="14"/>
      <c r="AD280" s="14"/>
      <c r="AE280" s="14"/>
      <c r="AF280" s="14"/>
      <c r="AG280" s="14"/>
      <c r="AH280" s="14"/>
      <c r="AI280" s="14"/>
      <c r="AJ280" s="14"/>
      <c r="AK280" s="14"/>
      <c r="AL280" s="14"/>
      <c r="AS280" s="14"/>
      <c r="AT280" s="14"/>
      <c r="AU280" s="14"/>
      <c r="AV280" s="14"/>
      <c r="AW280" s="14"/>
      <c r="AX280" s="14"/>
      <c r="AY280" s="14"/>
      <c r="BA280" s="14"/>
      <c r="BE280" s="16"/>
      <c r="BH280" s="14"/>
      <c r="BI280" s="14"/>
      <c r="BJ280" s="14"/>
      <c r="BK280" s="14"/>
      <c r="BL280" s="14"/>
      <c r="BM280" s="14"/>
      <c r="BN280" s="14"/>
      <c r="BO280" s="14"/>
      <c r="BP280" s="14"/>
      <c r="BQ280" s="14"/>
      <c r="BX280" s="14"/>
      <c r="BY280" s="14"/>
      <c r="BZ280" s="14"/>
      <c r="CA280" s="14"/>
      <c r="CB280" s="14"/>
      <c r="CC280" s="14"/>
      <c r="CD280" s="14"/>
      <c r="CF280" s="14"/>
      <c r="CJ280" s="16"/>
      <c r="CM280" s="14"/>
      <c r="CN280" s="14"/>
      <c r="CO280" s="14"/>
      <c r="CP280" s="14"/>
      <c r="CQ280" s="14"/>
      <c r="CR280" s="14"/>
      <c r="CS280" s="14"/>
      <c r="CT280" s="14"/>
      <c r="CU280" s="14"/>
      <c r="CV280" s="14"/>
    </row>
    <row r="281" spans="1:100" x14ac:dyDescent="0.2">
      <c r="A281" s="14"/>
      <c r="B281" s="14"/>
      <c r="C281" s="14"/>
      <c r="D281" s="14"/>
      <c r="E281" s="14"/>
      <c r="F281" s="14"/>
      <c r="G281" s="14"/>
      <c r="H281" s="14"/>
      <c r="I281" s="14"/>
      <c r="J281" s="14"/>
      <c r="K281" s="14"/>
      <c r="L281" s="15"/>
      <c r="M281" s="14"/>
      <c r="N281" s="14"/>
      <c r="O281" s="14"/>
      <c r="P281" s="14"/>
      <c r="Q281" s="16"/>
      <c r="R281" s="14"/>
      <c r="Z281" s="16"/>
      <c r="AC281" s="14"/>
      <c r="AD281" s="14"/>
      <c r="AE281" s="14"/>
      <c r="AF281" s="14"/>
      <c r="AG281" s="14"/>
      <c r="AH281" s="14"/>
      <c r="AI281" s="14"/>
      <c r="AJ281" s="14"/>
      <c r="AK281" s="14"/>
      <c r="AL281" s="14"/>
      <c r="AS281" s="14"/>
      <c r="AT281" s="14"/>
      <c r="AU281" s="14"/>
      <c r="AV281" s="14"/>
      <c r="AW281" s="14"/>
      <c r="AX281" s="14"/>
      <c r="AY281" s="14"/>
      <c r="BA281" s="14"/>
      <c r="BE281" s="16"/>
      <c r="BH281" s="14"/>
      <c r="BI281" s="14"/>
      <c r="BJ281" s="14"/>
      <c r="BK281" s="14"/>
      <c r="BL281" s="14"/>
      <c r="BM281" s="14"/>
      <c r="BN281" s="14"/>
      <c r="BO281" s="14"/>
      <c r="BP281" s="14"/>
      <c r="BQ281" s="14"/>
      <c r="BX281" s="14"/>
      <c r="BY281" s="14"/>
      <c r="BZ281" s="14"/>
      <c r="CA281" s="14"/>
      <c r="CB281" s="14"/>
      <c r="CC281" s="14"/>
      <c r="CD281" s="14"/>
      <c r="CF281" s="14"/>
      <c r="CJ281" s="16"/>
      <c r="CM281" s="14"/>
      <c r="CN281" s="14"/>
      <c r="CO281" s="14"/>
      <c r="CP281" s="14"/>
      <c r="CQ281" s="14"/>
      <c r="CR281" s="14"/>
      <c r="CS281" s="14"/>
      <c r="CT281" s="14"/>
      <c r="CU281" s="14"/>
      <c r="CV281" s="14"/>
    </row>
    <row r="282" spans="1:100" x14ac:dyDescent="0.2">
      <c r="A282" s="14"/>
      <c r="B282" s="14"/>
      <c r="C282" s="14"/>
      <c r="D282" s="14"/>
      <c r="E282" s="14"/>
      <c r="F282" s="14"/>
      <c r="G282" s="14"/>
      <c r="H282" s="14"/>
      <c r="I282" s="14"/>
      <c r="J282" s="14"/>
      <c r="K282" s="14"/>
      <c r="L282" s="15"/>
      <c r="M282" s="14"/>
      <c r="N282" s="14"/>
      <c r="O282" s="14"/>
      <c r="P282" s="14"/>
      <c r="Q282" s="16"/>
      <c r="R282" s="14"/>
      <c r="Z282" s="16"/>
      <c r="AC282" s="14"/>
      <c r="AD282" s="14"/>
      <c r="AE282" s="14"/>
      <c r="AF282" s="14"/>
      <c r="AG282" s="14"/>
      <c r="AH282" s="14"/>
      <c r="AI282" s="14"/>
      <c r="AJ282" s="14"/>
      <c r="AK282" s="14"/>
      <c r="AL282" s="14"/>
      <c r="AS282" s="14"/>
      <c r="AT282" s="14"/>
      <c r="AU282" s="14"/>
      <c r="AV282" s="14"/>
      <c r="AW282" s="14"/>
      <c r="AX282" s="14"/>
      <c r="AY282" s="14"/>
      <c r="BA282" s="14"/>
      <c r="BE282" s="16"/>
      <c r="BH282" s="14"/>
      <c r="BI282" s="14"/>
      <c r="BJ282" s="14"/>
      <c r="BK282" s="14"/>
      <c r="BL282" s="14"/>
      <c r="BM282" s="14"/>
      <c r="BN282" s="14"/>
      <c r="BO282" s="14"/>
      <c r="BP282" s="14"/>
      <c r="BQ282" s="14"/>
      <c r="BX282" s="14"/>
      <c r="BY282" s="14"/>
      <c r="BZ282" s="14"/>
      <c r="CA282" s="14"/>
      <c r="CB282" s="14"/>
      <c r="CC282" s="14"/>
      <c r="CD282" s="14"/>
      <c r="CF282" s="14"/>
      <c r="CJ282" s="16"/>
      <c r="CM282" s="14"/>
      <c r="CN282" s="14"/>
      <c r="CO282" s="14"/>
      <c r="CP282" s="14"/>
      <c r="CQ282" s="14"/>
      <c r="CR282" s="14"/>
      <c r="CS282" s="14"/>
      <c r="CT282" s="14"/>
      <c r="CU282" s="14"/>
      <c r="CV282" s="14"/>
    </row>
    <row r="283" spans="1:100" x14ac:dyDescent="0.2">
      <c r="A283" s="14"/>
      <c r="B283" s="14"/>
      <c r="C283" s="14"/>
      <c r="D283" s="14"/>
      <c r="E283" s="14"/>
      <c r="F283" s="14"/>
      <c r="G283" s="14"/>
      <c r="H283" s="14"/>
      <c r="I283" s="14"/>
      <c r="J283" s="14"/>
      <c r="K283" s="14"/>
      <c r="L283" s="15"/>
      <c r="M283" s="14"/>
      <c r="N283" s="14"/>
      <c r="O283" s="14"/>
      <c r="P283" s="14"/>
      <c r="Q283" s="16"/>
      <c r="R283" s="14"/>
      <c r="Z283" s="16"/>
      <c r="AC283" s="14"/>
      <c r="AD283" s="14"/>
      <c r="AE283" s="14"/>
      <c r="AF283" s="14"/>
      <c r="AG283" s="14"/>
      <c r="AH283" s="14"/>
      <c r="AI283" s="14"/>
      <c r="AJ283" s="14"/>
      <c r="AK283" s="14"/>
      <c r="AL283" s="14"/>
      <c r="AS283" s="14"/>
      <c r="AT283" s="14"/>
      <c r="AU283" s="14"/>
      <c r="AV283" s="14"/>
      <c r="AW283" s="14"/>
      <c r="AX283" s="14"/>
      <c r="AY283" s="14"/>
      <c r="BA283" s="14"/>
      <c r="BE283" s="16"/>
      <c r="BH283" s="14"/>
      <c r="BI283" s="14"/>
      <c r="BJ283" s="14"/>
      <c r="BK283" s="14"/>
      <c r="BL283" s="14"/>
      <c r="BM283" s="14"/>
      <c r="BN283" s="14"/>
      <c r="BO283" s="14"/>
      <c r="BP283" s="14"/>
      <c r="BQ283" s="14"/>
      <c r="BX283" s="14"/>
      <c r="BY283" s="14"/>
      <c r="BZ283" s="14"/>
      <c r="CA283" s="14"/>
      <c r="CB283" s="14"/>
      <c r="CC283" s="14"/>
      <c r="CD283" s="14"/>
      <c r="CF283" s="14"/>
      <c r="CJ283" s="16"/>
      <c r="CM283" s="14"/>
      <c r="CN283" s="14"/>
      <c r="CO283" s="14"/>
      <c r="CP283" s="14"/>
      <c r="CQ283" s="14"/>
      <c r="CR283" s="14"/>
      <c r="CS283" s="14"/>
      <c r="CT283" s="14"/>
      <c r="CU283" s="14"/>
      <c r="CV283" s="14"/>
    </row>
    <row r="284" spans="1:100" x14ac:dyDescent="0.2">
      <c r="A284" s="14"/>
      <c r="B284" s="14"/>
      <c r="C284" s="14"/>
      <c r="D284" s="14"/>
      <c r="E284" s="14"/>
      <c r="F284" s="14"/>
      <c r="G284" s="14"/>
      <c r="H284" s="14"/>
      <c r="I284" s="14"/>
      <c r="J284" s="14"/>
      <c r="K284" s="14"/>
      <c r="L284" s="15"/>
      <c r="M284" s="14"/>
      <c r="N284" s="14"/>
      <c r="O284" s="14"/>
      <c r="P284" s="14"/>
      <c r="Q284" s="16"/>
      <c r="R284" s="14"/>
      <c r="Z284" s="16"/>
      <c r="AC284" s="14"/>
      <c r="AD284" s="14"/>
      <c r="AE284" s="14"/>
      <c r="AF284" s="14"/>
      <c r="AG284" s="14"/>
      <c r="AH284" s="14"/>
      <c r="AI284" s="14"/>
      <c r="AJ284" s="14"/>
      <c r="AK284" s="14"/>
      <c r="AL284" s="14"/>
      <c r="AS284" s="14"/>
      <c r="AT284" s="14"/>
      <c r="AU284" s="14"/>
      <c r="AV284" s="14"/>
      <c r="AW284" s="14"/>
      <c r="AX284" s="14"/>
      <c r="AY284" s="14"/>
      <c r="BA284" s="14"/>
      <c r="BE284" s="16"/>
      <c r="BH284" s="14"/>
      <c r="BI284" s="14"/>
      <c r="BJ284" s="14"/>
      <c r="BK284" s="14"/>
      <c r="BL284" s="14"/>
      <c r="BM284" s="14"/>
      <c r="BN284" s="14"/>
      <c r="BO284" s="14"/>
      <c r="BP284" s="14"/>
      <c r="BQ284" s="14"/>
      <c r="BX284" s="14"/>
      <c r="BY284" s="14"/>
      <c r="BZ284" s="14"/>
      <c r="CA284" s="14"/>
      <c r="CB284" s="14"/>
      <c r="CC284" s="14"/>
      <c r="CD284" s="14"/>
      <c r="CF284" s="14"/>
      <c r="CJ284" s="16"/>
      <c r="CM284" s="14"/>
      <c r="CN284" s="14"/>
      <c r="CO284" s="14"/>
      <c r="CP284" s="14"/>
      <c r="CQ284" s="14"/>
      <c r="CR284" s="14"/>
      <c r="CS284" s="14"/>
      <c r="CT284" s="14"/>
      <c r="CU284" s="14"/>
      <c r="CV284" s="14"/>
    </row>
    <row r="285" spans="1:100" x14ac:dyDescent="0.2">
      <c r="A285" s="14"/>
      <c r="B285" s="14"/>
      <c r="C285" s="14"/>
      <c r="D285" s="14"/>
      <c r="E285" s="14"/>
      <c r="F285" s="14"/>
      <c r="G285" s="14"/>
      <c r="H285" s="14"/>
      <c r="I285" s="14"/>
      <c r="J285" s="14"/>
      <c r="K285" s="14"/>
      <c r="L285" s="15"/>
      <c r="M285" s="14"/>
      <c r="N285" s="14"/>
      <c r="O285" s="14"/>
      <c r="P285" s="14"/>
      <c r="Q285" s="16"/>
      <c r="R285" s="14"/>
      <c r="Z285" s="16"/>
      <c r="AC285" s="14"/>
      <c r="AD285" s="14"/>
      <c r="AE285" s="14"/>
      <c r="AF285" s="14"/>
      <c r="AG285" s="14"/>
      <c r="AH285" s="14"/>
      <c r="AI285" s="14"/>
      <c r="AJ285" s="14"/>
      <c r="AK285" s="14"/>
      <c r="AL285" s="14"/>
      <c r="AS285" s="14"/>
      <c r="AT285" s="14"/>
      <c r="AU285" s="14"/>
      <c r="AV285" s="14"/>
      <c r="AW285" s="14"/>
      <c r="AX285" s="14"/>
      <c r="AY285" s="14"/>
      <c r="BA285" s="14"/>
      <c r="BE285" s="16"/>
      <c r="BH285" s="14"/>
      <c r="BI285" s="14"/>
      <c r="BJ285" s="14"/>
      <c r="BK285" s="14"/>
      <c r="BL285" s="14"/>
      <c r="BM285" s="14"/>
      <c r="BN285" s="14"/>
      <c r="BO285" s="14"/>
      <c r="BP285" s="14"/>
      <c r="BQ285" s="14"/>
      <c r="BX285" s="14"/>
      <c r="BY285" s="14"/>
      <c r="BZ285" s="14"/>
      <c r="CA285" s="14"/>
      <c r="CB285" s="14"/>
      <c r="CC285" s="14"/>
      <c r="CD285" s="14"/>
      <c r="CF285" s="14"/>
      <c r="CJ285" s="16"/>
      <c r="CM285" s="14"/>
      <c r="CN285" s="14"/>
      <c r="CO285" s="14"/>
      <c r="CP285" s="14"/>
      <c r="CQ285" s="14"/>
      <c r="CR285" s="14"/>
      <c r="CS285" s="14"/>
      <c r="CT285" s="14"/>
      <c r="CU285" s="14"/>
      <c r="CV285" s="14"/>
    </row>
    <row r="286" spans="1:100" x14ac:dyDescent="0.2">
      <c r="A286" s="14"/>
      <c r="B286" s="14"/>
      <c r="C286" s="14"/>
      <c r="D286" s="14"/>
      <c r="E286" s="14"/>
      <c r="F286" s="14"/>
      <c r="G286" s="14"/>
      <c r="H286" s="14"/>
      <c r="I286" s="14"/>
      <c r="J286" s="14"/>
      <c r="K286" s="14"/>
      <c r="L286" s="15"/>
      <c r="M286" s="14"/>
      <c r="N286" s="14"/>
      <c r="O286" s="14"/>
      <c r="P286" s="14"/>
      <c r="Q286" s="16"/>
      <c r="R286" s="14"/>
      <c r="Z286" s="16"/>
      <c r="AC286" s="14"/>
      <c r="AD286" s="14"/>
      <c r="AE286" s="14"/>
      <c r="AF286" s="14"/>
      <c r="AG286" s="14"/>
      <c r="AH286" s="14"/>
      <c r="AI286" s="14"/>
      <c r="AJ286" s="14"/>
      <c r="AK286" s="14"/>
      <c r="AL286" s="14"/>
      <c r="AS286" s="14"/>
      <c r="AT286" s="14"/>
      <c r="AU286" s="14"/>
      <c r="AV286" s="14"/>
      <c r="AW286" s="14"/>
      <c r="AX286" s="14"/>
      <c r="AY286" s="14"/>
      <c r="BA286" s="14"/>
      <c r="BE286" s="16"/>
      <c r="BH286" s="14"/>
      <c r="BI286" s="14"/>
      <c r="BJ286" s="14"/>
      <c r="BK286" s="14"/>
      <c r="BL286" s="14"/>
      <c r="BM286" s="14"/>
      <c r="BN286" s="14"/>
      <c r="BO286" s="14"/>
      <c r="BP286" s="14"/>
      <c r="BQ286" s="14"/>
      <c r="BX286" s="14"/>
      <c r="BY286" s="14"/>
      <c r="BZ286" s="14"/>
      <c r="CA286" s="14"/>
      <c r="CB286" s="14"/>
      <c r="CC286" s="14"/>
      <c r="CD286" s="14"/>
      <c r="CF286" s="14"/>
      <c r="CJ286" s="16"/>
      <c r="CM286" s="14"/>
      <c r="CN286" s="14"/>
      <c r="CO286" s="14"/>
      <c r="CP286" s="14"/>
      <c r="CQ286" s="14"/>
      <c r="CR286" s="14"/>
      <c r="CS286" s="14"/>
      <c r="CT286" s="14"/>
      <c r="CU286" s="14"/>
      <c r="CV286" s="14"/>
    </row>
    <row r="287" spans="1:100" x14ac:dyDescent="0.2">
      <c r="A287" s="14"/>
      <c r="B287" s="14"/>
      <c r="C287" s="14"/>
      <c r="D287" s="14"/>
      <c r="E287" s="14"/>
      <c r="F287" s="14"/>
      <c r="G287" s="14"/>
      <c r="H287" s="14"/>
      <c r="I287" s="14"/>
      <c r="J287" s="14"/>
      <c r="K287" s="14"/>
      <c r="L287" s="15"/>
      <c r="M287" s="14"/>
      <c r="N287" s="14"/>
      <c r="O287" s="14"/>
      <c r="P287" s="14"/>
      <c r="Q287" s="16"/>
      <c r="R287" s="14"/>
      <c r="Z287" s="16"/>
      <c r="AC287" s="14"/>
      <c r="AD287" s="14"/>
      <c r="AE287" s="14"/>
      <c r="AF287" s="14"/>
      <c r="AG287" s="14"/>
      <c r="AH287" s="14"/>
      <c r="AI287" s="14"/>
      <c r="AJ287" s="14"/>
      <c r="AK287" s="14"/>
      <c r="AL287" s="14"/>
      <c r="AS287" s="14"/>
      <c r="AT287" s="14"/>
      <c r="AU287" s="14"/>
      <c r="AV287" s="14"/>
      <c r="AW287" s="14"/>
      <c r="AX287" s="14"/>
      <c r="AY287" s="14"/>
      <c r="BA287" s="14"/>
      <c r="BE287" s="16"/>
      <c r="BH287" s="14"/>
      <c r="BI287" s="14"/>
      <c r="BJ287" s="14"/>
      <c r="BK287" s="14"/>
      <c r="BL287" s="14"/>
      <c r="BM287" s="14"/>
      <c r="BN287" s="14"/>
      <c r="BO287" s="14"/>
      <c r="BP287" s="14"/>
      <c r="BQ287" s="14"/>
      <c r="BX287" s="14"/>
      <c r="BY287" s="14"/>
      <c r="BZ287" s="14"/>
      <c r="CA287" s="14"/>
      <c r="CB287" s="14"/>
      <c r="CC287" s="14"/>
      <c r="CD287" s="14"/>
      <c r="CF287" s="14"/>
      <c r="CJ287" s="16"/>
      <c r="CM287" s="14"/>
      <c r="CN287" s="14"/>
      <c r="CO287" s="14"/>
      <c r="CP287" s="14"/>
      <c r="CQ287" s="14"/>
      <c r="CR287" s="14"/>
      <c r="CS287" s="14"/>
      <c r="CT287" s="14"/>
      <c r="CU287" s="14"/>
      <c r="CV287" s="14"/>
    </row>
    <row r="288" spans="1:100" x14ac:dyDescent="0.2">
      <c r="A288" s="14"/>
      <c r="B288" s="14"/>
      <c r="C288" s="14"/>
      <c r="D288" s="14"/>
      <c r="E288" s="14"/>
      <c r="F288" s="14"/>
      <c r="G288" s="14"/>
      <c r="H288" s="14"/>
      <c r="I288" s="14"/>
      <c r="J288" s="14"/>
      <c r="K288" s="14"/>
      <c r="L288" s="15"/>
      <c r="M288" s="14"/>
      <c r="N288" s="14"/>
      <c r="O288" s="14"/>
      <c r="P288" s="14"/>
      <c r="Q288" s="16"/>
      <c r="R288" s="14"/>
      <c r="Z288" s="16"/>
      <c r="AC288" s="14"/>
      <c r="AD288" s="14"/>
      <c r="AE288" s="14"/>
      <c r="AF288" s="14"/>
      <c r="AG288" s="14"/>
      <c r="AH288" s="14"/>
      <c r="AI288" s="14"/>
      <c r="AJ288" s="14"/>
      <c r="AK288" s="14"/>
      <c r="AL288" s="14"/>
      <c r="AS288" s="14"/>
      <c r="AT288" s="14"/>
      <c r="AU288" s="14"/>
      <c r="AV288" s="14"/>
      <c r="AW288" s="14"/>
      <c r="AX288" s="14"/>
      <c r="AY288" s="14"/>
      <c r="BA288" s="14"/>
      <c r="BE288" s="16"/>
      <c r="BH288" s="14"/>
      <c r="BI288" s="14"/>
      <c r="BJ288" s="14"/>
      <c r="BK288" s="14"/>
      <c r="BL288" s="14"/>
      <c r="BM288" s="14"/>
      <c r="BN288" s="14"/>
      <c r="BO288" s="14"/>
      <c r="BP288" s="14"/>
      <c r="BQ288" s="14"/>
      <c r="BX288" s="14"/>
      <c r="BY288" s="14"/>
      <c r="BZ288" s="14"/>
      <c r="CA288" s="14"/>
      <c r="CB288" s="14"/>
      <c r="CC288" s="14"/>
      <c r="CD288" s="14"/>
      <c r="CF288" s="14"/>
      <c r="CJ288" s="16"/>
      <c r="CM288" s="14"/>
      <c r="CN288" s="14"/>
      <c r="CO288" s="14"/>
      <c r="CP288" s="14"/>
      <c r="CQ288" s="14"/>
      <c r="CR288" s="14"/>
      <c r="CS288" s="14"/>
      <c r="CT288" s="14"/>
      <c r="CU288" s="14"/>
      <c r="CV288" s="14"/>
    </row>
    <row r="289" spans="1:100" x14ac:dyDescent="0.2">
      <c r="A289" s="14"/>
      <c r="B289" s="14"/>
      <c r="C289" s="14"/>
      <c r="D289" s="14"/>
      <c r="E289" s="14"/>
      <c r="F289" s="14"/>
      <c r="G289" s="14"/>
      <c r="H289" s="14"/>
      <c r="I289" s="14"/>
      <c r="J289" s="14"/>
      <c r="K289" s="14"/>
      <c r="L289" s="15"/>
      <c r="M289" s="14"/>
      <c r="N289" s="14"/>
      <c r="O289" s="14"/>
      <c r="P289" s="14"/>
      <c r="Q289" s="16"/>
      <c r="R289" s="14"/>
      <c r="Z289" s="16"/>
      <c r="AC289" s="14"/>
      <c r="AD289" s="14"/>
      <c r="AE289" s="14"/>
      <c r="AF289" s="14"/>
      <c r="AG289" s="14"/>
      <c r="AH289" s="14"/>
      <c r="AI289" s="14"/>
      <c r="AJ289" s="14"/>
      <c r="AK289" s="14"/>
      <c r="AL289" s="14"/>
      <c r="AS289" s="14"/>
      <c r="AT289" s="14"/>
      <c r="AU289" s="14"/>
      <c r="AV289" s="14"/>
      <c r="AW289" s="14"/>
      <c r="AX289" s="14"/>
      <c r="AY289" s="14"/>
      <c r="BA289" s="14"/>
      <c r="BE289" s="16"/>
      <c r="BH289" s="14"/>
      <c r="BI289" s="14"/>
      <c r="BJ289" s="14"/>
      <c r="BK289" s="14"/>
      <c r="BL289" s="14"/>
      <c r="BM289" s="14"/>
      <c r="BN289" s="14"/>
      <c r="BO289" s="14"/>
      <c r="BP289" s="14"/>
      <c r="BQ289" s="14"/>
      <c r="BX289" s="14"/>
      <c r="BY289" s="14"/>
      <c r="BZ289" s="14"/>
      <c r="CA289" s="14"/>
      <c r="CB289" s="14"/>
      <c r="CC289" s="14"/>
      <c r="CD289" s="14"/>
      <c r="CF289" s="14"/>
      <c r="CJ289" s="16"/>
      <c r="CM289" s="14"/>
      <c r="CN289" s="14"/>
      <c r="CO289" s="14"/>
      <c r="CP289" s="14"/>
      <c r="CQ289" s="14"/>
      <c r="CR289" s="14"/>
      <c r="CS289" s="14"/>
      <c r="CT289" s="14"/>
      <c r="CU289" s="14"/>
      <c r="CV289" s="14"/>
    </row>
    <row r="290" spans="1:100" x14ac:dyDescent="0.2">
      <c r="A290" s="14"/>
      <c r="B290" s="14"/>
      <c r="C290" s="14"/>
      <c r="D290" s="14"/>
      <c r="E290" s="14"/>
      <c r="F290" s="14"/>
      <c r="G290" s="14"/>
      <c r="H290" s="14"/>
      <c r="I290" s="14"/>
      <c r="J290" s="14"/>
      <c r="K290" s="14"/>
      <c r="L290" s="15"/>
      <c r="M290" s="14"/>
      <c r="N290" s="14"/>
      <c r="O290" s="14"/>
      <c r="P290" s="14"/>
      <c r="Q290" s="16"/>
      <c r="R290" s="14"/>
      <c r="Z290" s="16"/>
      <c r="AC290" s="14"/>
      <c r="AD290" s="14"/>
      <c r="AE290" s="14"/>
      <c r="AF290" s="14"/>
      <c r="AG290" s="14"/>
      <c r="AH290" s="14"/>
      <c r="AI290" s="14"/>
      <c r="AJ290" s="14"/>
      <c r="AK290" s="14"/>
      <c r="AL290" s="14"/>
      <c r="AS290" s="14"/>
      <c r="AT290" s="14"/>
      <c r="AU290" s="14"/>
      <c r="AV290" s="14"/>
      <c r="AW290" s="14"/>
      <c r="AX290" s="14"/>
      <c r="AY290" s="14"/>
      <c r="BA290" s="14"/>
      <c r="BE290" s="16"/>
      <c r="BH290" s="14"/>
      <c r="BI290" s="14"/>
      <c r="BJ290" s="14"/>
      <c r="BK290" s="14"/>
      <c r="BL290" s="14"/>
      <c r="BM290" s="14"/>
      <c r="BN290" s="14"/>
      <c r="BO290" s="14"/>
      <c r="BP290" s="14"/>
      <c r="BQ290" s="14"/>
      <c r="BX290" s="14"/>
      <c r="BY290" s="14"/>
      <c r="BZ290" s="14"/>
      <c r="CA290" s="14"/>
      <c r="CB290" s="14"/>
      <c r="CC290" s="14"/>
      <c r="CD290" s="14"/>
      <c r="CF290" s="14"/>
      <c r="CJ290" s="16"/>
      <c r="CM290" s="14"/>
      <c r="CN290" s="14"/>
      <c r="CO290" s="14"/>
      <c r="CP290" s="14"/>
      <c r="CQ290" s="14"/>
      <c r="CR290" s="14"/>
      <c r="CS290" s="14"/>
      <c r="CT290" s="14"/>
      <c r="CU290" s="14"/>
      <c r="CV290" s="14"/>
    </row>
    <row r="291" spans="1:100" x14ac:dyDescent="0.2">
      <c r="A291" s="14"/>
      <c r="B291" s="14"/>
      <c r="C291" s="14"/>
      <c r="D291" s="14"/>
      <c r="E291" s="14"/>
      <c r="F291" s="14"/>
      <c r="G291" s="14"/>
      <c r="H291" s="14"/>
      <c r="I291" s="14"/>
      <c r="J291" s="14"/>
      <c r="K291" s="14"/>
      <c r="L291" s="15"/>
      <c r="M291" s="14"/>
      <c r="N291" s="14"/>
      <c r="O291" s="14"/>
      <c r="P291" s="14"/>
      <c r="Q291" s="16"/>
      <c r="R291" s="14"/>
      <c r="Z291" s="16"/>
      <c r="AC291" s="14"/>
      <c r="AD291" s="14"/>
      <c r="AE291" s="14"/>
      <c r="AF291" s="14"/>
      <c r="AG291" s="14"/>
      <c r="AH291" s="14"/>
      <c r="AI291" s="14"/>
      <c r="AJ291" s="14"/>
      <c r="AK291" s="14"/>
      <c r="AL291" s="14"/>
      <c r="AS291" s="14"/>
      <c r="AT291" s="14"/>
      <c r="AU291" s="14"/>
      <c r="AV291" s="14"/>
      <c r="AW291" s="14"/>
      <c r="AX291" s="14"/>
      <c r="AY291" s="14"/>
      <c r="BA291" s="14"/>
      <c r="BE291" s="16"/>
      <c r="BH291" s="14"/>
      <c r="BI291" s="14"/>
      <c r="BJ291" s="14"/>
      <c r="BK291" s="14"/>
      <c r="BL291" s="14"/>
      <c r="BM291" s="14"/>
      <c r="BN291" s="14"/>
      <c r="BO291" s="14"/>
      <c r="BP291" s="14"/>
      <c r="BQ291" s="14"/>
      <c r="BX291" s="14"/>
      <c r="BY291" s="14"/>
      <c r="BZ291" s="14"/>
      <c r="CA291" s="14"/>
      <c r="CB291" s="14"/>
      <c r="CC291" s="14"/>
      <c r="CD291" s="14"/>
      <c r="CF291" s="14"/>
      <c r="CJ291" s="16"/>
      <c r="CM291" s="14"/>
      <c r="CN291" s="14"/>
      <c r="CO291" s="14"/>
      <c r="CP291" s="14"/>
      <c r="CQ291" s="14"/>
      <c r="CR291" s="14"/>
      <c r="CS291" s="14"/>
      <c r="CT291" s="14"/>
      <c r="CU291" s="14"/>
      <c r="CV291" s="14"/>
    </row>
    <row r="292" spans="1:100" x14ac:dyDescent="0.2">
      <c r="A292" s="14"/>
      <c r="B292" s="14"/>
      <c r="C292" s="14"/>
      <c r="D292" s="14"/>
      <c r="E292" s="14"/>
      <c r="F292" s="14"/>
      <c r="G292" s="14"/>
      <c r="H292" s="14"/>
      <c r="I292" s="14"/>
      <c r="J292" s="14"/>
      <c r="K292" s="14"/>
      <c r="L292" s="15"/>
      <c r="M292" s="14"/>
      <c r="N292" s="14"/>
      <c r="O292" s="14"/>
      <c r="P292" s="14"/>
      <c r="Q292" s="16"/>
      <c r="R292" s="14"/>
      <c r="Z292" s="16"/>
      <c r="AC292" s="14"/>
      <c r="AD292" s="14"/>
      <c r="AE292" s="14"/>
      <c r="AF292" s="14"/>
      <c r="AG292" s="14"/>
      <c r="AH292" s="14"/>
      <c r="AI292" s="14"/>
      <c r="AJ292" s="14"/>
      <c r="AK292" s="14"/>
      <c r="AL292" s="14"/>
      <c r="AS292" s="14"/>
      <c r="AT292" s="14"/>
      <c r="AU292" s="14"/>
      <c r="AV292" s="14"/>
      <c r="AW292" s="14"/>
      <c r="AX292" s="14"/>
      <c r="AY292" s="14"/>
      <c r="BA292" s="14"/>
      <c r="BE292" s="16"/>
      <c r="BH292" s="14"/>
      <c r="BI292" s="14"/>
      <c r="BJ292" s="14"/>
      <c r="BK292" s="14"/>
      <c r="BL292" s="14"/>
      <c r="BM292" s="14"/>
      <c r="BN292" s="14"/>
      <c r="BO292" s="14"/>
      <c r="BP292" s="14"/>
      <c r="BQ292" s="14"/>
      <c r="BX292" s="14"/>
      <c r="BY292" s="14"/>
      <c r="BZ292" s="14"/>
      <c r="CA292" s="14"/>
      <c r="CB292" s="14"/>
      <c r="CC292" s="14"/>
      <c r="CD292" s="14"/>
      <c r="CF292" s="14"/>
      <c r="CJ292" s="16"/>
      <c r="CM292" s="14"/>
      <c r="CN292" s="14"/>
      <c r="CO292" s="14"/>
      <c r="CP292" s="14"/>
      <c r="CQ292" s="14"/>
      <c r="CR292" s="14"/>
      <c r="CS292" s="14"/>
      <c r="CT292" s="14"/>
      <c r="CU292" s="14"/>
      <c r="CV292" s="14"/>
    </row>
    <row r="293" spans="1:100" x14ac:dyDescent="0.2">
      <c r="A293" s="14"/>
      <c r="B293" s="14"/>
      <c r="C293" s="14"/>
      <c r="D293" s="14"/>
      <c r="E293" s="14"/>
      <c r="F293" s="14"/>
      <c r="G293" s="14"/>
      <c r="H293" s="14"/>
      <c r="I293" s="14"/>
      <c r="J293" s="14"/>
      <c r="K293" s="14"/>
      <c r="L293" s="15"/>
      <c r="M293" s="14"/>
      <c r="N293" s="14"/>
      <c r="O293" s="14"/>
      <c r="P293" s="14"/>
      <c r="Q293" s="16"/>
      <c r="R293" s="14"/>
      <c r="Z293" s="16"/>
      <c r="AC293" s="14"/>
      <c r="AD293" s="14"/>
      <c r="AE293" s="14"/>
      <c r="AF293" s="14"/>
      <c r="AG293" s="14"/>
      <c r="AH293" s="14"/>
      <c r="AI293" s="14"/>
      <c r="AJ293" s="14"/>
      <c r="AK293" s="14"/>
      <c r="AL293" s="14"/>
      <c r="AS293" s="14"/>
      <c r="AT293" s="14"/>
      <c r="AU293" s="14"/>
      <c r="AV293" s="14"/>
      <c r="AW293" s="14"/>
      <c r="AX293" s="14"/>
      <c r="AY293" s="14"/>
      <c r="BA293" s="14"/>
      <c r="BE293" s="16"/>
      <c r="BH293" s="14"/>
      <c r="BI293" s="14"/>
      <c r="BJ293" s="14"/>
      <c r="BK293" s="14"/>
      <c r="BL293" s="14"/>
      <c r="BM293" s="14"/>
      <c r="BN293" s="14"/>
      <c r="BO293" s="14"/>
      <c r="BP293" s="14"/>
      <c r="BQ293" s="14"/>
      <c r="BX293" s="14"/>
      <c r="BY293" s="14"/>
      <c r="BZ293" s="14"/>
      <c r="CA293" s="14"/>
      <c r="CB293" s="14"/>
      <c r="CC293" s="14"/>
      <c r="CD293" s="14"/>
      <c r="CF293" s="14"/>
      <c r="CJ293" s="16"/>
      <c r="CM293" s="14"/>
      <c r="CN293" s="14"/>
      <c r="CO293" s="14"/>
      <c r="CP293" s="14"/>
      <c r="CQ293" s="14"/>
      <c r="CR293" s="14"/>
      <c r="CS293" s="14"/>
      <c r="CT293" s="14"/>
      <c r="CU293" s="14"/>
      <c r="CV293" s="14"/>
    </row>
    <row r="294" spans="1:100" x14ac:dyDescent="0.2">
      <c r="A294" s="14"/>
      <c r="B294" s="14"/>
      <c r="C294" s="14"/>
      <c r="D294" s="14"/>
      <c r="E294" s="14"/>
      <c r="F294" s="14"/>
      <c r="G294" s="14"/>
      <c r="H294" s="14"/>
      <c r="I294" s="14"/>
      <c r="J294" s="14"/>
      <c r="K294" s="14"/>
      <c r="L294" s="15"/>
      <c r="M294" s="14"/>
      <c r="N294" s="14"/>
      <c r="O294" s="14"/>
      <c r="P294" s="14"/>
      <c r="Q294" s="16"/>
      <c r="R294" s="14"/>
      <c r="Z294" s="16"/>
      <c r="AC294" s="14"/>
      <c r="AD294" s="14"/>
      <c r="AE294" s="14"/>
      <c r="AF294" s="14"/>
      <c r="AG294" s="14"/>
      <c r="AH294" s="14"/>
      <c r="AI294" s="14"/>
      <c r="AJ294" s="14"/>
      <c r="AK294" s="14"/>
      <c r="AL294" s="14"/>
      <c r="AS294" s="14"/>
      <c r="AT294" s="14"/>
      <c r="AU294" s="14"/>
      <c r="AV294" s="14"/>
      <c r="AW294" s="14"/>
      <c r="AX294" s="14"/>
      <c r="AY294" s="14"/>
      <c r="BA294" s="14"/>
      <c r="BE294" s="16"/>
      <c r="BH294" s="14"/>
      <c r="BI294" s="14"/>
      <c r="BJ294" s="14"/>
      <c r="BK294" s="14"/>
      <c r="BL294" s="14"/>
      <c r="BM294" s="14"/>
      <c r="BN294" s="14"/>
      <c r="BO294" s="14"/>
      <c r="BP294" s="14"/>
      <c r="BQ294" s="14"/>
      <c r="BX294" s="14"/>
      <c r="BY294" s="14"/>
      <c r="BZ294" s="14"/>
      <c r="CA294" s="14"/>
      <c r="CB294" s="14"/>
      <c r="CC294" s="14"/>
      <c r="CD294" s="14"/>
      <c r="CF294" s="14"/>
      <c r="CJ294" s="16"/>
      <c r="CM294" s="14"/>
      <c r="CN294" s="14"/>
      <c r="CO294" s="14"/>
      <c r="CP294" s="14"/>
      <c r="CQ294" s="14"/>
      <c r="CR294" s="14"/>
      <c r="CS294" s="14"/>
      <c r="CT294" s="14"/>
      <c r="CU294" s="14"/>
      <c r="CV294" s="14"/>
    </row>
    <row r="295" spans="1:100" x14ac:dyDescent="0.2">
      <c r="A295" s="14"/>
      <c r="B295" s="14"/>
      <c r="C295" s="14"/>
      <c r="D295" s="14"/>
      <c r="E295" s="14"/>
      <c r="F295" s="14"/>
      <c r="G295" s="14"/>
      <c r="H295" s="14"/>
      <c r="I295" s="14"/>
      <c r="J295" s="14"/>
      <c r="K295" s="14"/>
      <c r="L295" s="15"/>
      <c r="M295" s="14"/>
      <c r="N295" s="14"/>
      <c r="O295" s="14"/>
      <c r="P295" s="14"/>
      <c r="Q295" s="16"/>
      <c r="R295" s="14"/>
      <c r="Z295" s="16"/>
      <c r="AC295" s="14"/>
      <c r="AD295" s="14"/>
      <c r="AE295" s="14"/>
      <c r="AF295" s="14"/>
      <c r="AG295" s="14"/>
      <c r="AH295" s="14"/>
      <c r="AI295" s="14"/>
      <c r="AJ295" s="14"/>
      <c r="AK295" s="14"/>
      <c r="AL295" s="14"/>
      <c r="AS295" s="14"/>
      <c r="AT295" s="14"/>
      <c r="AU295" s="14"/>
      <c r="AV295" s="14"/>
      <c r="AW295" s="14"/>
      <c r="AX295" s="14"/>
      <c r="AY295" s="14"/>
      <c r="BA295" s="14"/>
      <c r="BE295" s="16"/>
      <c r="BH295" s="14"/>
      <c r="BI295" s="14"/>
      <c r="BJ295" s="14"/>
      <c r="BK295" s="14"/>
      <c r="BL295" s="14"/>
      <c r="BM295" s="14"/>
      <c r="BN295" s="14"/>
      <c r="BO295" s="14"/>
      <c r="BP295" s="14"/>
      <c r="BQ295" s="14"/>
      <c r="BX295" s="14"/>
      <c r="BY295" s="14"/>
      <c r="BZ295" s="14"/>
      <c r="CA295" s="14"/>
      <c r="CB295" s="14"/>
      <c r="CC295" s="14"/>
      <c r="CD295" s="14"/>
      <c r="CF295" s="14"/>
      <c r="CJ295" s="16"/>
      <c r="CM295" s="14"/>
      <c r="CN295" s="14"/>
      <c r="CO295" s="14"/>
      <c r="CP295" s="14"/>
      <c r="CQ295" s="14"/>
      <c r="CR295" s="14"/>
      <c r="CS295" s="14"/>
      <c r="CT295" s="14"/>
      <c r="CU295" s="14"/>
      <c r="CV295" s="14"/>
    </row>
    <row r="296" spans="1:100" x14ac:dyDescent="0.2">
      <c r="A296" s="14"/>
      <c r="B296" s="14"/>
      <c r="C296" s="14"/>
      <c r="D296" s="14"/>
      <c r="E296" s="14"/>
      <c r="F296" s="14"/>
      <c r="G296" s="14"/>
      <c r="H296" s="14"/>
      <c r="I296" s="14"/>
      <c r="J296" s="14"/>
      <c r="K296" s="14"/>
      <c r="L296" s="15"/>
      <c r="M296" s="14"/>
      <c r="N296" s="14"/>
      <c r="O296" s="14"/>
      <c r="P296" s="14"/>
      <c r="Q296" s="16"/>
      <c r="R296" s="14"/>
      <c r="Z296" s="16"/>
      <c r="AC296" s="14"/>
      <c r="AD296" s="14"/>
      <c r="AE296" s="14"/>
      <c r="AF296" s="14"/>
      <c r="AG296" s="14"/>
      <c r="AH296" s="14"/>
      <c r="AI296" s="14"/>
      <c r="AJ296" s="14"/>
      <c r="AK296" s="14"/>
      <c r="AL296" s="14"/>
      <c r="AS296" s="14"/>
      <c r="AT296" s="14"/>
      <c r="AU296" s="14"/>
      <c r="AV296" s="14"/>
      <c r="AW296" s="14"/>
      <c r="AX296" s="14"/>
      <c r="AY296" s="14"/>
      <c r="BA296" s="14"/>
      <c r="BE296" s="16"/>
      <c r="BH296" s="14"/>
      <c r="BI296" s="14"/>
      <c r="BJ296" s="14"/>
      <c r="BK296" s="14"/>
      <c r="BL296" s="14"/>
      <c r="BM296" s="14"/>
      <c r="BN296" s="14"/>
      <c r="BO296" s="14"/>
      <c r="BP296" s="14"/>
      <c r="BQ296" s="14"/>
      <c r="BX296" s="14"/>
      <c r="BY296" s="14"/>
      <c r="BZ296" s="14"/>
      <c r="CA296" s="14"/>
      <c r="CB296" s="14"/>
      <c r="CC296" s="14"/>
      <c r="CD296" s="14"/>
      <c r="CF296" s="14"/>
      <c r="CJ296" s="16"/>
      <c r="CM296" s="14"/>
      <c r="CN296" s="14"/>
      <c r="CO296" s="14"/>
      <c r="CP296" s="14"/>
      <c r="CQ296" s="14"/>
      <c r="CR296" s="14"/>
      <c r="CS296" s="14"/>
      <c r="CT296" s="14"/>
      <c r="CU296" s="14"/>
      <c r="CV296" s="14"/>
    </row>
    <row r="297" spans="1:100" x14ac:dyDescent="0.2">
      <c r="A297" s="14"/>
      <c r="B297" s="14"/>
      <c r="C297" s="14"/>
      <c r="D297" s="14"/>
      <c r="E297" s="14"/>
      <c r="F297" s="14"/>
      <c r="G297" s="14"/>
      <c r="H297" s="14"/>
      <c r="I297" s="14"/>
      <c r="J297" s="14"/>
      <c r="K297" s="14"/>
      <c r="L297" s="15"/>
      <c r="M297" s="14"/>
      <c r="N297" s="14"/>
      <c r="O297" s="14"/>
      <c r="P297" s="14"/>
      <c r="Q297" s="16"/>
      <c r="R297" s="14"/>
      <c r="Z297" s="16"/>
      <c r="AC297" s="14"/>
      <c r="AD297" s="14"/>
      <c r="AE297" s="14"/>
      <c r="AF297" s="14"/>
      <c r="AG297" s="14"/>
      <c r="AH297" s="14"/>
      <c r="AI297" s="14"/>
      <c r="AJ297" s="14"/>
      <c r="AK297" s="14"/>
      <c r="AL297" s="14"/>
      <c r="AS297" s="14"/>
      <c r="AT297" s="14"/>
      <c r="AU297" s="14"/>
      <c r="AV297" s="14"/>
      <c r="AW297" s="14"/>
      <c r="AX297" s="14"/>
      <c r="AY297" s="14"/>
      <c r="BA297" s="14"/>
      <c r="BE297" s="16"/>
      <c r="BH297" s="14"/>
      <c r="BI297" s="14"/>
      <c r="BJ297" s="14"/>
      <c r="BK297" s="14"/>
      <c r="BL297" s="14"/>
      <c r="BM297" s="14"/>
      <c r="BN297" s="14"/>
      <c r="BO297" s="14"/>
      <c r="BP297" s="14"/>
      <c r="BQ297" s="14"/>
      <c r="BX297" s="14"/>
      <c r="BY297" s="14"/>
      <c r="BZ297" s="14"/>
      <c r="CA297" s="14"/>
      <c r="CB297" s="14"/>
      <c r="CC297" s="14"/>
      <c r="CD297" s="14"/>
      <c r="CF297" s="14"/>
      <c r="CJ297" s="16"/>
      <c r="CM297" s="14"/>
      <c r="CN297" s="14"/>
      <c r="CO297" s="14"/>
      <c r="CP297" s="14"/>
      <c r="CQ297" s="14"/>
      <c r="CR297" s="14"/>
      <c r="CS297" s="14"/>
      <c r="CT297" s="14"/>
      <c r="CU297" s="14"/>
      <c r="CV297" s="14"/>
    </row>
    <row r="298" spans="1:100" x14ac:dyDescent="0.2">
      <c r="A298" s="14"/>
      <c r="B298" s="14"/>
      <c r="C298" s="14"/>
      <c r="D298" s="14"/>
      <c r="E298" s="14"/>
      <c r="F298" s="14"/>
      <c r="G298" s="14"/>
      <c r="H298" s="14"/>
      <c r="I298" s="14"/>
      <c r="J298" s="14"/>
      <c r="K298" s="14"/>
      <c r="L298" s="15"/>
      <c r="M298" s="14"/>
      <c r="N298" s="14"/>
      <c r="O298" s="14"/>
      <c r="P298" s="14"/>
      <c r="Q298" s="16"/>
      <c r="R298" s="14"/>
      <c r="Z298" s="16"/>
      <c r="AC298" s="14"/>
      <c r="AD298" s="14"/>
      <c r="AE298" s="14"/>
      <c r="AF298" s="14"/>
      <c r="AG298" s="14"/>
      <c r="AH298" s="14"/>
      <c r="AI298" s="14"/>
      <c r="AJ298" s="14"/>
      <c r="AK298" s="14"/>
      <c r="AL298" s="14"/>
      <c r="AS298" s="14"/>
      <c r="AT298" s="14"/>
      <c r="AU298" s="14"/>
      <c r="AV298" s="14"/>
      <c r="AW298" s="14"/>
      <c r="AX298" s="14"/>
      <c r="AY298" s="14"/>
      <c r="BA298" s="14"/>
      <c r="BE298" s="16"/>
      <c r="BH298" s="14"/>
      <c r="BI298" s="14"/>
      <c r="BJ298" s="14"/>
      <c r="BK298" s="14"/>
      <c r="BL298" s="14"/>
      <c r="BM298" s="14"/>
      <c r="BN298" s="14"/>
      <c r="BO298" s="14"/>
      <c r="BP298" s="14"/>
      <c r="BQ298" s="14"/>
      <c r="BX298" s="14"/>
      <c r="BY298" s="14"/>
      <c r="BZ298" s="14"/>
      <c r="CA298" s="14"/>
      <c r="CB298" s="14"/>
      <c r="CC298" s="14"/>
      <c r="CD298" s="14"/>
      <c r="CF298" s="14"/>
      <c r="CJ298" s="16"/>
      <c r="CM298" s="14"/>
      <c r="CN298" s="14"/>
      <c r="CO298" s="14"/>
      <c r="CP298" s="14"/>
      <c r="CQ298" s="14"/>
      <c r="CR298" s="14"/>
      <c r="CS298" s="14"/>
      <c r="CT298" s="14"/>
      <c r="CU298" s="14"/>
      <c r="CV298" s="14"/>
    </row>
    <row r="299" spans="1:100" x14ac:dyDescent="0.2">
      <c r="A299" s="14"/>
      <c r="B299" s="14"/>
      <c r="C299" s="14"/>
      <c r="D299" s="14"/>
      <c r="E299" s="14"/>
      <c r="F299" s="14"/>
      <c r="G299" s="14"/>
      <c r="H299" s="14"/>
      <c r="I299" s="14"/>
      <c r="J299" s="14"/>
      <c r="K299" s="14"/>
      <c r="L299" s="15"/>
      <c r="M299" s="14"/>
      <c r="N299" s="14"/>
      <c r="O299" s="14"/>
      <c r="P299" s="14"/>
      <c r="Q299" s="16"/>
      <c r="R299" s="14"/>
      <c r="Z299" s="16"/>
      <c r="AC299" s="14"/>
      <c r="AD299" s="14"/>
      <c r="AE299" s="14"/>
      <c r="AF299" s="14"/>
      <c r="AG299" s="14"/>
      <c r="AH299" s="14"/>
      <c r="AI299" s="14"/>
      <c r="AJ299" s="14"/>
      <c r="AK299" s="14"/>
      <c r="AL299" s="14"/>
      <c r="AS299" s="14"/>
      <c r="AT299" s="14"/>
      <c r="AU299" s="14"/>
      <c r="AV299" s="14"/>
      <c r="AW299" s="14"/>
      <c r="AX299" s="14"/>
      <c r="AY299" s="14"/>
      <c r="BA299" s="14"/>
      <c r="BE299" s="16"/>
      <c r="BH299" s="14"/>
      <c r="BI299" s="14"/>
      <c r="BJ299" s="14"/>
      <c r="BK299" s="14"/>
      <c r="BL299" s="14"/>
      <c r="BM299" s="14"/>
      <c r="BN299" s="14"/>
      <c r="BO299" s="14"/>
      <c r="BP299" s="14"/>
      <c r="BQ299" s="14"/>
      <c r="BX299" s="14"/>
      <c r="BY299" s="14"/>
      <c r="BZ299" s="14"/>
      <c r="CA299" s="14"/>
      <c r="CB299" s="14"/>
      <c r="CC299" s="14"/>
      <c r="CD299" s="14"/>
      <c r="CF299" s="14"/>
      <c r="CJ299" s="16"/>
      <c r="CM299" s="14"/>
      <c r="CN299" s="14"/>
      <c r="CO299" s="14"/>
      <c r="CP299" s="14"/>
      <c r="CQ299" s="14"/>
      <c r="CR299" s="14"/>
      <c r="CS299" s="14"/>
      <c r="CT299" s="14"/>
      <c r="CU299" s="14"/>
      <c r="CV299" s="14"/>
    </row>
    <row r="300" spans="1:100" x14ac:dyDescent="0.2">
      <c r="A300" s="14"/>
      <c r="B300" s="14"/>
      <c r="C300" s="14"/>
      <c r="D300" s="14"/>
      <c r="E300" s="14"/>
      <c r="F300" s="14"/>
      <c r="G300" s="14"/>
      <c r="H300" s="14"/>
      <c r="I300" s="14"/>
      <c r="J300" s="14"/>
      <c r="K300" s="14"/>
      <c r="L300" s="15"/>
      <c r="M300" s="14"/>
      <c r="N300" s="14"/>
      <c r="O300" s="14"/>
      <c r="P300" s="14"/>
      <c r="Q300" s="16"/>
      <c r="R300" s="14"/>
      <c r="Z300" s="16"/>
      <c r="AC300" s="14"/>
      <c r="AD300" s="14"/>
      <c r="AE300" s="14"/>
      <c r="AF300" s="14"/>
      <c r="AG300" s="14"/>
      <c r="AH300" s="14"/>
      <c r="AI300" s="14"/>
      <c r="AJ300" s="14"/>
      <c r="AK300" s="14"/>
      <c r="AL300" s="14"/>
      <c r="AS300" s="14"/>
      <c r="AT300" s="14"/>
      <c r="AU300" s="14"/>
      <c r="AV300" s="14"/>
      <c r="AW300" s="14"/>
      <c r="AX300" s="14"/>
      <c r="AY300" s="14"/>
      <c r="BA300" s="14"/>
      <c r="BE300" s="16"/>
      <c r="BH300" s="14"/>
      <c r="BI300" s="14"/>
      <c r="BJ300" s="14"/>
      <c r="BK300" s="14"/>
      <c r="BL300" s="14"/>
      <c r="BM300" s="14"/>
      <c r="BN300" s="14"/>
      <c r="BO300" s="14"/>
      <c r="BP300" s="14"/>
      <c r="BQ300" s="14"/>
      <c r="BX300" s="14"/>
      <c r="BY300" s="14"/>
      <c r="BZ300" s="14"/>
      <c r="CA300" s="14"/>
      <c r="CB300" s="14"/>
      <c r="CC300" s="14"/>
      <c r="CD300" s="14"/>
      <c r="CF300" s="14"/>
      <c r="CJ300" s="16"/>
      <c r="CM300" s="14"/>
      <c r="CN300" s="14"/>
      <c r="CO300" s="14"/>
      <c r="CP300" s="14"/>
      <c r="CQ300" s="14"/>
      <c r="CR300" s="14"/>
      <c r="CS300" s="14"/>
      <c r="CT300" s="14"/>
      <c r="CU300" s="14"/>
      <c r="CV300" s="14"/>
    </row>
    <row r="301" spans="1:100" x14ac:dyDescent="0.2">
      <c r="A301" s="14"/>
      <c r="B301" s="14"/>
      <c r="C301" s="14"/>
      <c r="D301" s="14"/>
      <c r="E301" s="14"/>
      <c r="F301" s="14"/>
      <c r="G301" s="14"/>
      <c r="H301" s="14"/>
      <c r="I301" s="14"/>
      <c r="J301" s="14"/>
      <c r="K301" s="14"/>
      <c r="L301" s="15"/>
      <c r="M301" s="14"/>
      <c r="N301" s="14"/>
      <c r="O301" s="14"/>
      <c r="P301" s="14"/>
      <c r="Q301" s="16"/>
      <c r="R301" s="14"/>
      <c r="Z301" s="16"/>
      <c r="AC301" s="14"/>
      <c r="AD301" s="14"/>
      <c r="AE301" s="14"/>
      <c r="AF301" s="14"/>
      <c r="AG301" s="14"/>
      <c r="AH301" s="14"/>
      <c r="AI301" s="14"/>
      <c r="AJ301" s="14"/>
      <c r="AK301" s="14"/>
      <c r="AL301" s="14"/>
      <c r="AS301" s="14"/>
      <c r="AT301" s="14"/>
      <c r="AU301" s="14"/>
      <c r="AV301" s="14"/>
      <c r="AW301" s="14"/>
      <c r="AX301" s="14"/>
      <c r="AY301" s="14"/>
      <c r="BA301" s="14"/>
      <c r="BE301" s="16"/>
      <c r="BH301" s="14"/>
      <c r="BI301" s="14"/>
      <c r="BJ301" s="14"/>
      <c r="BK301" s="14"/>
      <c r="BL301" s="14"/>
      <c r="BM301" s="14"/>
      <c r="BN301" s="14"/>
      <c r="BO301" s="14"/>
      <c r="BP301" s="14"/>
      <c r="BQ301" s="14"/>
      <c r="BX301" s="14"/>
      <c r="BY301" s="14"/>
      <c r="BZ301" s="14"/>
      <c r="CA301" s="14"/>
      <c r="CB301" s="14"/>
      <c r="CC301" s="14"/>
      <c r="CD301" s="14"/>
      <c r="CF301" s="14"/>
      <c r="CJ301" s="16"/>
      <c r="CM301" s="14"/>
      <c r="CN301" s="14"/>
      <c r="CO301" s="14"/>
      <c r="CP301" s="14"/>
      <c r="CQ301" s="14"/>
      <c r="CR301" s="14"/>
      <c r="CS301" s="14"/>
      <c r="CT301" s="14"/>
      <c r="CU301" s="14"/>
      <c r="CV301" s="14"/>
    </row>
    <row r="302" spans="1:100" x14ac:dyDescent="0.2">
      <c r="A302" s="14"/>
      <c r="B302" s="14"/>
      <c r="C302" s="14"/>
      <c r="D302" s="14"/>
      <c r="E302" s="14"/>
      <c r="F302" s="14"/>
      <c r="G302" s="14"/>
      <c r="H302" s="14"/>
      <c r="I302" s="14"/>
      <c r="J302" s="14"/>
      <c r="K302" s="14"/>
      <c r="L302" s="15"/>
      <c r="M302" s="14"/>
      <c r="N302" s="14"/>
      <c r="O302" s="14"/>
      <c r="P302" s="14"/>
      <c r="Q302" s="16"/>
      <c r="R302" s="14"/>
      <c r="Z302" s="16"/>
      <c r="AC302" s="14"/>
      <c r="AD302" s="14"/>
      <c r="AE302" s="14"/>
      <c r="AF302" s="14"/>
      <c r="AG302" s="14"/>
      <c r="AH302" s="14"/>
      <c r="AI302" s="14"/>
      <c r="AJ302" s="14"/>
      <c r="AK302" s="14"/>
      <c r="AL302" s="14"/>
      <c r="AS302" s="14"/>
      <c r="AT302" s="14"/>
      <c r="AU302" s="14"/>
      <c r="AV302" s="14"/>
      <c r="AW302" s="14"/>
      <c r="AX302" s="14"/>
      <c r="AY302" s="14"/>
      <c r="BA302" s="14"/>
      <c r="BE302" s="16"/>
      <c r="BH302" s="14"/>
      <c r="BI302" s="14"/>
      <c r="BJ302" s="14"/>
      <c r="BK302" s="14"/>
      <c r="BL302" s="14"/>
      <c r="BM302" s="14"/>
      <c r="BN302" s="14"/>
      <c r="BO302" s="14"/>
      <c r="BP302" s="14"/>
      <c r="BQ302" s="14"/>
      <c r="BX302" s="14"/>
      <c r="BY302" s="14"/>
      <c r="BZ302" s="14"/>
      <c r="CA302" s="14"/>
      <c r="CB302" s="14"/>
      <c r="CC302" s="14"/>
      <c r="CD302" s="14"/>
      <c r="CF302" s="14"/>
      <c r="CJ302" s="16"/>
      <c r="CM302" s="14"/>
      <c r="CN302" s="14"/>
      <c r="CO302" s="14"/>
      <c r="CP302" s="14"/>
      <c r="CQ302" s="14"/>
      <c r="CR302" s="14"/>
      <c r="CS302" s="14"/>
      <c r="CT302" s="14"/>
      <c r="CU302" s="14"/>
      <c r="CV302" s="14"/>
    </row>
    <row r="303" spans="1:100" x14ac:dyDescent="0.2">
      <c r="A303" s="14"/>
      <c r="B303" s="14"/>
      <c r="C303" s="14"/>
      <c r="D303" s="14"/>
      <c r="E303" s="14"/>
      <c r="F303" s="14"/>
      <c r="G303" s="14"/>
      <c r="H303" s="14"/>
      <c r="I303" s="14"/>
      <c r="J303" s="14"/>
      <c r="K303" s="14"/>
      <c r="L303" s="15"/>
      <c r="M303" s="14"/>
      <c r="N303" s="14"/>
      <c r="O303" s="14"/>
      <c r="P303" s="14"/>
      <c r="Q303" s="16"/>
      <c r="R303" s="14"/>
      <c r="Z303" s="16"/>
      <c r="AC303" s="14"/>
      <c r="AD303" s="14"/>
      <c r="AE303" s="14"/>
      <c r="AF303" s="14"/>
      <c r="AG303" s="14"/>
      <c r="AH303" s="14"/>
      <c r="AI303" s="14"/>
      <c r="AJ303" s="14"/>
      <c r="AK303" s="14"/>
      <c r="AL303" s="14"/>
      <c r="AS303" s="14"/>
      <c r="AT303" s="14"/>
      <c r="AU303" s="14"/>
      <c r="AV303" s="14"/>
      <c r="AW303" s="14"/>
      <c r="AX303" s="14"/>
      <c r="AY303" s="14"/>
      <c r="BA303" s="14"/>
      <c r="BE303" s="16"/>
      <c r="BH303" s="14"/>
      <c r="BI303" s="14"/>
      <c r="BJ303" s="14"/>
      <c r="BK303" s="14"/>
      <c r="BL303" s="14"/>
      <c r="BM303" s="14"/>
      <c r="BN303" s="14"/>
      <c r="BO303" s="14"/>
      <c r="BP303" s="14"/>
      <c r="BQ303" s="14"/>
      <c r="BX303" s="14"/>
      <c r="BY303" s="14"/>
      <c r="BZ303" s="14"/>
      <c r="CA303" s="14"/>
      <c r="CB303" s="14"/>
      <c r="CC303" s="14"/>
      <c r="CD303" s="14"/>
      <c r="CF303" s="14"/>
      <c r="CJ303" s="16"/>
      <c r="CM303" s="14"/>
      <c r="CN303" s="14"/>
      <c r="CO303" s="14"/>
      <c r="CP303" s="14"/>
      <c r="CQ303" s="14"/>
      <c r="CR303" s="14"/>
      <c r="CS303" s="14"/>
      <c r="CT303" s="14"/>
      <c r="CU303" s="14"/>
      <c r="CV303" s="14"/>
    </row>
    <row r="304" spans="1:100" x14ac:dyDescent="0.2">
      <c r="A304" s="14"/>
      <c r="B304" s="14"/>
      <c r="C304" s="14"/>
      <c r="D304" s="14"/>
      <c r="E304" s="14"/>
      <c r="F304" s="14"/>
      <c r="G304" s="14"/>
      <c r="H304" s="14"/>
      <c r="I304" s="14"/>
      <c r="J304" s="14"/>
      <c r="K304" s="14"/>
      <c r="L304" s="15"/>
      <c r="M304" s="14"/>
      <c r="N304" s="14"/>
      <c r="O304" s="14"/>
      <c r="P304" s="14"/>
      <c r="Q304" s="16"/>
      <c r="R304" s="14"/>
      <c r="Z304" s="16"/>
      <c r="AC304" s="14"/>
      <c r="AD304" s="14"/>
      <c r="AE304" s="14"/>
      <c r="AF304" s="14"/>
      <c r="AG304" s="14"/>
      <c r="AH304" s="14"/>
      <c r="AI304" s="14"/>
      <c r="AJ304" s="14"/>
      <c r="AK304" s="14"/>
      <c r="AL304" s="14"/>
      <c r="AS304" s="14"/>
      <c r="AT304" s="14"/>
      <c r="AU304" s="14"/>
      <c r="AV304" s="14"/>
      <c r="AW304" s="14"/>
      <c r="AX304" s="14"/>
      <c r="AY304" s="14"/>
      <c r="BA304" s="14"/>
      <c r="BE304" s="16"/>
      <c r="BH304" s="14"/>
      <c r="BI304" s="14"/>
      <c r="BJ304" s="14"/>
      <c r="BK304" s="14"/>
      <c r="BL304" s="14"/>
      <c r="BM304" s="14"/>
      <c r="BN304" s="14"/>
      <c r="BO304" s="14"/>
      <c r="BP304" s="14"/>
      <c r="BQ304" s="14"/>
      <c r="BX304" s="14"/>
      <c r="BY304" s="14"/>
      <c r="BZ304" s="14"/>
      <c r="CA304" s="14"/>
      <c r="CB304" s="14"/>
      <c r="CC304" s="14"/>
      <c r="CD304" s="14"/>
      <c r="CF304" s="14"/>
      <c r="CJ304" s="16"/>
      <c r="CM304" s="14"/>
      <c r="CN304" s="14"/>
      <c r="CO304" s="14"/>
      <c r="CP304" s="14"/>
      <c r="CQ304" s="14"/>
      <c r="CR304" s="14"/>
      <c r="CS304" s="14"/>
      <c r="CT304" s="14"/>
      <c r="CU304" s="14"/>
      <c r="CV304" s="14"/>
    </row>
    <row r="305" spans="1:100" x14ac:dyDescent="0.2">
      <c r="A305" s="14"/>
      <c r="B305" s="14"/>
      <c r="C305" s="14"/>
      <c r="D305" s="14"/>
      <c r="E305" s="14"/>
      <c r="F305" s="14"/>
      <c r="G305" s="14"/>
      <c r="H305" s="14"/>
      <c r="I305" s="14"/>
      <c r="J305" s="14"/>
      <c r="K305" s="14"/>
      <c r="L305" s="15"/>
      <c r="M305" s="14"/>
      <c r="N305" s="14"/>
      <c r="O305" s="14"/>
      <c r="P305" s="14"/>
      <c r="Q305" s="16"/>
      <c r="R305" s="14"/>
      <c r="Z305" s="16"/>
      <c r="AC305" s="14"/>
      <c r="AD305" s="14"/>
      <c r="AE305" s="14"/>
      <c r="AF305" s="14"/>
      <c r="AG305" s="14"/>
      <c r="AH305" s="14"/>
      <c r="AI305" s="14"/>
      <c r="AJ305" s="14"/>
      <c r="AK305" s="14"/>
      <c r="AL305" s="14"/>
      <c r="AS305" s="14"/>
      <c r="AT305" s="14"/>
      <c r="AU305" s="14"/>
      <c r="AV305" s="14"/>
      <c r="AW305" s="14"/>
      <c r="AX305" s="14"/>
      <c r="AY305" s="14"/>
      <c r="BA305" s="14"/>
      <c r="BE305" s="16"/>
      <c r="BH305" s="14"/>
      <c r="BI305" s="14"/>
      <c r="BJ305" s="14"/>
      <c r="BK305" s="14"/>
      <c r="BL305" s="14"/>
      <c r="BM305" s="14"/>
      <c r="BN305" s="14"/>
      <c r="BO305" s="14"/>
      <c r="BP305" s="14"/>
      <c r="BQ305" s="14"/>
      <c r="BX305" s="14"/>
      <c r="BY305" s="14"/>
      <c r="BZ305" s="14"/>
      <c r="CA305" s="14"/>
      <c r="CB305" s="14"/>
      <c r="CC305" s="14"/>
      <c r="CD305" s="14"/>
      <c r="CF305" s="14"/>
      <c r="CJ305" s="16"/>
      <c r="CM305" s="14"/>
      <c r="CN305" s="14"/>
      <c r="CO305" s="14"/>
      <c r="CP305" s="14"/>
      <c r="CQ305" s="14"/>
      <c r="CR305" s="14"/>
      <c r="CS305" s="14"/>
      <c r="CT305" s="14"/>
      <c r="CU305" s="14"/>
      <c r="CV305" s="14"/>
    </row>
    <row r="306" spans="1:100" x14ac:dyDescent="0.2">
      <c r="A306" s="14"/>
      <c r="B306" s="14"/>
      <c r="C306" s="14"/>
      <c r="D306" s="14"/>
      <c r="E306" s="14"/>
      <c r="F306" s="14"/>
      <c r="G306" s="14"/>
      <c r="H306" s="14"/>
      <c r="I306" s="14"/>
      <c r="J306" s="14"/>
      <c r="K306" s="14"/>
      <c r="L306" s="15"/>
      <c r="M306" s="14"/>
      <c r="N306" s="14"/>
      <c r="O306" s="14"/>
      <c r="P306" s="14"/>
      <c r="Q306" s="16"/>
      <c r="R306" s="14"/>
      <c r="Z306" s="16"/>
      <c r="AC306" s="14"/>
      <c r="AD306" s="14"/>
      <c r="AE306" s="14"/>
      <c r="AF306" s="14"/>
      <c r="AG306" s="14"/>
      <c r="AH306" s="14"/>
      <c r="AI306" s="14"/>
      <c r="AJ306" s="14"/>
      <c r="AK306" s="14"/>
      <c r="AL306" s="14"/>
      <c r="AS306" s="14"/>
      <c r="AT306" s="14"/>
      <c r="AU306" s="14"/>
      <c r="AV306" s="14"/>
      <c r="AW306" s="14"/>
      <c r="AX306" s="14"/>
      <c r="AY306" s="14"/>
      <c r="BA306" s="14"/>
      <c r="BE306" s="16"/>
      <c r="BH306" s="14"/>
      <c r="BI306" s="14"/>
      <c r="BJ306" s="14"/>
      <c r="BK306" s="14"/>
      <c r="BL306" s="14"/>
      <c r="BM306" s="14"/>
      <c r="BN306" s="14"/>
      <c r="BO306" s="14"/>
      <c r="BP306" s="14"/>
      <c r="BQ306" s="14"/>
      <c r="BX306" s="14"/>
      <c r="BY306" s="14"/>
      <c r="BZ306" s="14"/>
      <c r="CA306" s="14"/>
      <c r="CB306" s="14"/>
      <c r="CC306" s="14"/>
      <c r="CD306" s="14"/>
      <c r="CF306" s="14"/>
      <c r="CJ306" s="16"/>
      <c r="CM306" s="14"/>
      <c r="CN306" s="14"/>
      <c r="CO306" s="14"/>
      <c r="CP306" s="14"/>
      <c r="CQ306" s="14"/>
      <c r="CR306" s="14"/>
      <c r="CS306" s="14"/>
      <c r="CT306" s="14"/>
      <c r="CU306" s="14"/>
      <c r="CV306" s="14"/>
    </row>
    <row r="307" spans="1:100" x14ac:dyDescent="0.2">
      <c r="A307" s="14"/>
      <c r="B307" s="14"/>
      <c r="C307" s="14"/>
      <c r="D307" s="14"/>
      <c r="E307" s="14"/>
      <c r="F307" s="14"/>
      <c r="G307" s="14"/>
      <c r="H307" s="14"/>
      <c r="I307" s="14"/>
      <c r="J307" s="14"/>
      <c r="K307" s="14"/>
      <c r="L307" s="15"/>
      <c r="M307" s="14"/>
      <c r="N307" s="14"/>
      <c r="O307" s="14"/>
      <c r="P307" s="14"/>
      <c r="Q307" s="16"/>
      <c r="R307" s="14"/>
      <c r="Z307" s="16"/>
      <c r="AC307" s="14"/>
      <c r="AD307" s="14"/>
      <c r="AE307" s="14"/>
      <c r="AF307" s="14"/>
      <c r="AG307" s="14"/>
      <c r="AH307" s="14"/>
      <c r="AI307" s="14"/>
      <c r="AJ307" s="14"/>
      <c r="AK307" s="14"/>
      <c r="AL307" s="14"/>
      <c r="AS307" s="14"/>
      <c r="AT307" s="14"/>
      <c r="AU307" s="14"/>
      <c r="AV307" s="14"/>
      <c r="AW307" s="14"/>
      <c r="AX307" s="14"/>
      <c r="AY307" s="14"/>
      <c r="BA307" s="14"/>
      <c r="BE307" s="16"/>
      <c r="BH307" s="14"/>
      <c r="BI307" s="14"/>
      <c r="BJ307" s="14"/>
      <c r="BK307" s="14"/>
      <c r="BL307" s="14"/>
      <c r="BM307" s="14"/>
      <c r="BN307" s="14"/>
      <c r="BO307" s="14"/>
      <c r="BP307" s="14"/>
      <c r="BQ307" s="14"/>
      <c r="BX307" s="14"/>
      <c r="BY307" s="14"/>
      <c r="BZ307" s="14"/>
      <c r="CA307" s="14"/>
      <c r="CB307" s="14"/>
      <c r="CC307" s="14"/>
      <c r="CD307" s="14"/>
      <c r="CF307" s="14"/>
      <c r="CJ307" s="16"/>
      <c r="CM307" s="14"/>
      <c r="CN307" s="14"/>
      <c r="CO307" s="14"/>
      <c r="CP307" s="14"/>
      <c r="CQ307" s="14"/>
      <c r="CR307" s="14"/>
      <c r="CS307" s="14"/>
      <c r="CT307" s="14"/>
      <c r="CU307" s="14"/>
      <c r="CV307" s="14"/>
    </row>
    <row r="308" spans="1:100" x14ac:dyDescent="0.2">
      <c r="A308" s="14"/>
      <c r="B308" s="14"/>
      <c r="C308" s="14"/>
      <c r="D308" s="14"/>
      <c r="E308" s="14"/>
      <c r="F308" s="14"/>
      <c r="G308" s="14"/>
      <c r="H308" s="14"/>
      <c r="I308" s="14"/>
      <c r="J308" s="14"/>
      <c r="K308" s="14"/>
      <c r="L308" s="15"/>
      <c r="M308" s="14"/>
      <c r="N308" s="14"/>
      <c r="O308" s="14"/>
      <c r="P308" s="14"/>
      <c r="Q308" s="16"/>
      <c r="R308" s="14"/>
      <c r="Z308" s="16"/>
      <c r="AC308" s="14"/>
      <c r="AD308" s="14"/>
      <c r="AE308" s="14"/>
      <c r="AF308" s="14"/>
      <c r="AG308" s="14"/>
      <c r="AH308" s="14"/>
      <c r="AI308" s="14"/>
      <c r="AJ308" s="14"/>
      <c r="AK308" s="14"/>
      <c r="AL308" s="14"/>
      <c r="AS308" s="14"/>
      <c r="AT308" s="14"/>
      <c r="AU308" s="14"/>
      <c r="AV308" s="14"/>
      <c r="AW308" s="14"/>
      <c r="AX308" s="14"/>
      <c r="AY308" s="14"/>
      <c r="BA308" s="14"/>
      <c r="BE308" s="16"/>
      <c r="BH308" s="14"/>
      <c r="BI308" s="14"/>
      <c r="BJ308" s="14"/>
      <c r="BK308" s="14"/>
      <c r="BL308" s="14"/>
      <c r="BM308" s="14"/>
      <c r="BN308" s="14"/>
      <c r="BO308" s="14"/>
      <c r="BP308" s="14"/>
      <c r="BQ308" s="14"/>
      <c r="BX308" s="14"/>
      <c r="BY308" s="14"/>
      <c r="BZ308" s="14"/>
      <c r="CA308" s="14"/>
      <c r="CB308" s="14"/>
      <c r="CC308" s="14"/>
      <c r="CD308" s="14"/>
      <c r="CF308" s="14"/>
      <c r="CJ308" s="16"/>
      <c r="CM308" s="14"/>
      <c r="CN308" s="14"/>
      <c r="CO308" s="14"/>
      <c r="CP308" s="14"/>
      <c r="CQ308" s="14"/>
      <c r="CR308" s="14"/>
      <c r="CS308" s="14"/>
      <c r="CT308" s="14"/>
      <c r="CU308" s="14"/>
      <c r="CV308" s="14"/>
    </row>
    <row r="309" spans="1:100" x14ac:dyDescent="0.2">
      <c r="A309" s="14"/>
      <c r="B309" s="14"/>
      <c r="C309" s="14"/>
      <c r="D309" s="14"/>
      <c r="E309" s="14"/>
      <c r="F309" s="14"/>
      <c r="G309" s="14"/>
      <c r="H309" s="14"/>
      <c r="I309" s="14"/>
      <c r="J309" s="14"/>
      <c r="K309" s="14"/>
      <c r="L309" s="15"/>
      <c r="M309" s="14"/>
      <c r="N309" s="14"/>
      <c r="O309" s="14"/>
      <c r="P309" s="14"/>
      <c r="Q309" s="16"/>
      <c r="R309" s="14"/>
      <c r="Z309" s="16"/>
      <c r="AC309" s="14"/>
      <c r="AD309" s="14"/>
      <c r="AE309" s="14"/>
      <c r="AF309" s="14"/>
      <c r="AG309" s="14"/>
      <c r="AH309" s="14"/>
      <c r="AI309" s="14"/>
      <c r="AJ309" s="14"/>
      <c r="AK309" s="14"/>
      <c r="AL309" s="14"/>
      <c r="AS309" s="14"/>
      <c r="AT309" s="14"/>
      <c r="AU309" s="14"/>
      <c r="AV309" s="14"/>
      <c r="AW309" s="14"/>
      <c r="AX309" s="14"/>
      <c r="AY309" s="14"/>
      <c r="BA309" s="14"/>
      <c r="BE309" s="16"/>
      <c r="BH309" s="14"/>
      <c r="BI309" s="14"/>
      <c r="BJ309" s="14"/>
      <c r="BK309" s="14"/>
      <c r="BL309" s="14"/>
      <c r="BM309" s="14"/>
      <c r="BN309" s="14"/>
      <c r="BO309" s="14"/>
      <c r="BP309" s="14"/>
      <c r="BQ309" s="14"/>
      <c r="BX309" s="14"/>
      <c r="BY309" s="14"/>
      <c r="BZ309" s="14"/>
      <c r="CA309" s="14"/>
      <c r="CB309" s="14"/>
      <c r="CC309" s="14"/>
      <c r="CD309" s="14"/>
      <c r="CF309" s="14"/>
      <c r="CJ309" s="16"/>
      <c r="CM309" s="14"/>
      <c r="CN309" s="14"/>
      <c r="CO309" s="14"/>
      <c r="CP309" s="14"/>
      <c r="CQ309" s="14"/>
      <c r="CR309" s="14"/>
      <c r="CS309" s="14"/>
      <c r="CT309" s="14"/>
      <c r="CU309" s="14"/>
      <c r="CV309" s="14"/>
    </row>
    <row r="310" spans="1:100" x14ac:dyDescent="0.2">
      <c r="A310" s="14"/>
      <c r="B310" s="14"/>
      <c r="C310" s="14"/>
      <c r="D310" s="14"/>
      <c r="E310" s="14"/>
      <c r="F310" s="14"/>
      <c r="G310" s="14"/>
      <c r="H310" s="14"/>
      <c r="I310" s="14"/>
      <c r="J310" s="14"/>
      <c r="K310" s="14"/>
      <c r="L310" s="15"/>
      <c r="M310" s="14"/>
      <c r="N310" s="14"/>
      <c r="O310" s="14"/>
      <c r="P310" s="14"/>
      <c r="Q310" s="16"/>
      <c r="R310" s="14"/>
      <c r="Z310" s="16"/>
      <c r="AC310" s="14"/>
      <c r="AD310" s="14"/>
      <c r="AE310" s="14"/>
      <c r="AF310" s="14"/>
      <c r="AG310" s="14"/>
      <c r="AH310" s="14"/>
      <c r="AI310" s="14"/>
      <c r="AJ310" s="14"/>
      <c r="AK310" s="14"/>
      <c r="AL310" s="14"/>
      <c r="AS310" s="14"/>
      <c r="AT310" s="14"/>
      <c r="AU310" s="14"/>
      <c r="AV310" s="14"/>
      <c r="AW310" s="14"/>
      <c r="AX310" s="14"/>
      <c r="AY310" s="14"/>
      <c r="BA310" s="14"/>
      <c r="BE310" s="16"/>
      <c r="BH310" s="14"/>
      <c r="BI310" s="14"/>
      <c r="BJ310" s="14"/>
      <c r="BK310" s="14"/>
      <c r="BL310" s="14"/>
      <c r="BM310" s="14"/>
      <c r="BN310" s="14"/>
      <c r="BO310" s="14"/>
      <c r="BP310" s="14"/>
      <c r="BQ310" s="14"/>
      <c r="BX310" s="14"/>
      <c r="BY310" s="14"/>
      <c r="BZ310" s="14"/>
      <c r="CA310" s="14"/>
      <c r="CB310" s="14"/>
      <c r="CC310" s="14"/>
      <c r="CD310" s="14"/>
      <c r="CF310" s="14"/>
      <c r="CJ310" s="16"/>
      <c r="CM310" s="14"/>
      <c r="CN310" s="14"/>
      <c r="CO310" s="14"/>
      <c r="CP310" s="14"/>
      <c r="CQ310" s="14"/>
      <c r="CR310" s="14"/>
      <c r="CS310" s="14"/>
      <c r="CT310" s="14"/>
      <c r="CU310" s="14"/>
      <c r="CV310" s="14"/>
    </row>
    <row r="311" spans="1:100" x14ac:dyDescent="0.2">
      <c r="A311" s="14"/>
      <c r="B311" s="14"/>
      <c r="C311" s="14"/>
      <c r="D311" s="14"/>
      <c r="E311" s="14"/>
      <c r="F311" s="14"/>
      <c r="G311" s="14"/>
      <c r="H311" s="14"/>
      <c r="I311" s="14"/>
      <c r="J311" s="14"/>
      <c r="K311" s="14"/>
      <c r="L311" s="15"/>
      <c r="M311" s="14"/>
      <c r="N311" s="14"/>
      <c r="O311" s="14"/>
      <c r="P311" s="14"/>
      <c r="Q311" s="16"/>
      <c r="R311" s="14"/>
      <c r="Z311" s="16"/>
      <c r="AC311" s="14"/>
      <c r="AD311" s="14"/>
      <c r="AE311" s="14"/>
      <c r="AF311" s="14"/>
      <c r="AG311" s="14"/>
      <c r="AH311" s="14"/>
      <c r="AI311" s="14"/>
      <c r="AJ311" s="14"/>
      <c r="AK311" s="14"/>
      <c r="AL311" s="14"/>
      <c r="AS311" s="14"/>
      <c r="AT311" s="14"/>
      <c r="AU311" s="14"/>
      <c r="AV311" s="14"/>
      <c r="AW311" s="14"/>
      <c r="AX311" s="14"/>
      <c r="AY311" s="14"/>
      <c r="BA311" s="14"/>
      <c r="BE311" s="16"/>
      <c r="BH311" s="14"/>
      <c r="BI311" s="14"/>
      <c r="BJ311" s="14"/>
      <c r="BK311" s="14"/>
      <c r="BL311" s="14"/>
      <c r="BM311" s="14"/>
      <c r="BN311" s="14"/>
      <c r="BO311" s="14"/>
      <c r="BP311" s="14"/>
      <c r="BQ311" s="14"/>
      <c r="BX311" s="14"/>
      <c r="BY311" s="14"/>
      <c r="BZ311" s="14"/>
      <c r="CA311" s="14"/>
      <c r="CB311" s="14"/>
      <c r="CC311" s="14"/>
      <c r="CD311" s="14"/>
      <c r="CF311" s="14"/>
      <c r="CJ311" s="16"/>
      <c r="CM311" s="14"/>
      <c r="CN311" s="14"/>
      <c r="CO311" s="14"/>
      <c r="CP311" s="14"/>
      <c r="CQ311" s="14"/>
      <c r="CR311" s="14"/>
      <c r="CS311" s="14"/>
      <c r="CT311" s="14"/>
      <c r="CU311" s="14"/>
      <c r="CV311" s="14"/>
    </row>
    <row r="312" spans="1:100" x14ac:dyDescent="0.2">
      <c r="A312" s="14"/>
      <c r="B312" s="14"/>
      <c r="C312" s="14"/>
      <c r="D312" s="14"/>
      <c r="E312" s="14"/>
      <c r="F312" s="14"/>
      <c r="G312" s="14"/>
      <c r="H312" s="14"/>
      <c r="I312" s="14"/>
      <c r="J312" s="14"/>
      <c r="K312" s="14"/>
      <c r="L312" s="15"/>
      <c r="M312" s="14"/>
      <c r="N312" s="14"/>
      <c r="O312" s="14"/>
      <c r="P312" s="14"/>
      <c r="Q312" s="16"/>
      <c r="R312" s="14"/>
      <c r="Z312" s="16"/>
      <c r="AC312" s="14"/>
      <c r="AD312" s="14"/>
      <c r="AE312" s="14"/>
      <c r="AF312" s="14"/>
      <c r="AG312" s="14"/>
      <c r="AH312" s="14"/>
      <c r="AI312" s="14"/>
      <c r="AJ312" s="14"/>
      <c r="AK312" s="14"/>
      <c r="AL312" s="14"/>
      <c r="AS312" s="14"/>
      <c r="AT312" s="14"/>
      <c r="AU312" s="14"/>
      <c r="AV312" s="14"/>
      <c r="AW312" s="14"/>
      <c r="AX312" s="14"/>
      <c r="AY312" s="14"/>
      <c r="BA312" s="14"/>
      <c r="BE312" s="16"/>
      <c r="BH312" s="14"/>
      <c r="BI312" s="14"/>
      <c r="BJ312" s="14"/>
      <c r="BK312" s="14"/>
      <c r="BL312" s="14"/>
      <c r="BM312" s="14"/>
      <c r="BN312" s="14"/>
      <c r="BO312" s="14"/>
      <c r="BP312" s="14"/>
      <c r="BQ312" s="14"/>
      <c r="BX312" s="14"/>
      <c r="BY312" s="14"/>
      <c r="BZ312" s="14"/>
      <c r="CA312" s="14"/>
      <c r="CB312" s="14"/>
      <c r="CC312" s="14"/>
      <c r="CD312" s="14"/>
      <c r="CF312" s="14"/>
      <c r="CJ312" s="16"/>
      <c r="CM312" s="14"/>
      <c r="CN312" s="14"/>
      <c r="CO312" s="14"/>
      <c r="CP312" s="14"/>
      <c r="CQ312" s="14"/>
      <c r="CR312" s="14"/>
      <c r="CS312" s="14"/>
      <c r="CT312" s="14"/>
      <c r="CU312" s="14"/>
      <c r="CV312" s="14"/>
    </row>
    <row r="313" spans="1:100" x14ac:dyDescent="0.2">
      <c r="A313" s="14"/>
      <c r="B313" s="14"/>
      <c r="C313" s="14"/>
      <c r="D313" s="14"/>
      <c r="E313" s="14"/>
      <c r="F313" s="14"/>
      <c r="G313" s="14"/>
      <c r="H313" s="14"/>
      <c r="I313" s="14"/>
      <c r="J313" s="14"/>
      <c r="K313" s="14"/>
      <c r="L313" s="15"/>
      <c r="M313" s="14"/>
      <c r="N313" s="14"/>
      <c r="O313" s="14"/>
      <c r="P313" s="14"/>
      <c r="Q313" s="16"/>
      <c r="R313" s="14"/>
      <c r="Z313" s="16"/>
      <c r="AC313" s="14"/>
      <c r="AD313" s="14"/>
      <c r="AE313" s="14"/>
      <c r="AF313" s="14"/>
      <c r="AG313" s="14"/>
      <c r="AH313" s="14"/>
      <c r="AI313" s="14"/>
      <c r="AJ313" s="14"/>
      <c r="AK313" s="14"/>
      <c r="AL313" s="14"/>
      <c r="AS313" s="14"/>
      <c r="AT313" s="14"/>
      <c r="AU313" s="14"/>
      <c r="AV313" s="14"/>
      <c r="AW313" s="14"/>
      <c r="AX313" s="14"/>
      <c r="AY313" s="14"/>
      <c r="BA313" s="14"/>
      <c r="BE313" s="16"/>
      <c r="BH313" s="14"/>
      <c r="BI313" s="14"/>
      <c r="BJ313" s="14"/>
      <c r="BK313" s="14"/>
      <c r="BL313" s="14"/>
      <c r="BM313" s="14"/>
      <c r="BN313" s="14"/>
      <c r="BO313" s="14"/>
      <c r="BP313" s="14"/>
      <c r="BQ313" s="14"/>
      <c r="BX313" s="14"/>
      <c r="BY313" s="14"/>
      <c r="BZ313" s="14"/>
      <c r="CA313" s="14"/>
      <c r="CB313" s="14"/>
      <c r="CC313" s="14"/>
      <c r="CD313" s="14"/>
      <c r="CF313" s="14"/>
      <c r="CJ313" s="16"/>
      <c r="CM313" s="14"/>
      <c r="CN313" s="14"/>
      <c r="CO313" s="14"/>
      <c r="CP313" s="14"/>
      <c r="CQ313" s="14"/>
      <c r="CR313" s="14"/>
      <c r="CS313" s="14"/>
      <c r="CT313" s="14"/>
      <c r="CU313" s="14"/>
      <c r="CV313" s="14"/>
    </row>
    <row r="314" spans="1:100" x14ac:dyDescent="0.2">
      <c r="A314" s="14"/>
      <c r="B314" s="14"/>
      <c r="C314" s="14"/>
      <c r="D314" s="14"/>
      <c r="E314" s="14"/>
      <c r="F314" s="14"/>
      <c r="G314" s="14"/>
      <c r="H314" s="14"/>
      <c r="I314" s="14"/>
      <c r="J314" s="14"/>
      <c r="K314" s="14"/>
      <c r="L314" s="15"/>
      <c r="M314" s="14"/>
      <c r="N314" s="14"/>
      <c r="O314" s="14"/>
      <c r="P314" s="14"/>
      <c r="Q314" s="16"/>
      <c r="R314" s="14"/>
      <c r="Z314" s="16"/>
      <c r="AC314" s="14"/>
      <c r="AD314" s="14"/>
      <c r="AE314" s="14"/>
      <c r="AF314" s="14"/>
      <c r="AG314" s="14"/>
      <c r="AH314" s="14"/>
      <c r="AI314" s="14"/>
      <c r="AJ314" s="14"/>
      <c r="AK314" s="14"/>
      <c r="AL314" s="14"/>
      <c r="AS314" s="14"/>
      <c r="AT314" s="14"/>
      <c r="AU314" s="14"/>
      <c r="AV314" s="14"/>
      <c r="AW314" s="14"/>
      <c r="AX314" s="14"/>
      <c r="AY314" s="14"/>
      <c r="BA314" s="14"/>
      <c r="BE314" s="16"/>
      <c r="BH314" s="14"/>
      <c r="BI314" s="14"/>
      <c r="BJ314" s="14"/>
      <c r="BK314" s="14"/>
      <c r="BL314" s="14"/>
      <c r="BM314" s="14"/>
      <c r="BN314" s="14"/>
      <c r="BO314" s="14"/>
      <c r="BP314" s="14"/>
      <c r="BQ314" s="14"/>
      <c r="BX314" s="14"/>
      <c r="BY314" s="14"/>
      <c r="BZ314" s="14"/>
      <c r="CA314" s="14"/>
      <c r="CB314" s="14"/>
      <c r="CC314" s="14"/>
      <c r="CD314" s="14"/>
      <c r="CF314" s="14"/>
      <c r="CJ314" s="16"/>
      <c r="CM314" s="14"/>
      <c r="CN314" s="14"/>
      <c r="CO314" s="14"/>
      <c r="CP314" s="14"/>
      <c r="CQ314" s="14"/>
      <c r="CR314" s="14"/>
      <c r="CS314" s="14"/>
      <c r="CT314" s="14"/>
      <c r="CU314" s="14"/>
      <c r="CV314" s="14"/>
    </row>
    <row r="315" spans="1:100" x14ac:dyDescent="0.2">
      <c r="A315" s="14"/>
      <c r="B315" s="14"/>
      <c r="C315" s="14"/>
      <c r="D315" s="14"/>
      <c r="E315" s="14"/>
      <c r="F315" s="14"/>
      <c r="G315" s="14"/>
      <c r="H315" s="14"/>
      <c r="I315" s="14"/>
      <c r="J315" s="14"/>
      <c r="K315" s="14"/>
      <c r="L315" s="15"/>
      <c r="M315" s="14"/>
      <c r="N315" s="14"/>
      <c r="O315" s="14"/>
      <c r="P315" s="14"/>
      <c r="Q315" s="16"/>
      <c r="R315" s="14"/>
      <c r="Z315" s="16"/>
      <c r="AC315" s="14"/>
      <c r="AD315" s="14"/>
      <c r="AE315" s="14"/>
      <c r="AF315" s="14"/>
      <c r="AG315" s="14"/>
      <c r="AH315" s="14"/>
      <c r="AI315" s="14"/>
      <c r="AJ315" s="14"/>
      <c r="AK315" s="14"/>
      <c r="AL315" s="14"/>
      <c r="AS315" s="14"/>
      <c r="AT315" s="14"/>
      <c r="AU315" s="14"/>
      <c r="AV315" s="14"/>
      <c r="AW315" s="14"/>
      <c r="AX315" s="14"/>
      <c r="AY315" s="14"/>
      <c r="BA315" s="14"/>
      <c r="BE315" s="16"/>
      <c r="BH315" s="14"/>
      <c r="BI315" s="14"/>
      <c r="BJ315" s="14"/>
      <c r="BK315" s="14"/>
      <c r="BL315" s="14"/>
      <c r="BM315" s="14"/>
      <c r="BN315" s="14"/>
      <c r="BO315" s="14"/>
      <c r="BP315" s="14"/>
      <c r="BQ315" s="14"/>
      <c r="BX315" s="14"/>
      <c r="BY315" s="14"/>
      <c r="BZ315" s="14"/>
      <c r="CA315" s="14"/>
      <c r="CB315" s="14"/>
      <c r="CC315" s="14"/>
      <c r="CD315" s="14"/>
      <c r="CF315" s="14"/>
      <c r="CJ315" s="16"/>
      <c r="CM315" s="14"/>
      <c r="CN315" s="14"/>
      <c r="CO315" s="14"/>
      <c r="CP315" s="14"/>
      <c r="CQ315" s="14"/>
      <c r="CR315" s="14"/>
      <c r="CS315" s="14"/>
      <c r="CT315" s="14"/>
      <c r="CU315" s="14"/>
      <c r="CV315" s="14"/>
    </row>
    <row r="316" spans="1:100" x14ac:dyDescent="0.2">
      <c r="A316" s="14"/>
      <c r="B316" s="14"/>
      <c r="C316" s="14"/>
      <c r="D316" s="14"/>
      <c r="E316" s="14"/>
      <c r="F316" s="14"/>
      <c r="G316" s="14"/>
      <c r="H316" s="14"/>
      <c r="I316" s="14"/>
      <c r="J316" s="14"/>
      <c r="K316" s="14"/>
      <c r="L316" s="15"/>
      <c r="M316" s="14"/>
      <c r="N316" s="14"/>
      <c r="O316" s="14"/>
      <c r="P316" s="14"/>
      <c r="Q316" s="16"/>
      <c r="R316" s="14"/>
      <c r="Z316" s="16"/>
      <c r="AC316" s="14"/>
      <c r="AD316" s="14"/>
      <c r="AE316" s="14"/>
      <c r="AF316" s="14"/>
      <c r="AG316" s="14"/>
      <c r="AH316" s="14"/>
      <c r="AI316" s="14"/>
      <c r="AJ316" s="14"/>
      <c r="AK316" s="14"/>
      <c r="AL316" s="14"/>
      <c r="AS316" s="14"/>
      <c r="AT316" s="14"/>
      <c r="AU316" s="14"/>
      <c r="AV316" s="14"/>
      <c r="AW316" s="14"/>
      <c r="AX316" s="14"/>
      <c r="AY316" s="14"/>
      <c r="BA316" s="14"/>
      <c r="BE316" s="16"/>
      <c r="BH316" s="14"/>
      <c r="BI316" s="14"/>
      <c r="BJ316" s="14"/>
      <c r="BK316" s="14"/>
      <c r="BL316" s="14"/>
      <c r="BM316" s="14"/>
      <c r="BN316" s="14"/>
      <c r="BO316" s="14"/>
      <c r="BP316" s="14"/>
      <c r="BQ316" s="14"/>
      <c r="BX316" s="14"/>
      <c r="BY316" s="14"/>
      <c r="BZ316" s="14"/>
      <c r="CA316" s="14"/>
      <c r="CB316" s="14"/>
      <c r="CC316" s="14"/>
      <c r="CD316" s="14"/>
      <c r="CF316" s="14"/>
      <c r="CJ316" s="16"/>
      <c r="CM316" s="14"/>
      <c r="CN316" s="14"/>
      <c r="CO316" s="14"/>
      <c r="CP316" s="14"/>
      <c r="CQ316" s="14"/>
      <c r="CR316" s="14"/>
      <c r="CS316" s="14"/>
      <c r="CT316" s="14"/>
      <c r="CU316" s="14"/>
      <c r="CV316" s="14"/>
    </row>
    <row r="317" spans="1:100" x14ac:dyDescent="0.2">
      <c r="A317" s="14"/>
      <c r="B317" s="14"/>
      <c r="C317" s="14"/>
      <c r="D317" s="14"/>
      <c r="E317" s="14"/>
      <c r="F317" s="14"/>
      <c r="G317" s="14"/>
      <c r="H317" s="14"/>
      <c r="I317" s="14"/>
      <c r="J317" s="14"/>
      <c r="K317" s="14"/>
      <c r="L317" s="15"/>
      <c r="M317" s="14"/>
      <c r="N317" s="14"/>
      <c r="O317" s="14"/>
      <c r="P317" s="14"/>
      <c r="Q317" s="16"/>
      <c r="R317" s="14"/>
      <c r="Z317" s="16"/>
      <c r="AC317" s="14"/>
      <c r="AD317" s="14"/>
      <c r="AE317" s="14"/>
      <c r="AF317" s="14"/>
      <c r="AG317" s="14"/>
      <c r="AH317" s="14"/>
      <c r="AI317" s="14"/>
      <c r="AJ317" s="14"/>
      <c r="AK317" s="14"/>
      <c r="AL317" s="14"/>
      <c r="AS317" s="14"/>
      <c r="AT317" s="14"/>
      <c r="AU317" s="14"/>
      <c r="AV317" s="14"/>
      <c r="AW317" s="14"/>
      <c r="AX317" s="14"/>
      <c r="AY317" s="14"/>
      <c r="BA317" s="14"/>
      <c r="BE317" s="16"/>
      <c r="BH317" s="14"/>
      <c r="BI317" s="14"/>
      <c r="BJ317" s="14"/>
      <c r="BK317" s="14"/>
      <c r="BL317" s="14"/>
      <c r="BM317" s="14"/>
      <c r="BN317" s="14"/>
      <c r="BO317" s="14"/>
      <c r="BP317" s="14"/>
      <c r="BQ317" s="14"/>
      <c r="BX317" s="14"/>
      <c r="BY317" s="14"/>
      <c r="BZ317" s="14"/>
      <c r="CA317" s="14"/>
      <c r="CB317" s="14"/>
      <c r="CC317" s="14"/>
      <c r="CD317" s="14"/>
      <c r="CF317" s="14"/>
      <c r="CJ317" s="16"/>
      <c r="CM317" s="14"/>
      <c r="CN317" s="14"/>
      <c r="CO317" s="14"/>
      <c r="CP317" s="14"/>
      <c r="CQ317" s="14"/>
      <c r="CR317" s="14"/>
      <c r="CS317" s="14"/>
      <c r="CT317" s="14"/>
      <c r="CU317" s="14"/>
      <c r="CV317" s="14"/>
    </row>
    <row r="318" spans="1:100" x14ac:dyDescent="0.2">
      <c r="A318" s="14"/>
      <c r="B318" s="14"/>
      <c r="C318" s="14"/>
      <c r="D318" s="14"/>
      <c r="E318" s="14"/>
      <c r="F318" s="14"/>
      <c r="G318" s="14"/>
      <c r="H318" s="14"/>
      <c r="I318" s="14"/>
      <c r="J318" s="14"/>
      <c r="K318" s="14"/>
      <c r="L318" s="15"/>
      <c r="M318" s="14"/>
      <c r="N318" s="14"/>
      <c r="O318" s="14"/>
      <c r="P318" s="14"/>
      <c r="Q318" s="16"/>
      <c r="R318" s="14"/>
      <c r="Z318" s="16"/>
      <c r="AC318" s="14"/>
      <c r="AD318" s="14"/>
      <c r="AE318" s="14"/>
      <c r="AF318" s="14"/>
      <c r="AG318" s="14"/>
      <c r="AH318" s="14"/>
      <c r="AI318" s="14"/>
      <c r="AJ318" s="14"/>
      <c r="AK318" s="14"/>
      <c r="AL318" s="14"/>
      <c r="AS318" s="14"/>
      <c r="AT318" s="14"/>
      <c r="AU318" s="14"/>
      <c r="AV318" s="14"/>
      <c r="AW318" s="14"/>
      <c r="AX318" s="14"/>
      <c r="AY318" s="14"/>
      <c r="BA318" s="14"/>
      <c r="BE318" s="16"/>
      <c r="BH318" s="14"/>
      <c r="BI318" s="14"/>
      <c r="BJ318" s="14"/>
      <c r="BK318" s="14"/>
      <c r="BL318" s="14"/>
      <c r="BM318" s="14"/>
      <c r="BN318" s="14"/>
      <c r="BO318" s="14"/>
      <c r="BP318" s="14"/>
      <c r="BQ318" s="14"/>
      <c r="BX318" s="14"/>
      <c r="BY318" s="14"/>
      <c r="BZ318" s="14"/>
      <c r="CA318" s="14"/>
      <c r="CB318" s="14"/>
      <c r="CC318" s="14"/>
      <c r="CD318" s="14"/>
      <c r="CF318" s="14"/>
      <c r="CJ318" s="16"/>
      <c r="CM318" s="14"/>
      <c r="CN318" s="14"/>
      <c r="CO318" s="14"/>
      <c r="CP318" s="14"/>
      <c r="CQ318" s="14"/>
      <c r="CR318" s="14"/>
      <c r="CS318" s="14"/>
      <c r="CT318" s="14"/>
      <c r="CU318" s="14"/>
      <c r="CV318" s="14"/>
    </row>
    <row r="319" spans="1:100" x14ac:dyDescent="0.2">
      <c r="A319" s="14"/>
      <c r="B319" s="14"/>
      <c r="C319" s="14"/>
      <c r="D319" s="14"/>
      <c r="E319" s="14"/>
      <c r="F319" s="14"/>
      <c r="G319" s="14"/>
      <c r="H319" s="14"/>
      <c r="I319" s="14"/>
      <c r="J319" s="14"/>
      <c r="K319" s="14"/>
      <c r="L319" s="15"/>
      <c r="M319" s="14"/>
      <c r="N319" s="14"/>
      <c r="O319" s="14"/>
      <c r="P319" s="14"/>
      <c r="Q319" s="16"/>
      <c r="R319" s="14"/>
      <c r="Z319" s="16"/>
      <c r="AC319" s="14"/>
      <c r="AD319" s="14"/>
      <c r="AE319" s="14"/>
      <c r="AF319" s="14"/>
      <c r="AG319" s="14"/>
      <c r="AH319" s="14"/>
      <c r="AI319" s="14"/>
      <c r="AJ319" s="14"/>
      <c r="AK319" s="14"/>
      <c r="AL319" s="14"/>
      <c r="AS319" s="14"/>
      <c r="AT319" s="14"/>
      <c r="AU319" s="14"/>
      <c r="AV319" s="14"/>
      <c r="AW319" s="14"/>
      <c r="AX319" s="14"/>
      <c r="AY319" s="14"/>
      <c r="BA319" s="14"/>
      <c r="BE319" s="16"/>
      <c r="BH319" s="14"/>
      <c r="BI319" s="14"/>
      <c r="BJ319" s="14"/>
      <c r="BK319" s="14"/>
      <c r="BL319" s="14"/>
      <c r="BM319" s="14"/>
      <c r="BN319" s="14"/>
      <c r="BO319" s="14"/>
      <c r="BP319" s="14"/>
      <c r="BQ319" s="14"/>
      <c r="BX319" s="14"/>
      <c r="BY319" s="14"/>
      <c r="BZ319" s="14"/>
      <c r="CA319" s="14"/>
      <c r="CB319" s="14"/>
      <c r="CC319" s="14"/>
      <c r="CD319" s="14"/>
      <c r="CF319" s="14"/>
      <c r="CJ319" s="16"/>
      <c r="CM319" s="14"/>
      <c r="CN319" s="14"/>
      <c r="CO319" s="14"/>
      <c r="CP319" s="14"/>
      <c r="CQ319" s="14"/>
      <c r="CR319" s="14"/>
      <c r="CS319" s="14"/>
      <c r="CT319" s="14"/>
      <c r="CU319" s="14"/>
      <c r="CV319" s="14"/>
    </row>
    <row r="320" spans="1:100" x14ac:dyDescent="0.2">
      <c r="A320" s="14"/>
      <c r="B320" s="14"/>
      <c r="C320" s="14"/>
      <c r="D320" s="14"/>
      <c r="E320" s="14"/>
      <c r="F320" s="14"/>
      <c r="G320" s="14"/>
      <c r="H320" s="14"/>
      <c r="I320" s="14"/>
      <c r="J320" s="14"/>
      <c r="K320" s="14"/>
      <c r="L320" s="15"/>
      <c r="M320" s="14"/>
      <c r="N320" s="14"/>
      <c r="O320" s="14"/>
      <c r="P320" s="14"/>
      <c r="Q320" s="16"/>
      <c r="R320" s="14"/>
      <c r="Z320" s="16"/>
      <c r="AC320" s="14"/>
      <c r="AD320" s="14"/>
      <c r="AE320" s="14"/>
      <c r="AF320" s="14"/>
      <c r="AG320" s="14"/>
      <c r="AH320" s="14"/>
      <c r="AI320" s="14"/>
      <c r="AJ320" s="14"/>
      <c r="AK320" s="14"/>
      <c r="AL320" s="14"/>
      <c r="AS320" s="14"/>
      <c r="AT320" s="14"/>
      <c r="AU320" s="14"/>
      <c r="AV320" s="14"/>
      <c r="AW320" s="14"/>
      <c r="AX320" s="14"/>
      <c r="AY320" s="14"/>
      <c r="BA320" s="14"/>
      <c r="BE320" s="16"/>
      <c r="BH320" s="14"/>
      <c r="BI320" s="14"/>
      <c r="BJ320" s="14"/>
      <c r="BK320" s="14"/>
      <c r="BL320" s="14"/>
      <c r="BM320" s="14"/>
      <c r="BN320" s="14"/>
      <c r="BO320" s="14"/>
      <c r="BP320" s="14"/>
      <c r="BQ320" s="14"/>
      <c r="BX320" s="14"/>
      <c r="BY320" s="14"/>
      <c r="BZ320" s="14"/>
      <c r="CA320" s="14"/>
      <c r="CB320" s="14"/>
      <c r="CC320" s="14"/>
      <c r="CD320" s="14"/>
      <c r="CF320" s="14"/>
      <c r="CJ320" s="16"/>
      <c r="CM320" s="14"/>
      <c r="CN320" s="14"/>
      <c r="CO320" s="14"/>
      <c r="CP320" s="14"/>
      <c r="CQ320" s="14"/>
      <c r="CR320" s="14"/>
      <c r="CS320" s="14"/>
      <c r="CT320" s="14"/>
      <c r="CU320" s="14"/>
      <c r="CV320" s="14"/>
    </row>
    <row r="321" spans="1:100" x14ac:dyDescent="0.2">
      <c r="A321" s="14"/>
      <c r="B321" s="14"/>
      <c r="C321" s="14"/>
      <c r="D321" s="14"/>
      <c r="E321" s="14"/>
      <c r="F321" s="14"/>
      <c r="G321" s="14"/>
      <c r="H321" s="14"/>
      <c r="I321" s="14"/>
      <c r="J321" s="14"/>
      <c r="K321" s="14"/>
      <c r="L321" s="15"/>
      <c r="M321" s="14"/>
      <c r="N321" s="14"/>
      <c r="O321" s="14"/>
      <c r="P321" s="14"/>
      <c r="Q321" s="16"/>
      <c r="R321" s="14"/>
      <c r="Z321" s="16"/>
      <c r="AC321" s="14"/>
      <c r="AD321" s="14"/>
      <c r="AE321" s="14"/>
      <c r="AF321" s="14"/>
      <c r="AG321" s="14"/>
      <c r="AH321" s="14"/>
      <c r="AI321" s="14"/>
      <c r="AJ321" s="14"/>
      <c r="AK321" s="14"/>
      <c r="AL321" s="14"/>
      <c r="AS321" s="14"/>
      <c r="AT321" s="14"/>
      <c r="AU321" s="14"/>
      <c r="AV321" s="14"/>
      <c r="AW321" s="14"/>
      <c r="AX321" s="14"/>
      <c r="AY321" s="14"/>
      <c r="BA321" s="14"/>
      <c r="BE321" s="16"/>
      <c r="BH321" s="14"/>
      <c r="BI321" s="14"/>
      <c r="BJ321" s="14"/>
      <c r="BK321" s="14"/>
      <c r="BL321" s="14"/>
      <c r="BM321" s="14"/>
      <c r="BN321" s="14"/>
      <c r="BO321" s="14"/>
      <c r="BP321" s="14"/>
      <c r="BQ321" s="14"/>
      <c r="BX321" s="14"/>
      <c r="BY321" s="14"/>
      <c r="BZ321" s="14"/>
      <c r="CA321" s="14"/>
      <c r="CB321" s="14"/>
      <c r="CC321" s="14"/>
      <c r="CD321" s="14"/>
      <c r="CF321" s="14"/>
      <c r="CJ321" s="16"/>
      <c r="CM321" s="14"/>
      <c r="CN321" s="14"/>
      <c r="CO321" s="14"/>
      <c r="CP321" s="14"/>
      <c r="CQ321" s="14"/>
      <c r="CR321" s="14"/>
      <c r="CS321" s="14"/>
      <c r="CT321" s="14"/>
      <c r="CU321" s="14"/>
      <c r="CV321" s="14"/>
    </row>
    <row r="322" spans="1:100" x14ac:dyDescent="0.2">
      <c r="A322" s="14"/>
      <c r="B322" s="14"/>
      <c r="C322" s="14"/>
      <c r="D322" s="14"/>
      <c r="E322" s="14"/>
      <c r="F322" s="14"/>
      <c r="G322" s="14"/>
      <c r="H322" s="14"/>
      <c r="I322" s="14"/>
      <c r="J322" s="14"/>
      <c r="K322" s="14"/>
      <c r="L322" s="15"/>
      <c r="M322" s="14"/>
      <c r="N322" s="14"/>
      <c r="O322" s="14"/>
      <c r="P322" s="14"/>
      <c r="Q322" s="16"/>
      <c r="R322" s="14"/>
      <c r="Z322" s="16"/>
      <c r="AC322" s="14"/>
      <c r="AD322" s="14"/>
      <c r="AE322" s="14"/>
      <c r="AF322" s="14"/>
      <c r="AG322" s="14"/>
      <c r="AH322" s="14"/>
      <c r="AI322" s="14"/>
      <c r="AJ322" s="14"/>
      <c r="AK322" s="14"/>
      <c r="AL322" s="14"/>
      <c r="AS322" s="14"/>
      <c r="AT322" s="14"/>
      <c r="AU322" s="14"/>
      <c r="AV322" s="14"/>
      <c r="AW322" s="14"/>
      <c r="AX322" s="14"/>
      <c r="AY322" s="14"/>
      <c r="BA322" s="14"/>
      <c r="BE322" s="16"/>
      <c r="BH322" s="14"/>
      <c r="BI322" s="14"/>
      <c r="BJ322" s="14"/>
      <c r="BK322" s="14"/>
      <c r="BL322" s="14"/>
      <c r="BM322" s="14"/>
      <c r="BN322" s="14"/>
      <c r="BO322" s="14"/>
      <c r="BP322" s="14"/>
      <c r="BQ322" s="14"/>
      <c r="BX322" s="14"/>
      <c r="BY322" s="14"/>
      <c r="BZ322" s="14"/>
      <c r="CA322" s="14"/>
      <c r="CB322" s="14"/>
      <c r="CC322" s="14"/>
      <c r="CD322" s="14"/>
      <c r="CF322" s="14"/>
      <c r="CJ322" s="16"/>
      <c r="CM322" s="14"/>
      <c r="CN322" s="14"/>
      <c r="CO322" s="14"/>
      <c r="CP322" s="14"/>
      <c r="CQ322" s="14"/>
      <c r="CR322" s="14"/>
      <c r="CS322" s="14"/>
      <c r="CT322" s="14"/>
      <c r="CU322" s="14"/>
      <c r="CV322" s="14"/>
    </row>
    <row r="323" spans="1:100" x14ac:dyDescent="0.2">
      <c r="A323" s="14"/>
      <c r="B323" s="14"/>
      <c r="C323" s="14"/>
      <c r="D323" s="14"/>
      <c r="E323" s="14"/>
      <c r="F323" s="14"/>
      <c r="G323" s="14"/>
      <c r="H323" s="14"/>
      <c r="I323" s="14"/>
      <c r="J323" s="14"/>
      <c r="K323" s="14"/>
      <c r="L323" s="15"/>
      <c r="M323" s="14"/>
      <c r="N323" s="14"/>
      <c r="O323" s="14"/>
      <c r="P323" s="14"/>
      <c r="Q323" s="16"/>
      <c r="R323" s="14"/>
      <c r="Z323" s="16"/>
      <c r="AC323" s="14"/>
      <c r="AD323" s="14"/>
      <c r="AE323" s="14"/>
      <c r="AF323" s="14"/>
      <c r="AG323" s="14"/>
      <c r="AH323" s="14"/>
      <c r="AI323" s="14"/>
      <c r="AJ323" s="14"/>
      <c r="AK323" s="14"/>
      <c r="AL323" s="14"/>
      <c r="AS323" s="14"/>
      <c r="AT323" s="14"/>
      <c r="AU323" s="14"/>
      <c r="AV323" s="14"/>
      <c r="AW323" s="14"/>
      <c r="AX323" s="14"/>
      <c r="AY323" s="14"/>
      <c r="BA323" s="14"/>
      <c r="BE323" s="16"/>
      <c r="BH323" s="14"/>
      <c r="BI323" s="14"/>
      <c r="BJ323" s="14"/>
      <c r="BK323" s="14"/>
      <c r="BL323" s="14"/>
      <c r="BM323" s="14"/>
      <c r="BN323" s="14"/>
      <c r="BO323" s="14"/>
      <c r="BP323" s="14"/>
      <c r="BQ323" s="14"/>
      <c r="BX323" s="14"/>
      <c r="BY323" s="14"/>
      <c r="BZ323" s="14"/>
      <c r="CA323" s="14"/>
      <c r="CB323" s="14"/>
      <c r="CC323" s="14"/>
      <c r="CD323" s="14"/>
      <c r="CF323" s="14"/>
      <c r="CJ323" s="16"/>
      <c r="CM323" s="14"/>
      <c r="CN323" s="14"/>
      <c r="CO323" s="14"/>
      <c r="CP323" s="14"/>
      <c r="CQ323" s="14"/>
      <c r="CR323" s="14"/>
      <c r="CS323" s="14"/>
      <c r="CT323" s="14"/>
      <c r="CU323" s="14"/>
      <c r="CV323" s="14"/>
    </row>
    <row r="324" spans="1:100" x14ac:dyDescent="0.2">
      <c r="A324" s="14"/>
      <c r="B324" s="14"/>
      <c r="C324" s="14"/>
      <c r="D324" s="14"/>
      <c r="E324" s="14"/>
      <c r="F324" s="14"/>
      <c r="G324" s="14"/>
      <c r="H324" s="14"/>
      <c r="I324" s="14"/>
      <c r="J324" s="14"/>
      <c r="K324" s="14"/>
      <c r="L324" s="15"/>
      <c r="M324" s="14"/>
      <c r="N324" s="14"/>
      <c r="O324" s="14"/>
      <c r="P324" s="14"/>
      <c r="Q324" s="16"/>
      <c r="R324" s="14"/>
      <c r="Z324" s="16"/>
      <c r="AC324" s="14"/>
      <c r="AD324" s="14"/>
      <c r="AE324" s="14"/>
      <c r="AF324" s="14"/>
      <c r="AG324" s="14"/>
      <c r="AH324" s="14"/>
      <c r="AI324" s="14"/>
      <c r="AJ324" s="14"/>
      <c r="AK324" s="14"/>
      <c r="AL324" s="14"/>
      <c r="AS324" s="14"/>
      <c r="AT324" s="14"/>
      <c r="AU324" s="14"/>
      <c r="AV324" s="14"/>
      <c r="AW324" s="14"/>
      <c r="AX324" s="14"/>
      <c r="AY324" s="14"/>
      <c r="BA324" s="14"/>
      <c r="BE324" s="16"/>
      <c r="BH324" s="14"/>
      <c r="BI324" s="14"/>
      <c r="BJ324" s="14"/>
      <c r="BK324" s="14"/>
      <c r="BL324" s="14"/>
      <c r="BM324" s="14"/>
      <c r="BN324" s="14"/>
      <c r="BO324" s="14"/>
      <c r="BP324" s="14"/>
      <c r="BQ324" s="14"/>
      <c r="BX324" s="14"/>
      <c r="BY324" s="14"/>
      <c r="BZ324" s="14"/>
      <c r="CA324" s="14"/>
      <c r="CB324" s="14"/>
      <c r="CC324" s="14"/>
      <c r="CD324" s="14"/>
      <c r="CF324" s="14"/>
      <c r="CJ324" s="16"/>
      <c r="CM324" s="14"/>
      <c r="CN324" s="14"/>
      <c r="CO324" s="14"/>
      <c r="CP324" s="14"/>
      <c r="CQ324" s="14"/>
      <c r="CR324" s="14"/>
      <c r="CS324" s="14"/>
      <c r="CT324" s="14"/>
      <c r="CU324" s="14"/>
      <c r="CV324" s="14"/>
    </row>
    <row r="325" spans="1:100" x14ac:dyDescent="0.2">
      <c r="A325" s="14"/>
      <c r="B325" s="14"/>
      <c r="C325" s="14"/>
      <c r="D325" s="14"/>
      <c r="E325" s="14"/>
      <c r="F325" s="14"/>
      <c r="G325" s="14"/>
      <c r="H325" s="14"/>
      <c r="I325" s="14"/>
      <c r="J325" s="14"/>
      <c r="K325" s="14"/>
      <c r="L325" s="15"/>
      <c r="M325" s="14"/>
      <c r="N325" s="14"/>
      <c r="O325" s="14"/>
      <c r="P325" s="14"/>
      <c r="Q325" s="16"/>
      <c r="R325" s="14"/>
      <c r="Z325" s="16"/>
      <c r="AC325" s="14"/>
      <c r="AD325" s="14"/>
      <c r="AE325" s="14"/>
      <c r="AF325" s="14"/>
      <c r="AG325" s="14"/>
      <c r="AH325" s="14"/>
      <c r="AI325" s="14"/>
      <c r="AJ325" s="14"/>
      <c r="AK325" s="14"/>
      <c r="AL325" s="14"/>
      <c r="AS325" s="14"/>
      <c r="AT325" s="14"/>
      <c r="AU325" s="14"/>
      <c r="AV325" s="14"/>
      <c r="AW325" s="14"/>
      <c r="AX325" s="14"/>
      <c r="AY325" s="14"/>
      <c r="BA325" s="14"/>
      <c r="BE325" s="16"/>
      <c r="BH325" s="14"/>
      <c r="BI325" s="14"/>
      <c r="BJ325" s="14"/>
      <c r="BK325" s="14"/>
      <c r="BL325" s="14"/>
      <c r="BM325" s="14"/>
      <c r="BN325" s="14"/>
      <c r="BO325" s="14"/>
      <c r="BP325" s="14"/>
      <c r="BQ325" s="14"/>
      <c r="BX325" s="14"/>
      <c r="BY325" s="14"/>
      <c r="BZ325" s="14"/>
      <c r="CA325" s="14"/>
      <c r="CB325" s="14"/>
      <c r="CC325" s="14"/>
      <c r="CD325" s="14"/>
      <c r="CF325" s="14"/>
      <c r="CJ325" s="16"/>
      <c r="CM325" s="14"/>
      <c r="CN325" s="14"/>
      <c r="CO325" s="14"/>
      <c r="CP325" s="14"/>
      <c r="CQ325" s="14"/>
      <c r="CR325" s="14"/>
      <c r="CS325" s="14"/>
      <c r="CT325" s="14"/>
      <c r="CU325" s="14"/>
      <c r="CV325" s="14"/>
    </row>
    <row r="326" spans="1:100" x14ac:dyDescent="0.2">
      <c r="A326" s="14"/>
      <c r="B326" s="14"/>
      <c r="C326" s="14"/>
      <c r="D326" s="14"/>
      <c r="E326" s="14"/>
      <c r="F326" s="14"/>
      <c r="G326" s="14"/>
      <c r="H326" s="14"/>
      <c r="I326" s="14"/>
      <c r="J326" s="14"/>
      <c r="K326" s="14"/>
      <c r="L326" s="15"/>
      <c r="M326" s="14"/>
      <c r="N326" s="14"/>
      <c r="O326" s="14"/>
      <c r="P326" s="14"/>
      <c r="Q326" s="16"/>
      <c r="R326" s="14"/>
      <c r="Z326" s="16"/>
      <c r="AC326" s="14"/>
      <c r="AD326" s="14"/>
      <c r="AE326" s="14"/>
      <c r="AF326" s="14"/>
      <c r="AG326" s="14"/>
      <c r="AH326" s="14"/>
      <c r="AI326" s="14"/>
      <c r="AJ326" s="14"/>
      <c r="AK326" s="14"/>
      <c r="AL326" s="14"/>
      <c r="AS326" s="14"/>
      <c r="AT326" s="14"/>
      <c r="AU326" s="14"/>
      <c r="AV326" s="14"/>
      <c r="AW326" s="14"/>
      <c r="AX326" s="14"/>
      <c r="AY326" s="14"/>
      <c r="BA326" s="14"/>
      <c r="BE326" s="16"/>
      <c r="BH326" s="14"/>
      <c r="BI326" s="14"/>
      <c r="BJ326" s="14"/>
      <c r="BK326" s="14"/>
      <c r="BL326" s="14"/>
      <c r="BM326" s="14"/>
      <c r="BN326" s="14"/>
      <c r="BO326" s="14"/>
      <c r="BP326" s="14"/>
      <c r="BQ326" s="14"/>
      <c r="BX326" s="14"/>
      <c r="BY326" s="14"/>
      <c r="BZ326" s="14"/>
      <c r="CA326" s="14"/>
      <c r="CB326" s="14"/>
      <c r="CC326" s="14"/>
      <c r="CD326" s="14"/>
      <c r="CF326" s="14"/>
      <c r="CJ326" s="16"/>
      <c r="CM326" s="14"/>
      <c r="CN326" s="14"/>
      <c r="CO326" s="14"/>
      <c r="CP326" s="14"/>
      <c r="CQ326" s="14"/>
      <c r="CR326" s="14"/>
      <c r="CS326" s="14"/>
      <c r="CT326" s="14"/>
      <c r="CU326" s="14"/>
      <c r="CV326" s="14"/>
    </row>
    <row r="327" spans="1:100" x14ac:dyDescent="0.2">
      <c r="A327" s="14"/>
      <c r="B327" s="14"/>
      <c r="C327" s="14"/>
      <c r="D327" s="14"/>
      <c r="E327" s="14"/>
      <c r="F327" s="14"/>
      <c r="G327" s="14"/>
      <c r="H327" s="14"/>
      <c r="I327" s="14"/>
      <c r="J327" s="14"/>
      <c r="K327" s="14"/>
      <c r="L327" s="15"/>
      <c r="M327" s="14"/>
      <c r="N327" s="14"/>
      <c r="O327" s="14"/>
      <c r="P327" s="14"/>
      <c r="Q327" s="16"/>
      <c r="R327" s="14"/>
      <c r="Z327" s="16"/>
      <c r="AC327" s="14"/>
      <c r="AD327" s="14"/>
      <c r="AE327" s="14"/>
      <c r="AF327" s="14"/>
      <c r="AG327" s="14"/>
      <c r="AH327" s="14"/>
      <c r="AI327" s="14"/>
      <c r="AJ327" s="14"/>
      <c r="AK327" s="14"/>
      <c r="AL327" s="14"/>
      <c r="AS327" s="14"/>
      <c r="AT327" s="14"/>
      <c r="AU327" s="14"/>
      <c r="AV327" s="14"/>
      <c r="AW327" s="14"/>
      <c r="AX327" s="14"/>
      <c r="AY327" s="14"/>
      <c r="BA327" s="14"/>
      <c r="BE327" s="16"/>
      <c r="BH327" s="14"/>
      <c r="BI327" s="14"/>
      <c r="BJ327" s="14"/>
      <c r="BK327" s="14"/>
      <c r="BL327" s="14"/>
      <c r="BM327" s="14"/>
      <c r="BN327" s="14"/>
      <c r="BO327" s="14"/>
      <c r="BP327" s="14"/>
      <c r="BQ327" s="14"/>
      <c r="BX327" s="14"/>
      <c r="BY327" s="14"/>
      <c r="BZ327" s="14"/>
      <c r="CA327" s="14"/>
      <c r="CB327" s="14"/>
      <c r="CC327" s="14"/>
      <c r="CD327" s="14"/>
      <c r="CF327" s="14"/>
      <c r="CJ327" s="16"/>
      <c r="CM327" s="14"/>
      <c r="CN327" s="14"/>
      <c r="CO327" s="14"/>
      <c r="CP327" s="14"/>
      <c r="CQ327" s="14"/>
      <c r="CR327" s="14"/>
      <c r="CS327" s="14"/>
      <c r="CT327" s="14"/>
      <c r="CU327" s="14"/>
      <c r="CV327" s="14"/>
    </row>
    <row r="328" spans="1:100" x14ac:dyDescent="0.2">
      <c r="A328" s="14"/>
      <c r="B328" s="14"/>
      <c r="C328" s="14"/>
      <c r="D328" s="14"/>
      <c r="E328" s="14"/>
      <c r="F328" s="14"/>
      <c r="G328" s="14"/>
      <c r="H328" s="14"/>
      <c r="I328" s="14"/>
      <c r="J328" s="14"/>
      <c r="K328" s="14"/>
      <c r="L328" s="15"/>
      <c r="M328" s="14"/>
      <c r="N328" s="14"/>
      <c r="O328" s="14"/>
      <c r="P328" s="14"/>
      <c r="Q328" s="16"/>
      <c r="R328" s="14"/>
      <c r="Z328" s="16"/>
      <c r="AC328" s="14"/>
      <c r="AD328" s="14"/>
      <c r="AE328" s="14"/>
      <c r="AF328" s="14"/>
      <c r="AG328" s="14"/>
      <c r="AH328" s="14"/>
      <c r="AI328" s="14"/>
      <c r="AJ328" s="14"/>
      <c r="AK328" s="14"/>
      <c r="AL328" s="14"/>
      <c r="AS328" s="14"/>
      <c r="AT328" s="14"/>
      <c r="AU328" s="14"/>
      <c r="AV328" s="14"/>
      <c r="AW328" s="14"/>
      <c r="AX328" s="14"/>
      <c r="AY328" s="14"/>
      <c r="BA328" s="14"/>
      <c r="BE328" s="16"/>
      <c r="BH328" s="14"/>
      <c r="BI328" s="14"/>
      <c r="BJ328" s="14"/>
      <c r="BK328" s="14"/>
      <c r="BL328" s="14"/>
      <c r="BM328" s="14"/>
      <c r="BN328" s="14"/>
      <c r="BO328" s="14"/>
      <c r="BP328" s="14"/>
      <c r="BQ328" s="14"/>
      <c r="BX328" s="14"/>
      <c r="BY328" s="14"/>
      <c r="BZ328" s="14"/>
      <c r="CA328" s="14"/>
      <c r="CB328" s="14"/>
      <c r="CC328" s="14"/>
      <c r="CD328" s="14"/>
      <c r="CF328" s="14"/>
      <c r="CJ328" s="16"/>
      <c r="CM328" s="14"/>
      <c r="CN328" s="14"/>
      <c r="CO328" s="14"/>
      <c r="CP328" s="14"/>
      <c r="CQ328" s="14"/>
      <c r="CR328" s="14"/>
      <c r="CS328" s="14"/>
      <c r="CT328" s="14"/>
      <c r="CU328" s="14"/>
      <c r="CV328" s="14"/>
    </row>
    <row r="329" spans="1:100" x14ac:dyDescent="0.2">
      <c r="A329" s="14"/>
      <c r="B329" s="14"/>
      <c r="C329" s="14"/>
      <c r="D329" s="14"/>
      <c r="E329" s="14"/>
      <c r="F329" s="14"/>
      <c r="G329" s="14"/>
      <c r="H329" s="14"/>
      <c r="I329" s="14"/>
      <c r="J329" s="14"/>
      <c r="K329" s="14"/>
      <c r="L329" s="15"/>
      <c r="M329" s="14"/>
      <c r="N329" s="14"/>
      <c r="O329" s="14"/>
      <c r="P329" s="14"/>
      <c r="Q329" s="16"/>
      <c r="R329" s="14"/>
      <c r="Z329" s="16"/>
      <c r="AC329" s="14"/>
      <c r="AD329" s="14"/>
      <c r="AE329" s="14"/>
      <c r="AF329" s="14"/>
      <c r="AG329" s="14"/>
      <c r="AH329" s="14"/>
      <c r="AI329" s="14"/>
      <c r="AJ329" s="14"/>
      <c r="AK329" s="14"/>
      <c r="AL329" s="14"/>
      <c r="AS329" s="14"/>
      <c r="AT329" s="14"/>
      <c r="AU329" s="14"/>
      <c r="AV329" s="14"/>
      <c r="AW329" s="14"/>
      <c r="AX329" s="14"/>
      <c r="AY329" s="14"/>
      <c r="BA329" s="14"/>
      <c r="BE329" s="16"/>
      <c r="BH329" s="14"/>
      <c r="BI329" s="14"/>
      <c r="BJ329" s="14"/>
      <c r="BK329" s="14"/>
      <c r="BL329" s="14"/>
      <c r="BM329" s="14"/>
      <c r="BN329" s="14"/>
      <c r="BO329" s="14"/>
      <c r="BP329" s="14"/>
      <c r="BQ329" s="14"/>
      <c r="BX329" s="14"/>
      <c r="BY329" s="14"/>
      <c r="BZ329" s="14"/>
      <c r="CA329" s="14"/>
      <c r="CB329" s="14"/>
      <c r="CC329" s="14"/>
      <c r="CD329" s="14"/>
      <c r="CF329" s="14"/>
      <c r="CJ329" s="16"/>
      <c r="CM329" s="14"/>
      <c r="CN329" s="14"/>
      <c r="CO329" s="14"/>
      <c r="CP329" s="14"/>
      <c r="CQ329" s="14"/>
      <c r="CR329" s="14"/>
      <c r="CS329" s="14"/>
      <c r="CT329" s="14"/>
      <c r="CU329" s="14"/>
      <c r="CV329" s="14"/>
    </row>
    <row r="330" spans="1:100" x14ac:dyDescent="0.2">
      <c r="A330" s="14"/>
      <c r="B330" s="14"/>
      <c r="C330" s="14"/>
      <c r="D330" s="14"/>
      <c r="E330" s="14"/>
      <c r="F330" s="14"/>
      <c r="G330" s="14"/>
      <c r="H330" s="14"/>
      <c r="I330" s="14"/>
      <c r="J330" s="14"/>
      <c r="K330" s="14"/>
      <c r="L330" s="15"/>
      <c r="M330" s="14"/>
      <c r="N330" s="14"/>
      <c r="O330" s="14"/>
      <c r="P330" s="14"/>
      <c r="Q330" s="16"/>
      <c r="R330" s="14"/>
      <c r="Z330" s="16"/>
      <c r="AC330" s="14"/>
      <c r="AD330" s="14"/>
      <c r="AE330" s="14"/>
      <c r="AF330" s="14"/>
      <c r="AG330" s="14"/>
      <c r="AH330" s="14"/>
      <c r="AI330" s="14"/>
      <c r="AJ330" s="14"/>
      <c r="AK330" s="14"/>
      <c r="AL330" s="14"/>
      <c r="AS330" s="14"/>
      <c r="AT330" s="14"/>
      <c r="AU330" s="14"/>
      <c r="AV330" s="14"/>
      <c r="AW330" s="14"/>
      <c r="AX330" s="14"/>
      <c r="AY330" s="14"/>
      <c r="BA330" s="14"/>
      <c r="BE330" s="16"/>
      <c r="BH330" s="14"/>
      <c r="BI330" s="14"/>
      <c r="BJ330" s="14"/>
      <c r="BK330" s="14"/>
      <c r="BL330" s="14"/>
      <c r="BM330" s="14"/>
      <c r="BN330" s="14"/>
      <c r="BO330" s="14"/>
      <c r="BP330" s="14"/>
      <c r="BQ330" s="14"/>
      <c r="BX330" s="14"/>
      <c r="BY330" s="14"/>
      <c r="BZ330" s="14"/>
      <c r="CA330" s="14"/>
      <c r="CB330" s="14"/>
      <c r="CC330" s="14"/>
      <c r="CD330" s="14"/>
      <c r="CF330" s="14"/>
      <c r="CJ330" s="16"/>
      <c r="CM330" s="14"/>
      <c r="CN330" s="14"/>
      <c r="CO330" s="14"/>
      <c r="CP330" s="14"/>
      <c r="CQ330" s="14"/>
      <c r="CR330" s="14"/>
      <c r="CS330" s="14"/>
      <c r="CT330" s="14"/>
      <c r="CU330" s="14"/>
      <c r="CV330" s="14"/>
    </row>
    <row r="331" spans="1:100" x14ac:dyDescent="0.2">
      <c r="A331" s="14"/>
      <c r="B331" s="14"/>
      <c r="C331" s="14"/>
      <c r="D331" s="14"/>
      <c r="E331" s="14"/>
      <c r="F331" s="14"/>
      <c r="G331" s="14"/>
      <c r="H331" s="14"/>
      <c r="I331" s="14"/>
      <c r="J331" s="14"/>
      <c r="K331" s="14"/>
      <c r="L331" s="15"/>
      <c r="M331" s="14"/>
      <c r="N331" s="14"/>
      <c r="O331" s="14"/>
      <c r="P331" s="14"/>
      <c r="Q331" s="16"/>
      <c r="R331" s="14"/>
      <c r="Z331" s="16"/>
      <c r="AC331" s="14"/>
      <c r="AD331" s="14"/>
      <c r="AE331" s="14"/>
      <c r="AF331" s="14"/>
      <c r="AG331" s="14"/>
      <c r="AH331" s="14"/>
      <c r="AI331" s="14"/>
      <c r="AJ331" s="14"/>
      <c r="AK331" s="14"/>
      <c r="AL331" s="14"/>
      <c r="AS331" s="14"/>
      <c r="AT331" s="14"/>
      <c r="AU331" s="14"/>
      <c r="AV331" s="14"/>
      <c r="AW331" s="14"/>
      <c r="AX331" s="14"/>
      <c r="AY331" s="14"/>
      <c r="BA331" s="14"/>
      <c r="BE331" s="16"/>
      <c r="BH331" s="14"/>
      <c r="BI331" s="14"/>
      <c r="BJ331" s="14"/>
      <c r="BK331" s="14"/>
      <c r="BL331" s="14"/>
      <c r="BM331" s="14"/>
      <c r="BN331" s="14"/>
      <c r="BO331" s="14"/>
      <c r="BP331" s="14"/>
      <c r="BQ331" s="14"/>
      <c r="BX331" s="14"/>
      <c r="BY331" s="14"/>
      <c r="BZ331" s="14"/>
      <c r="CA331" s="14"/>
      <c r="CB331" s="14"/>
      <c r="CC331" s="14"/>
      <c r="CD331" s="14"/>
      <c r="CF331" s="14"/>
      <c r="CJ331" s="16"/>
      <c r="CM331" s="14"/>
      <c r="CN331" s="14"/>
      <c r="CO331" s="14"/>
      <c r="CP331" s="14"/>
      <c r="CQ331" s="14"/>
      <c r="CR331" s="14"/>
      <c r="CS331" s="14"/>
      <c r="CT331" s="14"/>
      <c r="CU331" s="14"/>
      <c r="CV331" s="14"/>
    </row>
    <row r="332" spans="1:100" x14ac:dyDescent="0.2">
      <c r="A332" s="14"/>
      <c r="B332" s="14"/>
      <c r="C332" s="14"/>
      <c r="D332" s="14"/>
      <c r="E332" s="14"/>
      <c r="F332" s="14"/>
      <c r="G332" s="14"/>
      <c r="H332" s="14"/>
      <c r="I332" s="14"/>
      <c r="J332" s="14"/>
      <c r="K332" s="14"/>
      <c r="L332" s="15"/>
      <c r="M332" s="14"/>
      <c r="N332" s="14"/>
      <c r="O332" s="14"/>
      <c r="P332" s="14"/>
      <c r="Q332" s="16"/>
      <c r="R332" s="14"/>
      <c r="Z332" s="16"/>
      <c r="AC332" s="14"/>
      <c r="AD332" s="14"/>
      <c r="AE332" s="14"/>
      <c r="AF332" s="14"/>
      <c r="AG332" s="14"/>
      <c r="AH332" s="14"/>
      <c r="AI332" s="14"/>
      <c r="AJ332" s="14"/>
      <c r="AK332" s="14"/>
      <c r="AL332" s="14"/>
      <c r="AS332" s="14"/>
      <c r="AT332" s="14"/>
      <c r="AU332" s="14"/>
      <c r="AV332" s="14"/>
      <c r="AW332" s="14"/>
      <c r="AX332" s="14"/>
      <c r="AY332" s="14"/>
      <c r="BA332" s="14"/>
      <c r="BE332" s="16"/>
      <c r="BH332" s="14"/>
      <c r="BI332" s="14"/>
      <c r="BJ332" s="14"/>
      <c r="BK332" s="14"/>
      <c r="BL332" s="14"/>
      <c r="BM332" s="14"/>
      <c r="BN332" s="14"/>
      <c r="BO332" s="14"/>
      <c r="BP332" s="14"/>
      <c r="BQ332" s="14"/>
      <c r="BX332" s="14"/>
      <c r="BY332" s="14"/>
      <c r="BZ332" s="14"/>
      <c r="CA332" s="14"/>
      <c r="CB332" s="14"/>
      <c r="CC332" s="14"/>
      <c r="CD332" s="14"/>
      <c r="CF332" s="14"/>
      <c r="CJ332" s="16"/>
      <c r="CM332" s="14"/>
      <c r="CN332" s="14"/>
      <c r="CO332" s="14"/>
      <c r="CP332" s="14"/>
      <c r="CQ332" s="14"/>
      <c r="CR332" s="14"/>
      <c r="CS332" s="14"/>
      <c r="CT332" s="14"/>
      <c r="CU332" s="14"/>
      <c r="CV332" s="14"/>
    </row>
    <row r="333" spans="1:100" x14ac:dyDescent="0.2">
      <c r="A333" s="14"/>
      <c r="B333" s="14"/>
      <c r="C333" s="14"/>
      <c r="D333" s="14"/>
      <c r="E333" s="14"/>
      <c r="F333" s="14"/>
      <c r="G333" s="14"/>
      <c r="H333" s="14"/>
      <c r="I333" s="14"/>
      <c r="J333" s="14"/>
      <c r="K333" s="14"/>
      <c r="L333" s="15"/>
      <c r="M333" s="14"/>
      <c r="N333" s="14"/>
      <c r="O333" s="14"/>
      <c r="P333" s="14"/>
      <c r="Q333" s="16"/>
      <c r="R333" s="14"/>
      <c r="Z333" s="16"/>
      <c r="AC333" s="14"/>
      <c r="AD333" s="14"/>
      <c r="AE333" s="14"/>
      <c r="AF333" s="14"/>
      <c r="AG333" s="14"/>
      <c r="AH333" s="14"/>
      <c r="AI333" s="14"/>
      <c r="AJ333" s="14"/>
      <c r="AK333" s="14"/>
      <c r="AL333" s="14"/>
      <c r="AS333" s="14"/>
      <c r="AT333" s="14"/>
      <c r="AU333" s="14"/>
      <c r="AV333" s="14"/>
      <c r="AW333" s="14"/>
      <c r="AX333" s="14"/>
      <c r="AY333" s="14"/>
      <c r="BA333" s="14"/>
      <c r="BE333" s="16"/>
      <c r="BH333" s="14"/>
      <c r="BI333" s="14"/>
      <c r="BJ333" s="14"/>
      <c r="BK333" s="14"/>
      <c r="BL333" s="14"/>
      <c r="BM333" s="14"/>
      <c r="BN333" s="14"/>
      <c r="BO333" s="14"/>
      <c r="BP333" s="14"/>
      <c r="BQ333" s="14"/>
      <c r="BX333" s="14"/>
      <c r="BY333" s="14"/>
      <c r="BZ333" s="14"/>
      <c r="CA333" s="14"/>
      <c r="CB333" s="14"/>
      <c r="CC333" s="14"/>
      <c r="CD333" s="14"/>
      <c r="CF333" s="14"/>
      <c r="CJ333" s="16"/>
      <c r="CM333" s="14"/>
      <c r="CN333" s="14"/>
      <c r="CO333" s="14"/>
      <c r="CP333" s="14"/>
      <c r="CQ333" s="14"/>
      <c r="CR333" s="14"/>
      <c r="CS333" s="14"/>
      <c r="CT333" s="14"/>
      <c r="CU333" s="14"/>
      <c r="CV333" s="14"/>
    </row>
    <row r="334" spans="1:100" x14ac:dyDescent="0.2">
      <c r="A334" s="14"/>
      <c r="B334" s="14"/>
      <c r="C334" s="14"/>
      <c r="D334" s="14"/>
      <c r="E334" s="14"/>
      <c r="F334" s="14"/>
      <c r="G334" s="14"/>
      <c r="H334" s="14"/>
      <c r="I334" s="14"/>
      <c r="J334" s="14"/>
      <c r="K334" s="14"/>
      <c r="L334" s="15"/>
      <c r="M334" s="14"/>
      <c r="N334" s="14"/>
      <c r="O334" s="14"/>
      <c r="P334" s="14"/>
      <c r="Q334" s="16"/>
      <c r="R334" s="14"/>
      <c r="Z334" s="16"/>
      <c r="AC334" s="14"/>
      <c r="AD334" s="14"/>
      <c r="AE334" s="14"/>
      <c r="AF334" s="14"/>
      <c r="AG334" s="14"/>
      <c r="AH334" s="14"/>
      <c r="AI334" s="14"/>
      <c r="AJ334" s="14"/>
      <c r="AK334" s="14"/>
      <c r="AL334" s="14"/>
      <c r="AS334" s="14"/>
      <c r="AT334" s="14"/>
      <c r="AU334" s="14"/>
      <c r="AV334" s="14"/>
      <c r="AW334" s="14"/>
      <c r="AX334" s="14"/>
      <c r="AY334" s="14"/>
      <c r="BA334" s="14"/>
      <c r="BE334" s="16"/>
      <c r="BH334" s="14"/>
      <c r="BI334" s="14"/>
      <c r="BJ334" s="14"/>
      <c r="BK334" s="14"/>
      <c r="BL334" s="14"/>
      <c r="BM334" s="14"/>
      <c r="BN334" s="14"/>
      <c r="BO334" s="14"/>
      <c r="BP334" s="14"/>
      <c r="BQ334" s="14"/>
      <c r="BX334" s="14"/>
      <c r="BY334" s="14"/>
      <c r="BZ334" s="14"/>
      <c r="CA334" s="14"/>
      <c r="CB334" s="14"/>
      <c r="CC334" s="14"/>
      <c r="CD334" s="14"/>
      <c r="CF334" s="14"/>
      <c r="CJ334" s="16"/>
      <c r="CM334" s="14"/>
      <c r="CN334" s="14"/>
      <c r="CO334" s="14"/>
      <c r="CP334" s="14"/>
      <c r="CQ334" s="14"/>
      <c r="CR334" s="14"/>
      <c r="CS334" s="14"/>
      <c r="CT334" s="14"/>
      <c r="CU334" s="14"/>
      <c r="CV334" s="14"/>
    </row>
    <row r="335" spans="1:100" x14ac:dyDescent="0.2">
      <c r="A335" s="14"/>
      <c r="B335" s="14"/>
      <c r="C335" s="14"/>
      <c r="D335" s="14"/>
      <c r="E335" s="14"/>
      <c r="F335" s="14"/>
      <c r="G335" s="14"/>
      <c r="H335" s="14"/>
      <c r="I335" s="14"/>
      <c r="J335" s="14"/>
      <c r="K335" s="14"/>
      <c r="L335" s="15"/>
      <c r="M335" s="14"/>
      <c r="N335" s="14"/>
      <c r="O335" s="14"/>
      <c r="P335" s="14"/>
      <c r="Q335" s="16"/>
      <c r="R335" s="14"/>
      <c r="Z335" s="16"/>
      <c r="AC335" s="14"/>
      <c r="AD335" s="14"/>
      <c r="AE335" s="14"/>
      <c r="AF335" s="14"/>
      <c r="AG335" s="14"/>
      <c r="AH335" s="14"/>
      <c r="AI335" s="14"/>
      <c r="AJ335" s="14"/>
      <c r="AK335" s="14"/>
      <c r="AL335" s="14"/>
      <c r="AS335" s="14"/>
      <c r="AT335" s="14"/>
      <c r="AU335" s="14"/>
      <c r="AV335" s="14"/>
      <c r="AW335" s="14"/>
      <c r="AX335" s="14"/>
      <c r="AY335" s="14"/>
      <c r="BA335" s="14"/>
      <c r="BE335" s="16"/>
      <c r="BH335" s="14"/>
      <c r="BI335" s="14"/>
      <c r="BJ335" s="14"/>
      <c r="BK335" s="14"/>
      <c r="BL335" s="14"/>
      <c r="BM335" s="14"/>
      <c r="BN335" s="14"/>
      <c r="BO335" s="14"/>
      <c r="BP335" s="14"/>
      <c r="BQ335" s="14"/>
      <c r="BX335" s="14"/>
      <c r="BY335" s="14"/>
      <c r="BZ335" s="14"/>
      <c r="CA335" s="14"/>
      <c r="CB335" s="14"/>
      <c r="CC335" s="14"/>
      <c r="CD335" s="14"/>
      <c r="CF335" s="14"/>
      <c r="CJ335" s="16"/>
      <c r="CM335" s="14"/>
      <c r="CN335" s="14"/>
      <c r="CO335" s="14"/>
      <c r="CP335" s="14"/>
      <c r="CQ335" s="14"/>
      <c r="CR335" s="14"/>
      <c r="CS335" s="14"/>
      <c r="CT335" s="14"/>
      <c r="CU335" s="14"/>
      <c r="CV335" s="14"/>
    </row>
    <row r="336" spans="1:100" x14ac:dyDescent="0.2">
      <c r="A336" s="14"/>
      <c r="B336" s="14"/>
      <c r="C336" s="14"/>
      <c r="D336" s="14"/>
      <c r="E336" s="14"/>
      <c r="F336" s="14"/>
      <c r="G336" s="14"/>
      <c r="H336" s="14"/>
      <c r="I336" s="14"/>
      <c r="J336" s="14"/>
      <c r="K336" s="14"/>
      <c r="L336" s="15"/>
      <c r="M336" s="14"/>
      <c r="N336" s="14"/>
      <c r="O336" s="14"/>
      <c r="P336" s="14"/>
      <c r="Q336" s="16"/>
      <c r="R336" s="14"/>
      <c r="Z336" s="16"/>
      <c r="AC336" s="14"/>
      <c r="AD336" s="14"/>
      <c r="AE336" s="14"/>
      <c r="AF336" s="14"/>
      <c r="AG336" s="14"/>
      <c r="AH336" s="14"/>
      <c r="AI336" s="14"/>
      <c r="AJ336" s="14"/>
      <c r="AK336" s="14"/>
      <c r="AL336" s="14"/>
      <c r="AS336" s="14"/>
      <c r="AT336" s="14"/>
      <c r="AU336" s="14"/>
      <c r="AV336" s="14"/>
      <c r="AW336" s="14"/>
      <c r="AX336" s="14"/>
      <c r="AY336" s="14"/>
      <c r="BA336" s="14"/>
      <c r="BE336" s="16"/>
      <c r="BH336" s="14"/>
      <c r="BI336" s="14"/>
      <c r="BJ336" s="14"/>
      <c r="BK336" s="14"/>
      <c r="BL336" s="14"/>
      <c r="BM336" s="14"/>
      <c r="BN336" s="14"/>
      <c r="BO336" s="14"/>
      <c r="BP336" s="14"/>
      <c r="BQ336" s="14"/>
      <c r="BX336" s="14"/>
      <c r="BY336" s="14"/>
      <c r="BZ336" s="14"/>
      <c r="CA336" s="14"/>
      <c r="CB336" s="14"/>
      <c r="CC336" s="14"/>
      <c r="CD336" s="14"/>
      <c r="CF336" s="14"/>
      <c r="CJ336" s="16"/>
      <c r="CM336" s="14"/>
      <c r="CN336" s="14"/>
      <c r="CO336" s="14"/>
      <c r="CP336" s="14"/>
      <c r="CQ336" s="14"/>
      <c r="CR336" s="14"/>
      <c r="CS336" s="14"/>
      <c r="CT336" s="14"/>
      <c r="CU336" s="14"/>
      <c r="CV336" s="14"/>
    </row>
    <row r="337" spans="1:100" x14ac:dyDescent="0.2">
      <c r="A337" s="14"/>
      <c r="B337" s="14"/>
      <c r="C337" s="14"/>
      <c r="D337" s="14"/>
      <c r="E337" s="14"/>
      <c r="F337" s="14"/>
      <c r="G337" s="14"/>
      <c r="H337" s="14"/>
      <c r="I337" s="14"/>
      <c r="J337" s="14"/>
      <c r="K337" s="14"/>
      <c r="L337" s="15"/>
      <c r="M337" s="14"/>
      <c r="N337" s="14"/>
      <c r="O337" s="14"/>
      <c r="P337" s="14"/>
      <c r="Q337" s="16"/>
      <c r="R337" s="14"/>
      <c r="Z337" s="16"/>
      <c r="AC337" s="14"/>
      <c r="AD337" s="14"/>
      <c r="AE337" s="14"/>
      <c r="AF337" s="14"/>
      <c r="AG337" s="14"/>
      <c r="AH337" s="14"/>
      <c r="AI337" s="14"/>
      <c r="AJ337" s="14"/>
      <c r="AK337" s="14"/>
      <c r="AL337" s="14"/>
      <c r="AS337" s="14"/>
      <c r="AT337" s="14"/>
      <c r="AU337" s="14"/>
      <c r="AV337" s="14"/>
      <c r="AW337" s="14"/>
      <c r="AX337" s="14"/>
      <c r="AY337" s="14"/>
      <c r="BA337" s="14"/>
      <c r="BE337" s="16"/>
      <c r="BH337" s="14"/>
      <c r="BI337" s="14"/>
      <c r="BJ337" s="14"/>
      <c r="BK337" s="14"/>
      <c r="BL337" s="14"/>
      <c r="BM337" s="14"/>
      <c r="BN337" s="14"/>
      <c r="BO337" s="14"/>
      <c r="BP337" s="14"/>
      <c r="BQ337" s="14"/>
      <c r="BX337" s="14"/>
      <c r="BY337" s="14"/>
      <c r="BZ337" s="14"/>
      <c r="CA337" s="14"/>
      <c r="CB337" s="14"/>
      <c r="CC337" s="14"/>
      <c r="CD337" s="14"/>
      <c r="CF337" s="14"/>
      <c r="CJ337" s="16"/>
      <c r="CM337" s="14"/>
      <c r="CN337" s="14"/>
      <c r="CO337" s="14"/>
      <c r="CP337" s="14"/>
      <c r="CQ337" s="14"/>
      <c r="CR337" s="14"/>
      <c r="CS337" s="14"/>
      <c r="CT337" s="14"/>
      <c r="CU337" s="14"/>
      <c r="CV337" s="14"/>
    </row>
    <row r="338" spans="1:100" x14ac:dyDescent="0.2">
      <c r="A338" s="14"/>
      <c r="B338" s="14"/>
      <c r="C338" s="14"/>
      <c r="D338" s="14"/>
      <c r="E338" s="14"/>
      <c r="F338" s="14"/>
      <c r="G338" s="14"/>
      <c r="H338" s="14"/>
      <c r="I338" s="14"/>
      <c r="J338" s="14"/>
      <c r="K338" s="14"/>
      <c r="L338" s="15"/>
      <c r="M338" s="14"/>
      <c r="N338" s="14"/>
      <c r="O338" s="14"/>
      <c r="P338" s="14"/>
      <c r="Q338" s="16"/>
      <c r="R338" s="14"/>
      <c r="Z338" s="16"/>
      <c r="AC338" s="14"/>
      <c r="AD338" s="14"/>
      <c r="AE338" s="14"/>
      <c r="AF338" s="14"/>
      <c r="AG338" s="14"/>
      <c r="AH338" s="14"/>
      <c r="AI338" s="14"/>
      <c r="AJ338" s="14"/>
      <c r="AK338" s="14"/>
      <c r="AL338" s="14"/>
      <c r="AS338" s="14"/>
      <c r="AT338" s="14"/>
      <c r="AU338" s="14"/>
      <c r="AV338" s="14"/>
      <c r="AW338" s="14"/>
      <c r="AX338" s="14"/>
      <c r="AY338" s="14"/>
      <c r="BA338" s="14"/>
      <c r="BE338" s="16"/>
      <c r="BH338" s="14"/>
      <c r="BI338" s="14"/>
      <c r="BJ338" s="14"/>
      <c r="BK338" s="14"/>
      <c r="BL338" s="14"/>
      <c r="BM338" s="14"/>
      <c r="BN338" s="14"/>
      <c r="BO338" s="14"/>
      <c r="BP338" s="14"/>
      <c r="BQ338" s="14"/>
      <c r="BX338" s="14"/>
      <c r="BY338" s="14"/>
      <c r="BZ338" s="14"/>
      <c r="CA338" s="14"/>
      <c r="CB338" s="14"/>
      <c r="CC338" s="14"/>
      <c r="CD338" s="14"/>
      <c r="CF338" s="14"/>
      <c r="CJ338" s="16"/>
      <c r="CM338" s="14"/>
      <c r="CN338" s="14"/>
      <c r="CO338" s="14"/>
      <c r="CP338" s="14"/>
      <c r="CQ338" s="14"/>
      <c r="CR338" s="14"/>
      <c r="CS338" s="14"/>
      <c r="CT338" s="14"/>
      <c r="CU338" s="14"/>
      <c r="CV338" s="14"/>
    </row>
    <row r="339" spans="1:100" x14ac:dyDescent="0.2">
      <c r="A339" s="14"/>
      <c r="B339" s="14"/>
      <c r="C339" s="14"/>
      <c r="D339" s="14"/>
      <c r="E339" s="14"/>
      <c r="F339" s="14"/>
      <c r="G339" s="14"/>
      <c r="H339" s="14"/>
      <c r="I339" s="14"/>
      <c r="J339" s="14"/>
      <c r="K339" s="14"/>
      <c r="L339" s="15"/>
      <c r="M339" s="14"/>
      <c r="N339" s="14"/>
      <c r="O339" s="14"/>
      <c r="P339" s="14"/>
      <c r="Q339" s="16"/>
      <c r="R339" s="14"/>
      <c r="Z339" s="16"/>
      <c r="AC339" s="14"/>
      <c r="AD339" s="14"/>
      <c r="AE339" s="14"/>
      <c r="AF339" s="14"/>
      <c r="AG339" s="14"/>
      <c r="AH339" s="14"/>
      <c r="AI339" s="14"/>
      <c r="AJ339" s="14"/>
      <c r="AK339" s="14"/>
      <c r="AL339" s="14"/>
      <c r="AS339" s="14"/>
      <c r="AT339" s="14"/>
      <c r="AU339" s="14"/>
      <c r="AV339" s="14"/>
      <c r="AW339" s="14"/>
      <c r="AX339" s="14"/>
      <c r="AY339" s="14"/>
      <c r="BA339" s="14"/>
      <c r="BE339" s="16"/>
      <c r="BH339" s="14"/>
      <c r="BI339" s="14"/>
      <c r="BJ339" s="14"/>
      <c r="BK339" s="14"/>
      <c r="BL339" s="14"/>
      <c r="BM339" s="14"/>
      <c r="BN339" s="14"/>
      <c r="BO339" s="14"/>
      <c r="BP339" s="14"/>
      <c r="BQ339" s="14"/>
      <c r="BX339" s="14"/>
      <c r="BY339" s="14"/>
      <c r="BZ339" s="14"/>
      <c r="CA339" s="14"/>
      <c r="CB339" s="14"/>
      <c r="CC339" s="14"/>
      <c r="CD339" s="14"/>
      <c r="CF339" s="14"/>
      <c r="CJ339" s="16"/>
      <c r="CM339" s="14"/>
      <c r="CN339" s="14"/>
      <c r="CO339" s="14"/>
      <c r="CP339" s="14"/>
      <c r="CQ339" s="14"/>
      <c r="CR339" s="14"/>
      <c r="CS339" s="14"/>
      <c r="CT339" s="14"/>
      <c r="CU339" s="14"/>
      <c r="CV339" s="14"/>
    </row>
    <row r="340" spans="1:100" x14ac:dyDescent="0.2">
      <c r="A340" s="14"/>
      <c r="B340" s="14"/>
      <c r="C340" s="14"/>
      <c r="D340" s="14"/>
      <c r="E340" s="14"/>
      <c r="F340" s="14"/>
      <c r="G340" s="14"/>
      <c r="H340" s="14"/>
      <c r="I340" s="14"/>
      <c r="J340" s="14"/>
      <c r="K340" s="14"/>
      <c r="L340" s="15"/>
      <c r="M340" s="14"/>
      <c r="N340" s="14"/>
      <c r="O340" s="14"/>
      <c r="P340" s="14"/>
      <c r="Q340" s="16"/>
      <c r="R340" s="14"/>
      <c r="Z340" s="16"/>
      <c r="AC340" s="14"/>
      <c r="AD340" s="14"/>
      <c r="AE340" s="14"/>
      <c r="AF340" s="14"/>
      <c r="AG340" s="14"/>
      <c r="AH340" s="14"/>
      <c r="AI340" s="14"/>
      <c r="AJ340" s="14"/>
      <c r="AK340" s="14"/>
      <c r="AL340" s="14"/>
      <c r="AS340" s="14"/>
      <c r="AT340" s="14"/>
      <c r="AU340" s="14"/>
      <c r="AV340" s="14"/>
      <c r="AW340" s="14"/>
      <c r="AX340" s="14"/>
      <c r="AY340" s="14"/>
      <c r="BA340" s="14"/>
      <c r="BE340" s="16"/>
      <c r="BH340" s="14"/>
      <c r="BI340" s="14"/>
      <c r="BJ340" s="14"/>
      <c r="BK340" s="14"/>
      <c r="BL340" s="14"/>
      <c r="BM340" s="14"/>
      <c r="BN340" s="14"/>
      <c r="BO340" s="14"/>
      <c r="BP340" s="14"/>
      <c r="BQ340" s="14"/>
      <c r="BX340" s="14"/>
      <c r="BY340" s="14"/>
      <c r="BZ340" s="14"/>
      <c r="CA340" s="14"/>
      <c r="CB340" s="14"/>
      <c r="CC340" s="14"/>
      <c r="CD340" s="14"/>
      <c r="CF340" s="14"/>
      <c r="CJ340" s="16"/>
      <c r="CM340" s="14"/>
      <c r="CN340" s="14"/>
      <c r="CO340" s="14"/>
      <c r="CP340" s="14"/>
      <c r="CQ340" s="14"/>
      <c r="CR340" s="14"/>
      <c r="CS340" s="14"/>
      <c r="CT340" s="14"/>
      <c r="CU340" s="14"/>
      <c r="CV340" s="14"/>
    </row>
    <row r="341" spans="1:100" x14ac:dyDescent="0.2">
      <c r="A341" s="14"/>
      <c r="B341" s="14"/>
      <c r="C341" s="14"/>
      <c r="D341" s="14"/>
      <c r="E341" s="14"/>
      <c r="F341" s="14"/>
      <c r="G341" s="14"/>
      <c r="H341" s="14"/>
      <c r="I341" s="14"/>
      <c r="J341" s="14"/>
      <c r="K341" s="14"/>
      <c r="L341" s="15"/>
      <c r="M341" s="14"/>
      <c r="N341" s="14"/>
      <c r="O341" s="14"/>
      <c r="P341" s="14"/>
      <c r="Q341" s="16"/>
      <c r="R341" s="14"/>
      <c r="Z341" s="16"/>
      <c r="AC341" s="14"/>
      <c r="AD341" s="14"/>
      <c r="AE341" s="14"/>
      <c r="AF341" s="14"/>
      <c r="AG341" s="14"/>
      <c r="AH341" s="14"/>
      <c r="AI341" s="14"/>
      <c r="AJ341" s="14"/>
      <c r="AK341" s="14"/>
      <c r="AL341" s="14"/>
      <c r="AS341" s="14"/>
      <c r="AT341" s="14"/>
      <c r="AU341" s="14"/>
      <c r="AV341" s="14"/>
      <c r="AW341" s="14"/>
      <c r="AX341" s="14"/>
      <c r="AY341" s="14"/>
      <c r="BA341" s="14"/>
      <c r="BE341" s="16"/>
      <c r="BH341" s="14"/>
      <c r="BI341" s="14"/>
      <c r="BJ341" s="14"/>
      <c r="BK341" s="14"/>
      <c r="BL341" s="14"/>
      <c r="BM341" s="14"/>
      <c r="BN341" s="14"/>
      <c r="BO341" s="14"/>
      <c r="BP341" s="14"/>
      <c r="BQ341" s="14"/>
      <c r="BX341" s="14"/>
      <c r="BY341" s="14"/>
      <c r="BZ341" s="14"/>
      <c r="CA341" s="14"/>
      <c r="CB341" s="14"/>
      <c r="CC341" s="14"/>
      <c r="CD341" s="14"/>
      <c r="CF341" s="14"/>
      <c r="CJ341" s="16"/>
      <c r="CM341" s="14"/>
      <c r="CN341" s="14"/>
      <c r="CO341" s="14"/>
      <c r="CP341" s="14"/>
      <c r="CQ341" s="14"/>
      <c r="CR341" s="14"/>
      <c r="CS341" s="14"/>
      <c r="CT341" s="14"/>
      <c r="CU341" s="14"/>
      <c r="CV341" s="14"/>
    </row>
    <row r="342" spans="1:100" x14ac:dyDescent="0.2">
      <c r="A342" s="14"/>
      <c r="B342" s="14"/>
      <c r="C342" s="14"/>
      <c r="D342" s="14"/>
      <c r="E342" s="14"/>
      <c r="F342" s="14"/>
      <c r="G342" s="14"/>
      <c r="H342" s="14"/>
      <c r="I342" s="14"/>
      <c r="J342" s="14"/>
      <c r="K342" s="14"/>
      <c r="L342" s="15"/>
      <c r="M342" s="14"/>
      <c r="N342" s="14"/>
      <c r="O342" s="14"/>
      <c r="P342" s="14"/>
      <c r="Q342" s="16"/>
      <c r="R342" s="14"/>
      <c r="Z342" s="16"/>
      <c r="AC342" s="14"/>
      <c r="AD342" s="14"/>
      <c r="AE342" s="14"/>
      <c r="AF342" s="14"/>
      <c r="AG342" s="14"/>
      <c r="AH342" s="14"/>
      <c r="AI342" s="14"/>
      <c r="AJ342" s="14"/>
      <c r="AK342" s="14"/>
      <c r="AL342" s="14"/>
      <c r="AS342" s="14"/>
      <c r="AT342" s="14"/>
      <c r="AU342" s="14"/>
      <c r="AV342" s="14"/>
      <c r="AW342" s="14"/>
      <c r="AX342" s="14"/>
      <c r="AY342" s="14"/>
      <c r="BA342" s="14"/>
      <c r="BE342" s="16"/>
      <c r="BH342" s="14"/>
      <c r="BI342" s="14"/>
      <c r="BJ342" s="14"/>
      <c r="BK342" s="14"/>
      <c r="BL342" s="14"/>
      <c r="BM342" s="14"/>
      <c r="BN342" s="14"/>
      <c r="BO342" s="14"/>
      <c r="BP342" s="14"/>
      <c r="BQ342" s="14"/>
      <c r="BX342" s="14"/>
      <c r="BY342" s="14"/>
      <c r="BZ342" s="14"/>
      <c r="CA342" s="14"/>
      <c r="CB342" s="14"/>
      <c r="CC342" s="14"/>
      <c r="CD342" s="14"/>
      <c r="CF342" s="14"/>
      <c r="CJ342" s="16"/>
      <c r="CM342" s="14"/>
      <c r="CN342" s="14"/>
      <c r="CO342" s="14"/>
      <c r="CP342" s="14"/>
      <c r="CQ342" s="14"/>
      <c r="CR342" s="14"/>
      <c r="CS342" s="14"/>
      <c r="CT342" s="14"/>
      <c r="CU342" s="14"/>
      <c r="CV342" s="14"/>
    </row>
    <row r="343" spans="1:100" x14ac:dyDescent="0.2">
      <c r="A343" s="14"/>
      <c r="B343" s="14"/>
      <c r="C343" s="14"/>
      <c r="D343" s="14"/>
      <c r="E343" s="14"/>
      <c r="F343" s="14"/>
      <c r="G343" s="14"/>
      <c r="H343" s="14"/>
      <c r="I343" s="14"/>
      <c r="J343" s="14"/>
      <c r="K343" s="14"/>
      <c r="L343" s="15"/>
      <c r="M343" s="14"/>
      <c r="N343" s="14"/>
      <c r="O343" s="14"/>
      <c r="P343" s="14"/>
      <c r="Q343" s="16"/>
      <c r="R343" s="14"/>
      <c r="Z343" s="16"/>
      <c r="AC343" s="14"/>
      <c r="AD343" s="14"/>
      <c r="AE343" s="14"/>
      <c r="AF343" s="14"/>
      <c r="AG343" s="14"/>
      <c r="AH343" s="14"/>
      <c r="AI343" s="14"/>
      <c r="AJ343" s="14"/>
      <c r="AK343" s="14"/>
      <c r="AL343" s="14"/>
      <c r="AS343" s="14"/>
      <c r="AT343" s="14"/>
      <c r="AU343" s="14"/>
      <c r="AV343" s="14"/>
      <c r="AW343" s="14"/>
      <c r="AX343" s="14"/>
      <c r="AY343" s="14"/>
      <c r="BA343" s="14"/>
      <c r="BE343" s="16"/>
      <c r="BH343" s="14"/>
      <c r="BI343" s="14"/>
      <c r="BJ343" s="14"/>
      <c r="BK343" s="14"/>
      <c r="BL343" s="14"/>
      <c r="BM343" s="14"/>
      <c r="BN343" s="14"/>
      <c r="BO343" s="14"/>
      <c r="BP343" s="14"/>
      <c r="BQ343" s="14"/>
      <c r="BX343" s="14"/>
      <c r="BY343" s="14"/>
      <c r="BZ343" s="14"/>
      <c r="CA343" s="14"/>
      <c r="CB343" s="14"/>
      <c r="CC343" s="14"/>
      <c r="CD343" s="14"/>
      <c r="CF343" s="14"/>
      <c r="CJ343" s="16"/>
      <c r="CM343" s="14"/>
      <c r="CN343" s="14"/>
      <c r="CO343" s="14"/>
      <c r="CP343" s="14"/>
      <c r="CQ343" s="14"/>
      <c r="CR343" s="14"/>
      <c r="CS343" s="14"/>
      <c r="CT343" s="14"/>
      <c r="CU343" s="14"/>
      <c r="CV343" s="14"/>
    </row>
    <row r="344" spans="1:100" x14ac:dyDescent="0.2">
      <c r="A344" s="14"/>
      <c r="B344" s="14"/>
      <c r="C344" s="14"/>
      <c r="D344" s="14"/>
      <c r="E344" s="14"/>
      <c r="F344" s="14"/>
      <c r="G344" s="14"/>
      <c r="H344" s="14"/>
      <c r="I344" s="14"/>
      <c r="J344" s="14"/>
      <c r="K344" s="14"/>
      <c r="L344" s="15"/>
      <c r="M344" s="14"/>
      <c r="N344" s="14"/>
      <c r="O344" s="14"/>
      <c r="P344" s="14"/>
      <c r="Q344" s="16"/>
      <c r="R344" s="14"/>
      <c r="Z344" s="16"/>
      <c r="AC344" s="14"/>
      <c r="AD344" s="14"/>
      <c r="AE344" s="14"/>
      <c r="AF344" s="14"/>
      <c r="AG344" s="14"/>
      <c r="AH344" s="14"/>
      <c r="AI344" s="14"/>
      <c r="AJ344" s="14"/>
      <c r="AK344" s="14"/>
      <c r="AL344" s="14"/>
      <c r="AS344" s="14"/>
      <c r="AT344" s="14"/>
      <c r="AU344" s="14"/>
      <c r="AV344" s="14"/>
      <c r="AW344" s="14"/>
      <c r="AX344" s="14"/>
      <c r="AY344" s="14"/>
      <c r="BA344" s="14"/>
      <c r="BE344" s="16"/>
      <c r="BH344" s="14"/>
      <c r="BI344" s="14"/>
      <c r="BJ344" s="14"/>
      <c r="BK344" s="14"/>
      <c r="BL344" s="14"/>
      <c r="BM344" s="14"/>
      <c r="BN344" s="14"/>
      <c r="BO344" s="14"/>
      <c r="BP344" s="14"/>
      <c r="BQ344" s="14"/>
      <c r="BX344" s="14"/>
      <c r="BY344" s="14"/>
      <c r="BZ344" s="14"/>
      <c r="CA344" s="14"/>
      <c r="CB344" s="14"/>
      <c r="CC344" s="14"/>
      <c r="CD344" s="14"/>
      <c r="CF344" s="14"/>
      <c r="CJ344" s="16"/>
      <c r="CM344" s="14"/>
      <c r="CN344" s="14"/>
      <c r="CO344" s="14"/>
      <c r="CP344" s="14"/>
      <c r="CQ344" s="14"/>
      <c r="CR344" s="14"/>
      <c r="CS344" s="14"/>
      <c r="CT344" s="14"/>
      <c r="CU344" s="14"/>
      <c r="CV344" s="14"/>
    </row>
    <row r="345" spans="1:100" x14ac:dyDescent="0.2">
      <c r="A345" s="14"/>
      <c r="B345" s="14"/>
      <c r="C345" s="14"/>
      <c r="D345" s="14"/>
      <c r="E345" s="14"/>
      <c r="F345" s="14"/>
      <c r="G345" s="14"/>
      <c r="H345" s="14"/>
      <c r="I345" s="14"/>
      <c r="J345" s="14"/>
      <c r="K345" s="14"/>
      <c r="L345" s="15"/>
      <c r="M345" s="14"/>
      <c r="N345" s="14"/>
      <c r="O345" s="14"/>
      <c r="P345" s="14"/>
      <c r="Q345" s="16"/>
      <c r="R345" s="14"/>
      <c r="Z345" s="16"/>
      <c r="AC345" s="14"/>
      <c r="AD345" s="14"/>
      <c r="AE345" s="14"/>
      <c r="AF345" s="14"/>
      <c r="AG345" s="14"/>
      <c r="AH345" s="14"/>
      <c r="AI345" s="14"/>
      <c r="AJ345" s="14"/>
      <c r="AK345" s="14"/>
      <c r="AL345" s="14"/>
      <c r="AS345" s="14"/>
      <c r="AT345" s="14"/>
      <c r="AU345" s="14"/>
      <c r="AV345" s="14"/>
      <c r="AW345" s="14"/>
      <c r="AX345" s="14"/>
      <c r="AY345" s="14"/>
      <c r="BA345" s="14"/>
      <c r="BE345" s="16"/>
      <c r="BH345" s="14"/>
      <c r="BI345" s="14"/>
      <c r="BJ345" s="14"/>
      <c r="BK345" s="14"/>
      <c r="BL345" s="14"/>
      <c r="BM345" s="14"/>
      <c r="BN345" s="14"/>
      <c r="BO345" s="14"/>
      <c r="BP345" s="14"/>
      <c r="BQ345" s="14"/>
      <c r="BX345" s="14"/>
      <c r="BY345" s="14"/>
      <c r="BZ345" s="14"/>
      <c r="CA345" s="14"/>
      <c r="CB345" s="14"/>
      <c r="CC345" s="14"/>
      <c r="CD345" s="14"/>
      <c r="CF345" s="14"/>
      <c r="CJ345" s="16"/>
      <c r="CM345" s="14"/>
      <c r="CN345" s="14"/>
      <c r="CO345" s="14"/>
      <c r="CP345" s="14"/>
      <c r="CQ345" s="14"/>
      <c r="CR345" s="14"/>
      <c r="CS345" s="14"/>
      <c r="CT345" s="14"/>
      <c r="CU345" s="14"/>
      <c r="CV345" s="14"/>
    </row>
    <row r="346" spans="1:100" x14ac:dyDescent="0.2">
      <c r="A346" s="14"/>
      <c r="B346" s="14"/>
      <c r="C346" s="14"/>
      <c r="D346" s="14"/>
      <c r="E346" s="14"/>
      <c r="F346" s="14"/>
      <c r="G346" s="14"/>
      <c r="H346" s="14"/>
      <c r="I346" s="14"/>
      <c r="J346" s="14"/>
      <c r="K346" s="14"/>
      <c r="L346" s="15"/>
      <c r="M346" s="14"/>
      <c r="N346" s="14"/>
      <c r="O346" s="14"/>
      <c r="P346" s="14"/>
      <c r="Q346" s="16"/>
      <c r="R346" s="14"/>
      <c r="Z346" s="16"/>
      <c r="AC346" s="14"/>
      <c r="AD346" s="14"/>
      <c r="AE346" s="14"/>
      <c r="AF346" s="14"/>
      <c r="AG346" s="14"/>
      <c r="AH346" s="14"/>
      <c r="AI346" s="14"/>
      <c r="AJ346" s="14"/>
      <c r="AK346" s="14"/>
      <c r="AL346" s="14"/>
      <c r="AS346" s="14"/>
      <c r="AT346" s="14"/>
      <c r="AU346" s="14"/>
      <c r="AV346" s="14"/>
      <c r="AW346" s="14"/>
      <c r="AX346" s="14"/>
      <c r="AY346" s="14"/>
      <c r="BA346" s="14"/>
      <c r="BE346" s="16"/>
      <c r="BH346" s="14"/>
      <c r="BI346" s="14"/>
      <c r="BJ346" s="14"/>
      <c r="BK346" s="14"/>
      <c r="BL346" s="14"/>
      <c r="BM346" s="14"/>
      <c r="BN346" s="14"/>
      <c r="BO346" s="14"/>
      <c r="BP346" s="14"/>
      <c r="BQ346" s="14"/>
      <c r="BX346" s="14"/>
      <c r="BY346" s="14"/>
      <c r="BZ346" s="14"/>
      <c r="CA346" s="14"/>
      <c r="CB346" s="14"/>
      <c r="CC346" s="14"/>
      <c r="CD346" s="14"/>
      <c r="CF346" s="14"/>
      <c r="CJ346" s="16"/>
      <c r="CM346" s="14"/>
      <c r="CN346" s="14"/>
      <c r="CO346" s="14"/>
      <c r="CP346" s="14"/>
      <c r="CQ346" s="14"/>
      <c r="CR346" s="14"/>
      <c r="CS346" s="14"/>
      <c r="CT346" s="14"/>
      <c r="CU346" s="14"/>
      <c r="CV346" s="14"/>
    </row>
    <row r="347" spans="1:100" x14ac:dyDescent="0.2">
      <c r="A347" s="14"/>
      <c r="B347" s="14"/>
      <c r="C347" s="14"/>
      <c r="D347" s="14"/>
      <c r="E347" s="14"/>
      <c r="F347" s="14"/>
      <c r="G347" s="14"/>
      <c r="H347" s="14"/>
      <c r="I347" s="14"/>
      <c r="J347" s="14"/>
      <c r="K347" s="14"/>
      <c r="L347" s="15"/>
      <c r="M347" s="14"/>
      <c r="N347" s="14"/>
      <c r="O347" s="14"/>
      <c r="P347" s="14"/>
      <c r="Q347" s="16"/>
      <c r="R347" s="14"/>
      <c r="Z347" s="16"/>
      <c r="AC347" s="14"/>
      <c r="AD347" s="14"/>
      <c r="AE347" s="14"/>
      <c r="AF347" s="14"/>
      <c r="AG347" s="14"/>
      <c r="AH347" s="14"/>
      <c r="AI347" s="14"/>
      <c r="AJ347" s="14"/>
      <c r="AK347" s="14"/>
      <c r="AL347" s="14"/>
      <c r="AS347" s="14"/>
      <c r="AT347" s="14"/>
      <c r="AU347" s="14"/>
      <c r="AV347" s="14"/>
      <c r="AW347" s="14"/>
      <c r="AX347" s="14"/>
      <c r="AY347" s="14"/>
      <c r="BA347" s="14"/>
      <c r="BE347" s="16"/>
      <c r="BH347" s="14"/>
      <c r="BI347" s="14"/>
      <c r="BJ347" s="14"/>
      <c r="BK347" s="14"/>
      <c r="BL347" s="14"/>
      <c r="BM347" s="14"/>
      <c r="BN347" s="14"/>
      <c r="BO347" s="14"/>
      <c r="BP347" s="14"/>
      <c r="BQ347" s="14"/>
      <c r="BX347" s="14"/>
      <c r="BY347" s="14"/>
      <c r="BZ347" s="14"/>
      <c r="CA347" s="14"/>
      <c r="CB347" s="14"/>
      <c r="CC347" s="14"/>
      <c r="CD347" s="14"/>
      <c r="CF347" s="14"/>
      <c r="CJ347" s="16"/>
      <c r="CM347" s="14"/>
      <c r="CN347" s="14"/>
      <c r="CO347" s="14"/>
      <c r="CP347" s="14"/>
      <c r="CQ347" s="14"/>
      <c r="CR347" s="14"/>
      <c r="CS347" s="14"/>
      <c r="CT347" s="14"/>
      <c r="CU347" s="14"/>
      <c r="CV347" s="14"/>
    </row>
    <row r="348" spans="1:100" x14ac:dyDescent="0.2">
      <c r="A348" s="14"/>
      <c r="B348" s="14"/>
      <c r="C348" s="14"/>
      <c r="D348" s="14"/>
      <c r="E348" s="14"/>
      <c r="F348" s="14"/>
      <c r="G348" s="14"/>
      <c r="H348" s="14"/>
      <c r="I348" s="14"/>
      <c r="J348" s="14"/>
      <c r="K348" s="14"/>
      <c r="L348" s="15"/>
      <c r="M348" s="14"/>
      <c r="N348" s="14"/>
      <c r="O348" s="14"/>
      <c r="P348" s="14"/>
      <c r="Q348" s="16"/>
      <c r="R348" s="14"/>
      <c r="Z348" s="16"/>
      <c r="AC348" s="14"/>
      <c r="AD348" s="14"/>
      <c r="AE348" s="14"/>
      <c r="AF348" s="14"/>
      <c r="AG348" s="14"/>
      <c r="AH348" s="14"/>
      <c r="AI348" s="14"/>
      <c r="AJ348" s="14"/>
      <c r="AK348" s="14"/>
      <c r="AL348" s="14"/>
      <c r="AS348" s="14"/>
      <c r="AT348" s="14"/>
      <c r="AU348" s="14"/>
      <c r="AV348" s="14"/>
      <c r="AW348" s="14"/>
      <c r="AX348" s="14"/>
      <c r="AY348" s="14"/>
      <c r="BA348" s="14"/>
      <c r="BE348" s="16"/>
      <c r="BH348" s="14"/>
      <c r="BI348" s="14"/>
      <c r="BJ348" s="14"/>
      <c r="BK348" s="14"/>
      <c r="BL348" s="14"/>
      <c r="BM348" s="14"/>
      <c r="BN348" s="14"/>
      <c r="BO348" s="14"/>
      <c r="BP348" s="14"/>
      <c r="BQ348" s="14"/>
      <c r="BX348" s="14"/>
      <c r="BY348" s="14"/>
      <c r="BZ348" s="14"/>
      <c r="CA348" s="14"/>
      <c r="CB348" s="14"/>
      <c r="CC348" s="14"/>
      <c r="CD348" s="14"/>
      <c r="CF348" s="14"/>
      <c r="CJ348" s="16"/>
      <c r="CM348" s="14"/>
      <c r="CN348" s="14"/>
      <c r="CO348" s="14"/>
      <c r="CP348" s="14"/>
      <c r="CQ348" s="14"/>
      <c r="CR348" s="14"/>
      <c r="CS348" s="14"/>
      <c r="CT348" s="14"/>
      <c r="CU348" s="14"/>
      <c r="CV348" s="14"/>
    </row>
    <row r="349" spans="1:100" x14ac:dyDescent="0.2">
      <c r="A349" s="14"/>
      <c r="B349" s="14"/>
      <c r="C349" s="14"/>
      <c r="D349" s="14"/>
      <c r="E349" s="14"/>
      <c r="F349" s="14"/>
      <c r="G349" s="14"/>
      <c r="H349" s="14"/>
      <c r="I349" s="14"/>
      <c r="J349" s="14"/>
      <c r="K349" s="14"/>
      <c r="L349" s="15"/>
      <c r="M349" s="14"/>
      <c r="N349" s="14"/>
      <c r="O349" s="14"/>
      <c r="P349" s="14"/>
      <c r="Q349" s="16"/>
      <c r="R349" s="14"/>
      <c r="Z349" s="16"/>
      <c r="AC349" s="14"/>
      <c r="AD349" s="14"/>
      <c r="AE349" s="14"/>
      <c r="AF349" s="14"/>
      <c r="AG349" s="14"/>
      <c r="AH349" s="14"/>
      <c r="AI349" s="14"/>
      <c r="AJ349" s="14"/>
      <c r="AK349" s="14"/>
      <c r="AL349" s="14"/>
      <c r="AS349" s="14"/>
      <c r="AT349" s="14"/>
      <c r="AU349" s="14"/>
      <c r="AV349" s="14"/>
      <c r="AW349" s="14"/>
      <c r="AX349" s="14"/>
      <c r="AY349" s="14"/>
      <c r="BA349" s="14"/>
      <c r="BE349" s="16"/>
      <c r="BH349" s="14"/>
      <c r="BI349" s="14"/>
      <c r="BJ349" s="14"/>
      <c r="BK349" s="14"/>
      <c r="BL349" s="14"/>
      <c r="BM349" s="14"/>
      <c r="BN349" s="14"/>
      <c r="BO349" s="14"/>
      <c r="BP349" s="14"/>
      <c r="BQ349" s="14"/>
      <c r="BX349" s="14"/>
      <c r="BY349" s="14"/>
      <c r="BZ349" s="14"/>
      <c r="CA349" s="14"/>
      <c r="CB349" s="14"/>
      <c r="CC349" s="14"/>
      <c r="CD349" s="14"/>
      <c r="CF349" s="14"/>
      <c r="CJ349" s="16"/>
      <c r="CM349" s="14"/>
      <c r="CN349" s="14"/>
      <c r="CO349" s="14"/>
      <c r="CP349" s="14"/>
      <c r="CQ349" s="14"/>
      <c r="CR349" s="14"/>
      <c r="CS349" s="14"/>
      <c r="CT349" s="14"/>
      <c r="CU349" s="14"/>
      <c r="CV349" s="14"/>
    </row>
    <row r="350" spans="1:100" x14ac:dyDescent="0.2">
      <c r="A350" s="14"/>
      <c r="B350" s="14"/>
      <c r="C350" s="14"/>
      <c r="D350" s="14"/>
      <c r="E350" s="14"/>
      <c r="F350" s="14"/>
      <c r="G350" s="14"/>
      <c r="H350" s="14"/>
      <c r="I350" s="14"/>
      <c r="J350" s="14"/>
      <c r="K350" s="14"/>
      <c r="L350" s="15"/>
      <c r="M350" s="14"/>
      <c r="N350" s="14"/>
      <c r="O350" s="14"/>
      <c r="P350" s="14"/>
      <c r="Q350" s="16"/>
      <c r="R350" s="14"/>
      <c r="Z350" s="16"/>
      <c r="AC350" s="14"/>
      <c r="AD350" s="14"/>
      <c r="AE350" s="14"/>
      <c r="AF350" s="14"/>
      <c r="AG350" s="14"/>
      <c r="AH350" s="14"/>
      <c r="AI350" s="14"/>
      <c r="AJ350" s="14"/>
      <c r="AK350" s="14"/>
      <c r="AL350" s="14"/>
      <c r="AS350" s="14"/>
      <c r="AT350" s="14"/>
      <c r="AU350" s="14"/>
      <c r="AV350" s="14"/>
      <c r="AW350" s="14"/>
      <c r="AX350" s="14"/>
      <c r="AY350" s="14"/>
      <c r="BA350" s="14"/>
      <c r="BE350" s="16"/>
      <c r="BH350" s="14"/>
      <c r="BI350" s="14"/>
      <c r="BJ350" s="14"/>
      <c r="BK350" s="14"/>
      <c r="BL350" s="14"/>
      <c r="BM350" s="14"/>
      <c r="BN350" s="14"/>
      <c r="BO350" s="14"/>
      <c r="BP350" s="14"/>
      <c r="BQ350" s="14"/>
      <c r="BX350" s="14"/>
      <c r="BY350" s="14"/>
      <c r="BZ350" s="14"/>
      <c r="CA350" s="14"/>
      <c r="CB350" s="14"/>
      <c r="CC350" s="14"/>
      <c r="CD350" s="14"/>
      <c r="CF350" s="14"/>
      <c r="CJ350" s="16"/>
      <c r="CM350" s="14"/>
      <c r="CN350" s="14"/>
      <c r="CO350" s="14"/>
      <c r="CP350" s="14"/>
      <c r="CQ350" s="14"/>
      <c r="CR350" s="14"/>
      <c r="CS350" s="14"/>
      <c r="CT350" s="14"/>
      <c r="CU350" s="14"/>
      <c r="CV350" s="14"/>
    </row>
    <row r="351" spans="1:100" x14ac:dyDescent="0.2">
      <c r="A351" s="14"/>
      <c r="B351" s="14"/>
      <c r="C351" s="14"/>
      <c r="D351" s="14"/>
      <c r="E351" s="14"/>
      <c r="F351" s="14"/>
      <c r="G351" s="14"/>
      <c r="H351" s="14"/>
      <c r="I351" s="14"/>
      <c r="J351" s="14"/>
      <c r="K351" s="14"/>
      <c r="L351" s="15"/>
      <c r="M351" s="14"/>
      <c r="N351" s="14"/>
      <c r="O351" s="14"/>
      <c r="P351" s="14"/>
      <c r="Q351" s="16"/>
      <c r="R351" s="14"/>
      <c r="Z351" s="16"/>
      <c r="AC351" s="14"/>
      <c r="AD351" s="14"/>
      <c r="AE351" s="14"/>
      <c r="AF351" s="14"/>
      <c r="AG351" s="14"/>
      <c r="AH351" s="14"/>
      <c r="AI351" s="14"/>
      <c r="AJ351" s="14"/>
      <c r="AK351" s="14"/>
      <c r="AL351" s="14"/>
      <c r="AS351" s="14"/>
      <c r="AT351" s="14"/>
      <c r="AU351" s="14"/>
      <c r="AV351" s="14"/>
      <c r="AW351" s="14"/>
      <c r="AX351" s="14"/>
      <c r="AY351" s="14"/>
      <c r="BA351" s="14"/>
      <c r="BE351" s="16"/>
      <c r="BH351" s="14"/>
      <c r="BI351" s="14"/>
      <c r="BJ351" s="14"/>
      <c r="BK351" s="14"/>
      <c r="BL351" s="14"/>
      <c r="BM351" s="14"/>
      <c r="BN351" s="14"/>
      <c r="BO351" s="14"/>
      <c r="BP351" s="14"/>
      <c r="BQ351" s="14"/>
      <c r="BX351" s="14"/>
      <c r="BY351" s="14"/>
      <c r="BZ351" s="14"/>
      <c r="CA351" s="14"/>
      <c r="CB351" s="14"/>
      <c r="CC351" s="14"/>
      <c r="CD351" s="14"/>
      <c r="CF351" s="14"/>
      <c r="CJ351" s="16"/>
      <c r="CM351" s="14"/>
      <c r="CN351" s="14"/>
      <c r="CO351" s="14"/>
      <c r="CP351" s="14"/>
      <c r="CQ351" s="14"/>
      <c r="CR351" s="14"/>
      <c r="CS351" s="14"/>
      <c r="CT351" s="14"/>
      <c r="CU351" s="14"/>
      <c r="CV351" s="1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35"/>
  <sheetViews>
    <sheetView workbookViewId="0">
      <selection activeCell="O1" sqref="O1"/>
    </sheetView>
  </sheetViews>
  <sheetFormatPr baseColWidth="10" defaultColWidth="9.140625" defaultRowHeight="12.75" x14ac:dyDescent="0.2"/>
  <cols>
    <col min="7" max="7" width="9.140625" style="23"/>
    <col min="8" max="8" width="9.140625" style="1"/>
    <col min="14" max="14" width="9.140625" style="1"/>
  </cols>
  <sheetData>
    <row r="1" spans="1:16" x14ac:dyDescent="0.2">
      <c r="A1">
        <f>'Import OpenCPN'!W2</f>
        <v>0</v>
      </c>
      <c r="B1">
        <f>'Import OpenCPN'!X2</f>
        <v>0</v>
      </c>
      <c r="C1">
        <f>ABS(TRUNC(A1,0))</f>
        <v>0</v>
      </c>
      <c r="D1" t="str">
        <f>TEXT(C1,"00")</f>
        <v>00</v>
      </c>
      <c r="E1">
        <f>ABS(A1)-C1</f>
        <v>0</v>
      </c>
      <c r="F1">
        <f>E1*60</f>
        <v>0</v>
      </c>
      <c r="G1" s="23" t="str">
        <f>TEXT(F1,"00.000")</f>
        <v>00.000</v>
      </c>
      <c r="H1" s="1" t="str">
        <f>D1&amp;G1</f>
        <v>0000.000</v>
      </c>
      <c r="I1">
        <f>ABS(TRUNC(B1,0))</f>
        <v>0</v>
      </c>
      <c r="J1" t="str">
        <f>TEXT(I1,"000")</f>
        <v>000</v>
      </c>
      <c r="K1">
        <f>ABS(B1)-I1</f>
        <v>0</v>
      </c>
      <c r="L1">
        <f>K1*60</f>
        <v>0</v>
      </c>
      <c r="M1" t="str">
        <f>TEXT(L1,"00.000")</f>
        <v>00.000</v>
      </c>
      <c r="N1" s="1" t="str">
        <f>J1&amp;M1</f>
        <v>00000.000</v>
      </c>
      <c r="O1" t="str">
        <f>IF('Import OpenCPN'!W2&gt;0,"N","S")</f>
        <v>S</v>
      </c>
      <c r="P1" t="str">
        <f>IF('Import OpenCPN'!X2&gt;0,"E","W")</f>
        <v>W</v>
      </c>
    </row>
    <row r="2" spans="1:16" x14ac:dyDescent="0.2">
      <c r="A2">
        <f>'Import OpenCPN'!W3</f>
        <v>0</v>
      </c>
      <c r="B2">
        <f>'Import OpenCPN'!X3</f>
        <v>0</v>
      </c>
      <c r="C2">
        <f t="shared" ref="C2:C65" si="0">ABS(TRUNC(A2,0))</f>
        <v>0</v>
      </c>
      <c r="D2" t="str">
        <f t="shared" ref="D2:D65" si="1">TEXT(C2,"00")</f>
        <v>00</v>
      </c>
      <c r="E2">
        <f t="shared" ref="E2:E65" si="2">ABS(A2)-C2</f>
        <v>0</v>
      </c>
      <c r="F2">
        <f t="shared" ref="F2:F65" si="3">E2*60</f>
        <v>0</v>
      </c>
      <c r="G2" s="23" t="str">
        <f t="shared" ref="G2:G65" si="4">TEXT(F2,"00.000")</f>
        <v>00.000</v>
      </c>
      <c r="H2" s="1" t="str">
        <f t="shared" ref="H2:H65" si="5">D2&amp;G2</f>
        <v>0000.000</v>
      </c>
      <c r="I2">
        <f t="shared" ref="I2:I65" si="6">ABS(TRUNC(B2,0))</f>
        <v>0</v>
      </c>
      <c r="J2" t="str">
        <f t="shared" ref="J2:J65" si="7">TEXT(I2,"000")</f>
        <v>000</v>
      </c>
      <c r="K2">
        <f t="shared" ref="K2:K65" si="8">ABS(B2)-I2</f>
        <v>0</v>
      </c>
      <c r="L2">
        <f t="shared" ref="L2:L65" si="9">K2*60</f>
        <v>0</v>
      </c>
      <c r="M2" t="str">
        <f t="shared" ref="M2:M65" si="10">TEXT(L2,"00.000")</f>
        <v>00.000</v>
      </c>
      <c r="N2" s="1" t="str">
        <f t="shared" ref="N2:N65" si="11">J2&amp;M2</f>
        <v>00000.000</v>
      </c>
      <c r="O2" t="str">
        <f>IF('Import OpenCPN'!W3&gt;0,"N","S")</f>
        <v>S</v>
      </c>
      <c r="P2" t="str">
        <f>IF('Import OpenCPN'!X3&gt;0,"E","W")</f>
        <v>W</v>
      </c>
    </row>
    <row r="3" spans="1:16" x14ac:dyDescent="0.2">
      <c r="A3">
        <f>'Import OpenCPN'!W4</f>
        <v>0</v>
      </c>
      <c r="B3">
        <f>'Import OpenCPN'!X4</f>
        <v>0</v>
      </c>
      <c r="C3">
        <f t="shared" si="0"/>
        <v>0</v>
      </c>
      <c r="D3" t="str">
        <f t="shared" si="1"/>
        <v>00</v>
      </c>
      <c r="E3">
        <f t="shared" si="2"/>
        <v>0</v>
      </c>
      <c r="F3">
        <f t="shared" si="3"/>
        <v>0</v>
      </c>
      <c r="G3" s="23" t="str">
        <f t="shared" si="4"/>
        <v>00.000</v>
      </c>
      <c r="H3" s="1" t="str">
        <f t="shared" si="5"/>
        <v>0000.000</v>
      </c>
      <c r="I3">
        <f t="shared" si="6"/>
        <v>0</v>
      </c>
      <c r="J3" t="str">
        <f t="shared" si="7"/>
        <v>000</v>
      </c>
      <c r="K3">
        <f t="shared" si="8"/>
        <v>0</v>
      </c>
      <c r="L3">
        <f t="shared" si="9"/>
        <v>0</v>
      </c>
      <c r="M3" t="str">
        <f t="shared" si="10"/>
        <v>00.000</v>
      </c>
      <c r="N3" s="1" t="str">
        <f t="shared" si="11"/>
        <v>00000.000</v>
      </c>
      <c r="O3" t="str">
        <f>IF('Import OpenCPN'!W4&gt;0,"N","S")</f>
        <v>S</v>
      </c>
      <c r="P3" t="str">
        <f>IF('Import OpenCPN'!X4&gt;0,"E","W")</f>
        <v>W</v>
      </c>
    </row>
    <row r="4" spans="1:16" x14ac:dyDescent="0.2">
      <c r="A4">
        <f>'Import OpenCPN'!W5</f>
        <v>0</v>
      </c>
      <c r="B4">
        <f>'Import OpenCPN'!X5</f>
        <v>0</v>
      </c>
      <c r="C4">
        <f t="shared" si="0"/>
        <v>0</v>
      </c>
      <c r="D4" t="str">
        <f t="shared" si="1"/>
        <v>00</v>
      </c>
      <c r="E4">
        <f t="shared" si="2"/>
        <v>0</v>
      </c>
      <c r="F4">
        <f t="shared" si="3"/>
        <v>0</v>
      </c>
      <c r="G4" s="23" t="str">
        <f t="shared" si="4"/>
        <v>00.000</v>
      </c>
      <c r="H4" s="1" t="str">
        <f t="shared" si="5"/>
        <v>0000.000</v>
      </c>
      <c r="I4">
        <f t="shared" si="6"/>
        <v>0</v>
      </c>
      <c r="J4" t="str">
        <f t="shared" si="7"/>
        <v>000</v>
      </c>
      <c r="K4">
        <f t="shared" si="8"/>
        <v>0</v>
      </c>
      <c r="L4">
        <f t="shared" si="9"/>
        <v>0</v>
      </c>
      <c r="M4" t="str">
        <f t="shared" si="10"/>
        <v>00.000</v>
      </c>
      <c r="N4" s="1" t="str">
        <f t="shared" si="11"/>
        <v>00000.000</v>
      </c>
      <c r="O4" t="str">
        <f>IF('Import OpenCPN'!W5&gt;0,"N","S")</f>
        <v>S</v>
      </c>
      <c r="P4" t="str">
        <f>IF('Import OpenCPN'!X5&gt;0,"E","W")</f>
        <v>W</v>
      </c>
    </row>
    <row r="5" spans="1:16" x14ac:dyDescent="0.2">
      <c r="A5">
        <f>'Import OpenCPN'!W6</f>
        <v>0</v>
      </c>
      <c r="B5">
        <f>'Import OpenCPN'!X6</f>
        <v>0</v>
      </c>
      <c r="C5">
        <f t="shared" si="0"/>
        <v>0</v>
      </c>
      <c r="D5" t="str">
        <f t="shared" si="1"/>
        <v>00</v>
      </c>
      <c r="E5">
        <f t="shared" si="2"/>
        <v>0</v>
      </c>
      <c r="F5">
        <f t="shared" si="3"/>
        <v>0</v>
      </c>
      <c r="G5" s="23" t="str">
        <f t="shared" si="4"/>
        <v>00.000</v>
      </c>
      <c r="H5" s="1" t="str">
        <f t="shared" si="5"/>
        <v>0000.000</v>
      </c>
      <c r="I5">
        <f t="shared" si="6"/>
        <v>0</v>
      </c>
      <c r="J5" t="str">
        <f t="shared" si="7"/>
        <v>000</v>
      </c>
      <c r="K5">
        <f t="shared" si="8"/>
        <v>0</v>
      </c>
      <c r="L5">
        <f t="shared" si="9"/>
        <v>0</v>
      </c>
      <c r="M5" t="str">
        <f t="shared" si="10"/>
        <v>00.000</v>
      </c>
      <c r="N5" s="1" t="str">
        <f t="shared" si="11"/>
        <v>00000.000</v>
      </c>
      <c r="O5" t="str">
        <f>IF('Import OpenCPN'!W6&gt;0,"N","S")</f>
        <v>S</v>
      </c>
      <c r="P5" t="str">
        <f>IF('Import OpenCPN'!X6&gt;0,"E","W")</f>
        <v>W</v>
      </c>
    </row>
    <row r="6" spans="1:16" x14ac:dyDescent="0.2">
      <c r="A6">
        <f>'Import OpenCPN'!W7</f>
        <v>0</v>
      </c>
      <c r="B6">
        <f>'Import OpenCPN'!X7</f>
        <v>0</v>
      </c>
      <c r="C6">
        <f t="shared" si="0"/>
        <v>0</v>
      </c>
      <c r="D6" t="str">
        <f t="shared" si="1"/>
        <v>00</v>
      </c>
      <c r="E6">
        <f t="shared" si="2"/>
        <v>0</v>
      </c>
      <c r="F6">
        <f t="shared" si="3"/>
        <v>0</v>
      </c>
      <c r="G6" s="23" t="str">
        <f t="shared" si="4"/>
        <v>00.000</v>
      </c>
      <c r="H6" s="1" t="str">
        <f t="shared" si="5"/>
        <v>0000.000</v>
      </c>
      <c r="I6">
        <f t="shared" si="6"/>
        <v>0</v>
      </c>
      <c r="J6" t="str">
        <f t="shared" si="7"/>
        <v>000</v>
      </c>
      <c r="K6">
        <f t="shared" si="8"/>
        <v>0</v>
      </c>
      <c r="L6">
        <f t="shared" si="9"/>
        <v>0</v>
      </c>
      <c r="M6" t="str">
        <f t="shared" si="10"/>
        <v>00.000</v>
      </c>
      <c r="N6" s="1" t="str">
        <f t="shared" si="11"/>
        <v>00000.000</v>
      </c>
      <c r="O6" t="str">
        <f>IF('Import OpenCPN'!W7&gt;0,"N","S")</f>
        <v>S</v>
      </c>
      <c r="P6" t="str">
        <f>IF('Import OpenCPN'!X7&gt;0,"E","W")</f>
        <v>W</v>
      </c>
    </row>
    <row r="7" spans="1:16" x14ac:dyDescent="0.2">
      <c r="A7">
        <f>'Import OpenCPN'!W8</f>
        <v>0</v>
      </c>
      <c r="B7">
        <f>'Import OpenCPN'!X8</f>
        <v>0</v>
      </c>
      <c r="C7">
        <f t="shared" si="0"/>
        <v>0</v>
      </c>
      <c r="D7" t="str">
        <f t="shared" si="1"/>
        <v>00</v>
      </c>
      <c r="E7">
        <f t="shared" si="2"/>
        <v>0</v>
      </c>
      <c r="F7">
        <f t="shared" si="3"/>
        <v>0</v>
      </c>
      <c r="G7" s="23" t="str">
        <f t="shared" si="4"/>
        <v>00.000</v>
      </c>
      <c r="H7" s="1" t="str">
        <f t="shared" si="5"/>
        <v>0000.000</v>
      </c>
      <c r="I7">
        <f t="shared" si="6"/>
        <v>0</v>
      </c>
      <c r="J7" t="str">
        <f t="shared" si="7"/>
        <v>000</v>
      </c>
      <c r="K7">
        <f t="shared" si="8"/>
        <v>0</v>
      </c>
      <c r="L7">
        <f t="shared" si="9"/>
        <v>0</v>
      </c>
      <c r="M7" t="str">
        <f t="shared" si="10"/>
        <v>00.000</v>
      </c>
      <c r="N7" s="1" t="str">
        <f t="shared" si="11"/>
        <v>00000.000</v>
      </c>
      <c r="O7" t="str">
        <f>IF('Import OpenCPN'!W8&gt;0,"N","S")</f>
        <v>S</v>
      </c>
      <c r="P7" t="str">
        <f>IF('Import OpenCPN'!X8&gt;0,"E","W")</f>
        <v>W</v>
      </c>
    </row>
    <row r="8" spans="1:16" x14ac:dyDescent="0.2">
      <c r="A8">
        <f>'Import OpenCPN'!W9</f>
        <v>0</v>
      </c>
      <c r="B8">
        <f>'Import OpenCPN'!X9</f>
        <v>0</v>
      </c>
      <c r="C8">
        <f t="shared" si="0"/>
        <v>0</v>
      </c>
      <c r="D8" t="str">
        <f t="shared" si="1"/>
        <v>00</v>
      </c>
      <c r="E8">
        <f t="shared" si="2"/>
        <v>0</v>
      </c>
      <c r="F8">
        <f t="shared" si="3"/>
        <v>0</v>
      </c>
      <c r="G8" s="23" t="str">
        <f t="shared" si="4"/>
        <v>00.000</v>
      </c>
      <c r="H8" s="1" t="str">
        <f t="shared" si="5"/>
        <v>0000.000</v>
      </c>
      <c r="I8">
        <f t="shared" si="6"/>
        <v>0</v>
      </c>
      <c r="J8" t="str">
        <f t="shared" si="7"/>
        <v>000</v>
      </c>
      <c r="K8">
        <f t="shared" si="8"/>
        <v>0</v>
      </c>
      <c r="L8">
        <f t="shared" si="9"/>
        <v>0</v>
      </c>
      <c r="M8" t="str">
        <f t="shared" si="10"/>
        <v>00.000</v>
      </c>
      <c r="N8" s="1" t="str">
        <f t="shared" si="11"/>
        <v>00000.000</v>
      </c>
      <c r="O8" t="str">
        <f>IF('Import OpenCPN'!W9&gt;0,"N","S")</f>
        <v>S</v>
      </c>
      <c r="P8" t="str">
        <f>IF('Import OpenCPN'!X9&gt;0,"E","W")</f>
        <v>W</v>
      </c>
    </row>
    <row r="9" spans="1:16" x14ac:dyDescent="0.2">
      <c r="A9">
        <f>'Import OpenCPN'!W10</f>
        <v>0</v>
      </c>
      <c r="B9">
        <f>'Import OpenCPN'!X10</f>
        <v>0</v>
      </c>
      <c r="C9">
        <f t="shared" si="0"/>
        <v>0</v>
      </c>
      <c r="D9" t="str">
        <f t="shared" si="1"/>
        <v>00</v>
      </c>
      <c r="E9">
        <f t="shared" si="2"/>
        <v>0</v>
      </c>
      <c r="F9">
        <f t="shared" si="3"/>
        <v>0</v>
      </c>
      <c r="G9" s="23" t="str">
        <f t="shared" si="4"/>
        <v>00.000</v>
      </c>
      <c r="H9" s="1" t="str">
        <f t="shared" si="5"/>
        <v>0000.000</v>
      </c>
      <c r="I9">
        <f t="shared" si="6"/>
        <v>0</v>
      </c>
      <c r="J9" t="str">
        <f t="shared" si="7"/>
        <v>000</v>
      </c>
      <c r="K9">
        <f t="shared" si="8"/>
        <v>0</v>
      </c>
      <c r="L9">
        <f t="shared" si="9"/>
        <v>0</v>
      </c>
      <c r="M9" t="str">
        <f t="shared" si="10"/>
        <v>00.000</v>
      </c>
      <c r="N9" s="1" t="str">
        <f t="shared" si="11"/>
        <v>00000.000</v>
      </c>
      <c r="O9" t="str">
        <f>IF('Import OpenCPN'!W10&gt;0,"N","S")</f>
        <v>S</v>
      </c>
      <c r="P9" t="str">
        <f>IF('Import OpenCPN'!X10&gt;0,"E","W")</f>
        <v>W</v>
      </c>
    </row>
    <row r="10" spans="1:16" x14ac:dyDescent="0.2">
      <c r="A10">
        <f>'Import OpenCPN'!W11</f>
        <v>0</v>
      </c>
      <c r="B10">
        <f>'Import OpenCPN'!X11</f>
        <v>0</v>
      </c>
      <c r="C10">
        <f t="shared" si="0"/>
        <v>0</v>
      </c>
      <c r="D10" t="str">
        <f t="shared" si="1"/>
        <v>00</v>
      </c>
      <c r="E10">
        <f t="shared" si="2"/>
        <v>0</v>
      </c>
      <c r="F10">
        <f t="shared" si="3"/>
        <v>0</v>
      </c>
      <c r="G10" s="23" t="str">
        <f t="shared" si="4"/>
        <v>00.000</v>
      </c>
      <c r="H10" s="1" t="str">
        <f t="shared" si="5"/>
        <v>0000.000</v>
      </c>
      <c r="I10">
        <f t="shared" si="6"/>
        <v>0</v>
      </c>
      <c r="J10" t="str">
        <f t="shared" si="7"/>
        <v>000</v>
      </c>
      <c r="K10">
        <f t="shared" si="8"/>
        <v>0</v>
      </c>
      <c r="L10">
        <f t="shared" si="9"/>
        <v>0</v>
      </c>
      <c r="M10" t="str">
        <f t="shared" si="10"/>
        <v>00.000</v>
      </c>
      <c r="N10" s="1" t="str">
        <f t="shared" si="11"/>
        <v>00000.000</v>
      </c>
      <c r="O10" t="str">
        <f>IF('Import OpenCPN'!W11&gt;0,"N","S")</f>
        <v>S</v>
      </c>
      <c r="P10" t="str">
        <f>IF('Import OpenCPN'!X11&gt;0,"E","W")</f>
        <v>W</v>
      </c>
    </row>
    <row r="11" spans="1:16" x14ac:dyDescent="0.2">
      <c r="A11">
        <f>'Import OpenCPN'!W12</f>
        <v>0</v>
      </c>
      <c r="B11">
        <f>'Import OpenCPN'!X12</f>
        <v>0</v>
      </c>
      <c r="C11">
        <f t="shared" si="0"/>
        <v>0</v>
      </c>
      <c r="D11" t="str">
        <f t="shared" si="1"/>
        <v>00</v>
      </c>
      <c r="E11">
        <f t="shared" si="2"/>
        <v>0</v>
      </c>
      <c r="F11">
        <f t="shared" si="3"/>
        <v>0</v>
      </c>
      <c r="G11" s="23" t="str">
        <f t="shared" si="4"/>
        <v>00.000</v>
      </c>
      <c r="H11" s="1" t="str">
        <f t="shared" si="5"/>
        <v>0000.000</v>
      </c>
      <c r="I11">
        <f t="shared" si="6"/>
        <v>0</v>
      </c>
      <c r="J11" t="str">
        <f t="shared" si="7"/>
        <v>000</v>
      </c>
      <c r="K11">
        <f t="shared" si="8"/>
        <v>0</v>
      </c>
      <c r="L11">
        <f t="shared" si="9"/>
        <v>0</v>
      </c>
      <c r="M11" t="str">
        <f t="shared" si="10"/>
        <v>00.000</v>
      </c>
      <c r="N11" s="1" t="str">
        <f t="shared" si="11"/>
        <v>00000.000</v>
      </c>
      <c r="O11" t="str">
        <f>IF('Import OpenCPN'!W12&gt;0,"N","S")</f>
        <v>S</v>
      </c>
      <c r="P11" t="str">
        <f>IF('Import OpenCPN'!X12&gt;0,"E","W")</f>
        <v>W</v>
      </c>
    </row>
    <row r="12" spans="1:16" x14ac:dyDescent="0.2">
      <c r="A12">
        <f>'Import OpenCPN'!W13</f>
        <v>0</v>
      </c>
      <c r="B12">
        <f>'Import OpenCPN'!X13</f>
        <v>0</v>
      </c>
      <c r="C12">
        <f t="shared" si="0"/>
        <v>0</v>
      </c>
      <c r="D12" t="str">
        <f t="shared" si="1"/>
        <v>00</v>
      </c>
      <c r="E12">
        <f t="shared" si="2"/>
        <v>0</v>
      </c>
      <c r="F12">
        <f t="shared" si="3"/>
        <v>0</v>
      </c>
      <c r="G12" s="23" t="str">
        <f t="shared" si="4"/>
        <v>00.000</v>
      </c>
      <c r="H12" s="1" t="str">
        <f t="shared" si="5"/>
        <v>0000.000</v>
      </c>
      <c r="I12">
        <f t="shared" si="6"/>
        <v>0</v>
      </c>
      <c r="J12" t="str">
        <f t="shared" si="7"/>
        <v>000</v>
      </c>
      <c r="K12">
        <f t="shared" si="8"/>
        <v>0</v>
      </c>
      <c r="L12">
        <f t="shared" si="9"/>
        <v>0</v>
      </c>
      <c r="M12" t="str">
        <f t="shared" si="10"/>
        <v>00.000</v>
      </c>
      <c r="N12" s="1" t="str">
        <f t="shared" si="11"/>
        <v>00000.000</v>
      </c>
      <c r="O12" t="str">
        <f>IF('Import OpenCPN'!W13&gt;0,"N","S")</f>
        <v>S</v>
      </c>
      <c r="P12" t="str">
        <f>IF('Import OpenCPN'!X13&gt;0,"E","W")</f>
        <v>W</v>
      </c>
    </row>
    <row r="13" spans="1:16" x14ac:dyDescent="0.2">
      <c r="A13">
        <f>'Import OpenCPN'!W14</f>
        <v>0</v>
      </c>
      <c r="B13">
        <f>'Import OpenCPN'!X14</f>
        <v>0</v>
      </c>
      <c r="C13">
        <f t="shared" si="0"/>
        <v>0</v>
      </c>
      <c r="D13" t="str">
        <f t="shared" si="1"/>
        <v>00</v>
      </c>
      <c r="E13">
        <f t="shared" si="2"/>
        <v>0</v>
      </c>
      <c r="F13">
        <f t="shared" si="3"/>
        <v>0</v>
      </c>
      <c r="G13" s="23" t="str">
        <f t="shared" si="4"/>
        <v>00.000</v>
      </c>
      <c r="H13" s="1" t="str">
        <f t="shared" si="5"/>
        <v>0000.000</v>
      </c>
      <c r="I13">
        <f t="shared" si="6"/>
        <v>0</v>
      </c>
      <c r="J13" t="str">
        <f t="shared" si="7"/>
        <v>000</v>
      </c>
      <c r="K13">
        <f t="shared" si="8"/>
        <v>0</v>
      </c>
      <c r="L13">
        <f t="shared" si="9"/>
        <v>0</v>
      </c>
      <c r="M13" t="str">
        <f t="shared" si="10"/>
        <v>00.000</v>
      </c>
      <c r="N13" s="1" t="str">
        <f t="shared" si="11"/>
        <v>00000.000</v>
      </c>
      <c r="O13" t="str">
        <f>IF('Import OpenCPN'!W14&gt;0,"N","S")</f>
        <v>S</v>
      </c>
      <c r="P13" t="str">
        <f>IF('Import OpenCPN'!X14&gt;0,"E","W")</f>
        <v>W</v>
      </c>
    </row>
    <row r="14" spans="1:16" x14ac:dyDescent="0.2">
      <c r="A14">
        <f>'Import OpenCPN'!W15</f>
        <v>0</v>
      </c>
      <c r="B14">
        <f>'Import OpenCPN'!X15</f>
        <v>0</v>
      </c>
      <c r="C14">
        <f t="shared" si="0"/>
        <v>0</v>
      </c>
      <c r="D14" t="str">
        <f t="shared" si="1"/>
        <v>00</v>
      </c>
      <c r="E14">
        <f t="shared" si="2"/>
        <v>0</v>
      </c>
      <c r="F14">
        <f t="shared" si="3"/>
        <v>0</v>
      </c>
      <c r="G14" s="23" t="str">
        <f t="shared" si="4"/>
        <v>00.000</v>
      </c>
      <c r="H14" s="1" t="str">
        <f t="shared" si="5"/>
        <v>0000.000</v>
      </c>
      <c r="I14">
        <f t="shared" si="6"/>
        <v>0</v>
      </c>
      <c r="J14" t="str">
        <f t="shared" si="7"/>
        <v>000</v>
      </c>
      <c r="K14">
        <f t="shared" si="8"/>
        <v>0</v>
      </c>
      <c r="L14">
        <f t="shared" si="9"/>
        <v>0</v>
      </c>
      <c r="M14" t="str">
        <f t="shared" si="10"/>
        <v>00.000</v>
      </c>
      <c r="N14" s="1" t="str">
        <f t="shared" si="11"/>
        <v>00000.000</v>
      </c>
      <c r="O14" t="str">
        <f>IF('Import OpenCPN'!W15&gt;0,"N","S")</f>
        <v>S</v>
      </c>
      <c r="P14" t="str">
        <f>IF('Import OpenCPN'!X15&gt;0,"E","W")</f>
        <v>W</v>
      </c>
    </row>
    <row r="15" spans="1:16" x14ac:dyDescent="0.2">
      <c r="A15">
        <f>'Import OpenCPN'!W16</f>
        <v>0</v>
      </c>
      <c r="B15">
        <f>'Import OpenCPN'!X16</f>
        <v>0</v>
      </c>
      <c r="C15">
        <f t="shared" si="0"/>
        <v>0</v>
      </c>
      <c r="D15" t="str">
        <f t="shared" si="1"/>
        <v>00</v>
      </c>
      <c r="E15">
        <f t="shared" si="2"/>
        <v>0</v>
      </c>
      <c r="F15">
        <f t="shared" si="3"/>
        <v>0</v>
      </c>
      <c r="G15" s="23" t="str">
        <f t="shared" si="4"/>
        <v>00.000</v>
      </c>
      <c r="H15" s="1" t="str">
        <f t="shared" si="5"/>
        <v>0000.000</v>
      </c>
      <c r="I15">
        <f t="shared" si="6"/>
        <v>0</v>
      </c>
      <c r="J15" t="str">
        <f t="shared" si="7"/>
        <v>000</v>
      </c>
      <c r="K15">
        <f t="shared" si="8"/>
        <v>0</v>
      </c>
      <c r="L15">
        <f t="shared" si="9"/>
        <v>0</v>
      </c>
      <c r="M15" t="str">
        <f t="shared" si="10"/>
        <v>00.000</v>
      </c>
      <c r="N15" s="1" t="str">
        <f t="shared" si="11"/>
        <v>00000.000</v>
      </c>
      <c r="O15" t="str">
        <f>IF('Import OpenCPN'!W16&gt;0,"N","S")</f>
        <v>S</v>
      </c>
      <c r="P15" t="str">
        <f>IF('Import OpenCPN'!X16&gt;0,"E","W")</f>
        <v>W</v>
      </c>
    </row>
    <row r="16" spans="1:16" x14ac:dyDescent="0.2">
      <c r="A16">
        <f>'Import OpenCPN'!W17</f>
        <v>0</v>
      </c>
      <c r="B16">
        <f>'Import OpenCPN'!X17</f>
        <v>0</v>
      </c>
      <c r="C16">
        <f t="shared" si="0"/>
        <v>0</v>
      </c>
      <c r="D16" t="str">
        <f t="shared" si="1"/>
        <v>00</v>
      </c>
      <c r="E16">
        <f t="shared" si="2"/>
        <v>0</v>
      </c>
      <c r="F16">
        <f t="shared" si="3"/>
        <v>0</v>
      </c>
      <c r="G16" s="23" t="str">
        <f t="shared" si="4"/>
        <v>00.000</v>
      </c>
      <c r="H16" s="1" t="str">
        <f t="shared" si="5"/>
        <v>0000.000</v>
      </c>
      <c r="I16">
        <f t="shared" si="6"/>
        <v>0</v>
      </c>
      <c r="J16" t="str">
        <f t="shared" si="7"/>
        <v>000</v>
      </c>
      <c r="K16">
        <f t="shared" si="8"/>
        <v>0</v>
      </c>
      <c r="L16">
        <f t="shared" si="9"/>
        <v>0</v>
      </c>
      <c r="M16" t="str">
        <f t="shared" si="10"/>
        <v>00.000</v>
      </c>
      <c r="N16" s="1" t="str">
        <f t="shared" si="11"/>
        <v>00000.000</v>
      </c>
      <c r="O16" t="str">
        <f>IF('Import OpenCPN'!W17&gt;0,"N","S")</f>
        <v>S</v>
      </c>
      <c r="P16" t="str">
        <f>IF('Import OpenCPN'!X17&gt;0,"E","W")</f>
        <v>W</v>
      </c>
    </row>
    <row r="17" spans="1:16" x14ac:dyDescent="0.2">
      <c r="A17">
        <f>'Import OpenCPN'!W18</f>
        <v>0</v>
      </c>
      <c r="B17">
        <f>'Import OpenCPN'!X18</f>
        <v>0</v>
      </c>
      <c r="C17">
        <f t="shared" si="0"/>
        <v>0</v>
      </c>
      <c r="D17" t="str">
        <f t="shared" si="1"/>
        <v>00</v>
      </c>
      <c r="E17">
        <f t="shared" si="2"/>
        <v>0</v>
      </c>
      <c r="F17">
        <f t="shared" si="3"/>
        <v>0</v>
      </c>
      <c r="G17" s="23" t="str">
        <f t="shared" si="4"/>
        <v>00.000</v>
      </c>
      <c r="H17" s="1" t="str">
        <f t="shared" si="5"/>
        <v>0000.000</v>
      </c>
      <c r="I17">
        <f t="shared" si="6"/>
        <v>0</v>
      </c>
      <c r="J17" t="str">
        <f t="shared" si="7"/>
        <v>000</v>
      </c>
      <c r="K17">
        <f t="shared" si="8"/>
        <v>0</v>
      </c>
      <c r="L17">
        <f t="shared" si="9"/>
        <v>0</v>
      </c>
      <c r="M17" t="str">
        <f t="shared" si="10"/>
        <v>00.000</v>
      </c>
      <c r="N17" s="1" t="str">
        <f t="shared" si="11"/>
        <v>00000.000</v>
      </c>
      <c r="O17" t="str">
        <f>IF('Import OpenCPN'!W18&gt;0,"N","S")</f>
        <v>S</v>
      </c>
      <c r="P17" t="str">
        <f>IF('Import OpenCPN'!X18&gt;0,"E","W")</f>
        <v>W</v>
      </c>
    </row>
    <row r="18" spans="1:16" x14ac:dyDescent="0.2">
      <c r="A18">
        <f>'Import OpenCPN'!W19</f>
        <v>0</v>
      </c>
      <c r="B18">
        <f>'Import OpenCPN'!X19</f>
        <v>0</v>
      </c>
      <c r="C18">
        <f t="shared" si="0"/>
        <v>0</v>
      </c>
      <c r="D18" t="str">
        <f t="shared" si="1"/>
        <v>00</v>
      </c>
      <c r="E18">
        <f t="shared" si="2"/>
        <v>0</v>
      </c>
      <c r="F18">
        <f t="shared" si="3"/>
        <v>0</v>
      </c>
      <c r="G18" s="23" t="str">
        <f t="shared" si="4"/>
        <v>00.000</v>
      </c>
      <c r="H18" s="1" t="str">
        <f t="shared" si="5"/>
        <v>0000.000</v>
      </c>
      <c r="I18">
        <f t="shared" si="6"/>
        <v>0</v>
      </c>
      <c r="J18" t="str">
        <f t="shared" si="7"/>
        <v>000</v>
      </c>
      <c r="K18">
        <f t="shared" si="8"/>
        <v>0</v>
      </c>
      <c r="L18">
        <f t="shared" si="9"/>
        <v>0</v>
      </c>
      <c r="M18" t="str">
        <f t="shared" si="10"/>
        <v>00.000</v>
      </c>
      <c r="N18" s="1" t="str">
        <f t="shared" si="11"/>
        <v>00000.000</v>
      </c>
      <c r="O18" t="str">
        <f>IF('Import OpenCPN'!W19&gt;0,"N","S")</f>
        <v>S</v>
      </c>
      <c r="P18" t="str">
        <f>IF('Import OpenCPN'!X19&gt;0,"E","W")</f>
        <v>W</v>
      </c>
    </row>
    <row r="19" spans="1:16" x14ac:dyDescent="0.2">
      <c r="A19">
        <f>'Import OpenCPN'!W20</f>
        <v>0</v>
      </c>
      <c r="B19">
        <f>'Import OpenCPN'!X20</f>
        <v>0</v>
      </c>
      <c r="C19">
        <f t="shared" si="0"/>
        <v>0</v>
      </c>
      <c r="D19" t="str">
        <f t="shared" si="1"/>
        <v>00</v>
      </c>
      <c r="E19">
        <f t="shared" si="2"/>
        <v>0</v>
      </c>
      <c r="F19">
        <f t="shared" si="3"/>
        <v>0</v>
      </c>
      <c r="G19" s="23" t="str">
        <f t="shared" si="4"/>
        <v>00.000</v>
      </c>
      <c r="H19" s="1" t="str">
        <f t="shared" si="5"/>
        <v>0000.000</v>
      </c>
      <c r="I19">
        <f t="shared" si="6"/>
        <v>0</v>
      </c>
      <c r="J19" t="str">
        <f t="shared" si="7"/>
        <v>000</v>
      </c>
      <c r="K19">
        <f t="shared" si="8"/>
        <v>0</v>
      </c>
      <c r="L19">
        <f t="shared" si="9"/>
        <v>0</v>
      </c>
      <c r="M19" t="str">
        <f t="shared" si="10"/>
        <v>00.000</v>
      </c>
      <c r="N19" s="1" t="str">
        <f t="shared" si="11"/>
        <v>00000.000</v>
      </c>
      <c r="O19" t="str">
        <f>IF('Import OpenCPN'!W20&gt;0,"N","S")</f>
        <v>S</v>
      </c>
      <c r="P19" t="str">
        <f>IF('Import OpenCPN'!X20&gt;0,"E","W")</f>
        <v>W</v>
      </c>
    </row>
    <row r="20" spans="1:16" x14ac:dyDescent="0.2">
      <c r="A20">
        <f>'Import OpenCPN'!W21</f>
        <v>0</v>
      </c>
      <c r="B20">
        <f>'Import OpenCPN'!X21</f>
        <v>0</v>
      </c>
      <c r="C20">
        <f t="shared" si="0"/>
        <v>0</v>
      </c>
      <c r="D20" t="str">
        <f t="shared" si="1"/>
        <v>00</v>
      </c>
      <c r="E20">
        <f t="shared" si="2"/>
        <v>0</v>
      </c>
      <c r="F20">
        <f t="shared" si="3"/>
        <v>0</v>
      </c>
      <c r="G20" s="23" t="str">
        <f t="shared" si="4"/>
        <v>00.000</v>
      </c>
      <c r="H20" s="1" t="str">
        <f t="shared" si="5"/>
        <v>0000.000</v>
      </c>
      <c r="I20">
        <f t="shared" si="6"/>
        <v>0</v>
      </c>
      <c r="J20" t="str">
        <f t="shared" si="7"/>
        <v>000</v>
      </c>
      <c r="K20">
        <f t="shared" si="8"/>
        <v>0</v>
      </c>
      <c r="L20">
        <f t="shared" si="9"/>
        <v>0</v>
      </c>
      <c r="M20" t="str">
        <f t="shared" si="10"/>
        <v>00.000</v>
      </c>
      <c r="N20" s="1" t="str">
        <f t="shared" si="11"/>
        <v>00000.000</v>
      </c>
      <c r="O20" t="str">
        <f>IF('Import OpenCPN'!W21&gt;0,"N","S")</f>
        <v>S</v>
      </c>
      <c r="P20" t="str">
        <f>IF('Import OpenCPN'!X21&gt;0,"E","W")</f>
        <v>W</v>
      </c>
    </row>
    <row r="21" spans="1:16" x14ac:dyDescent="0.2">
      <c r="A21">
        <f>'Import OpenCPN'!W22</f>
        <v>0</v>
      </c>
      <c r="B21">
        <f>'Import OpenCPN'!X22</f>
        <v>0</v>
      </c>
      <c r="C21">
        <f t="shared" si="0"/>
        <v>0</v>
      </c>
      <c r="D21" t="str">
        <f t="shared" si="1"/>
        <v>00</v>
      </c>
      <c r="E21">
        <f t="shared" si="2"/>
        <v>0</v>
      </c>
      <c r="F21">
        <f t="shared" si="3"/>
        <v>0</v>
      </c>
      <c r="G21" s="23" t="str">
        <f t="shared" si="4"/>
        <v>00.000</v>
      </c>
      <c r="H21" s="1" t="str">
        <f t="shared" si="5"/>
        <v>0000.000</v>
      </c>
      <c r="I21">
        <f t="shared" si="6"/>
        <v>0</v>
      </c>
      <c r="J21" t="str">
        <f t="shared" si="7"/>
        <v>000</v>
      </c>
      <c r="K21">
        <f t="shared" si="8"/>
        <v>0</v>
      </c>
      <c r="L21">
        <f t="shared" si="9"/>
        <v>0</v>
      </c>
      <c r="M21" t="str">
        <f t="shared" si="10"/>
        <v>00.000</v>
      </c>
      <c r="N21" s="1" t="str">
        <f t="shared" si="11"/>
        <v>00000.000</v>
      </c>
      <c r="O21" t="str">
        <f>IF('Import OpenCPN'!W22&gt;0,"N","S")</f>
        <v>S</v>
      </c>
      <c r="P21" t="str">
        <f>IF('Import OpenCPN'!X22&gt;0,"E","W")</f>
        <v>W</v>
      </c>
    </row>
    <row r="22" spans="1:16" x14ac:dyDescent="0.2">
      <c r="A22">
        <f>'Import OpenCPN'!W23</f>
        <v>0</v>
      </c>
      <c r="B22">
        <f>'Import OpenCPN'!X23</f>
        <v>0</v>
      </c>
      <c r="C22">
        <f t="shared" si="0"/>
        <v>0</v>
      </c>
      <c r="D22" t="str">
        <f t="shared" si="1"/>
        <v>00</v>
      </c>
      <c r="E22">
        <f t="shared" si="2"/>
        <v>0</v>
      </c>
      <c r="F22">
        <f t="shared" si="3"/>
        <v>0</v>
      </c>
      <c r="G22" s="23" t="str">
        <f t="shared" si="4"/>
        <v>00.000</v>
      </c>
      <c r="H22" s="1" t="str">
        <f t="shared" si="5"/>
        <v>0000.000</v>
      </c>
      <c r="I22">
        <f t="shared" si="6"/>
        <v>0</v>
      </c>
      <c r="J22" t="str">
        <f t="shared" si="7"/>
        <v>000</v>
      </c>
      <c r="K22">
        <f t="shared" si="8"/>
        <v>0</v>
      </c>
      <c r="L22">
        <f t="shared" si="9"/>
        <v>0</v>
      </c>
      <c r="M22" t="str">
        <f t="shared" si="10"/>
        <v>00.000</v>
      </c>
      <c r="N22" s="1" t="str">
        <f t="shared" si="11"/>
        <v>00000.000</v>
      </c>
      <c r="O22" t="str">
        <f>IF('Import OpenCPN'!W23&gt;0,"N","S")</f>
        <v>S</v>
      </c>
      <c r="P22" t="str">
        <f>IF('Import OpenCPN'!X23&gt;0,"E","W")</f>
        <v>W</v>
      </c>
    </row>
    <row r="23" spans="1:16" x14ac:dyDescent="0.2">
      <c r="A23">
        <f>'Import OpenCPN'!W24</f>
        <v>0</v>
      </c>
      <c r="B23">
        <f>'Import OpenCPN'!X24</f>
        <v>0</v>
      </c>
      <c r="C23">
        <f t="shared" si="0"/>
        <v>0</v>
      </c>
      <c r="D23" t="str">
        <f t="shared" si="1"/>
        <v>00</v>
      </c>
      <c r="E23">
        <f t="shared" si="2"/>
        <v>0</v>
      </c>
      <c r="F23">
        <f t="shared" si="3"/>
        <v>0</v>
      </c>
      <c r="G23" s="23" t="str">
        <f t="shared" si="4"/>
        <v>00.000</v>
      </c>
      <c r="H23" s="1" t="str">
        <f t="shared" si="5"/>
        <v>0000.000</v>
      </c>
      <c r="I23">
        <f t="shared" si="6"/>
        <v>0</v>
      </c>
      <c r="J23" t="str">
        <f t="shared" si="7"/>
        <v>000</v>
      </c>
      <c r="K23">
        <f t="shared" si="8"/>
        <v>0</v>
      </c>
      <c r="L23">
        <f t="shared" si="9"/>
        <v>0</v>
      </c>
      <c r="M23" t="str">
        <f t="shared" si="10"/>
        <v>00.000</v>
      </c>
      <c r="N23" s="1" t="str">
        <f t="shared" si="11"/>
        <v>00000.000</v>
      </c>
      <c r="O23" t="str">
        <f>IF('Import OpenCPN'!W24&gt;0,"N","S")</f>
        <v>S</v>
      </c>
      <c r="P23" t="str">
        <f>IF('Import OpenCPN'!X24&gt;0,"E","W")</f>
        <v>W</v>
      </c>
    </row>
    <row r="24" spans="1:16" x14ac:dyDescent="0.2">
      <c r="A24">
        <f>'Import OpenCPN'!W25</f>
        <v>0</v>
      </c>
      <c r="B24">
        <f>'Import OpenCPN'!X25</f>
        <v>0</v>
      </c>
      <c r="C24">
        <f t="shared" si="0"/>
        <v>0</v>
      </c>
      <c r="D24" t="str">
        <f t="shared" si="1"/>
        <v>00</v>
      </c>
      <c r="E24">
        <f t="shared" si="2"/>
        <v>0</v>
      </c>
      <c r="F24">
        <f t="shared" si="3"/>
        <v>0</v>
      </c>
      <c r="G24" s="23" t="str">
        <f t="shared" si="4"/>
        <v>00.000</v>
      </c>
      <c r="H24" s="1" t="str">
        <f t="shared" si="5"/>
        <v>0000.000</v>
      </c>
      <c r="I24">
        <f t="shared" si="6"/>
        <v>0</v>
      </c>
      <c r="J24" t="str">
        <f t="shared" si="7"/>
        <v>000</v>
      </c>
      <c r="K24">
        <f t="shared" si="8"/>
        <v>0</v>
      </c>
      <c r="L24">
        <f t="shared" si="9"/>
        <v>0</v>
      </c>
      <c r="M24" t="str">
        <f t="shared" si="10"/>
        <v>00.000</v>
      </c>
      <c r="N24" s="1" t="str">
        <f t="shared" si="11"/>
        <v>00000.000</v>
      </c>
      <c r="O24" t="str">
        <f>IF('Import OpenCPN'!W25&gt;0,"N","S")</f>
        <v>S</v>
      </c>
      <c r="P24" t="str">
        <f>IF('Import OpenCPN'!X25&gt;0,"E","W")</f>
        <v>W</v>
      </c>
    </row>
    <row r="25" spans="1:16" x14ac:dyDescent="0.2">
      <c r="A25">
        <f>'Import OpenCPN'!W26</f>
        <v>0</v>
      </c>
      <c r="B25">
        <f>'Import OpenCPN'!X26</f>
        <v>0</v>
      </c>
      <c r="C25">
        <f t="shared" si="0"/>
        <v>0</v>
      </c>
      <c r="D25" t="str">
        <f t="shared" si="1"/>
        <v>00</v>
      </c>
      <c r="E25">
        <f t="shared" si="2"/>
        <v>0</v>
      </c>
      <c r="F25">
        <f t="shared" si="3"/>
        <v>0</v>
      </c>
      <c r="G25" s="23" t="str">
        <f t="shared" si="4"/>
        <v>00.000</v>
      </c>
      <c r="H25" s="1" t="str">
        <f t="shared" si="5"/>
        <v>0000.000</v>
      </c>
      <c r="I25">
        <f t="shared" si="6"/>
        <v>0</v>
      </c>
      <c r="J25" t="str">
        <f t="shared" si="7"/>
        <v>000</v>
      </c>
      <c r="K25">
        <f t="shared" si="8"/>
        <v>0</v>
      </c>
      <c r="L25">
        <f t="shared" si="9"/>
        <v>0</v>
      </c>
      <c r="M25" t="str">
        <f t="shared" si="10"/>
        <v>00.000</v>
      </c>
      <c r="N25" s="1" t="str">
        <f t="shared" si="11"/>
        <v>00000.000</v>
      </c>
      <c r="O25" t="str">
        <f>IF('Import OpenCPN'!W26&gt;0,"N","S")</f>
        <v>S</v>
      </c>
      <c r="P25" t="str">
        <f>IF('Import OpenCPN'!X26&gt;0,"E","W")</f>
        <v>W</v>
      </c>
    </row>
    <row r="26" spans="1:16" x14ac:dyDescent="0.2">
      <c r="A26">
        <f>'Import OpenCPN'!W27</f>
        <v>0</v>
      </c>
      <c r="B26">
        <f>'Import OpenCPN'!X27</f>
        <v>0</v>
      </c>
      <c r="C26">
        <f t="shared" si="0"/>
        <v>0</v>
      </c>
      <c r="D26" t="str">
        <f t="shared" si="1"/>
        <v>00</v>
      </c>
      <c r="E26">
        <f t="shared" si="2"/>
        <v>0</v>
      </c>
      <c r="F26">
        <f t="shared" si="3"/>
        <v>0</v>
      </c>
      <c r="G26" s="23" t="str">
        <f t="shared" si="4"/>
        <v>00.000</v>
      </c>
      <c r="H26" s="1" t="str">
        <f t="shared" si="5"/>
        <v>0000.000</v>
      </c>
      <c r="I26">
        <f t="shared" si="6"/>
        <v>0</v>
      </c>
      <c r="J26" t="str">
        <f t="shared" si="7"/>
        <v>000</v>
      </c>
      <c r="K26">
        <f t="shared" si="8"/>
        <v>0</v>
      </c>
      <c r="L26">
        <f t="shared" si="9"/>
        <v>0</v>
      </c>
      <c r="M26" t="str">
        <f t="shared" si="10"/>
        <v>00.000</v>
      </c>
      <c r="N26" s="1" t="str">
        <f t="shared" si="11"/>
        <v>00000.000</v>
      </c>
      <c r="O26" t="str">
        <f>IF('Import OpenCPN'!W27&gt;0,"N","S")</f>
        <v>S</v>
      </c>
      <c r="P26" t="str">
        <f>IF('Import OpenCPN'!X27&gt;0,"E","W")</f>
        <v>W</v>
      </c>
    </row>
    <row r="27" spans="1:16" x14ac:dyDescent="0.2">
      <c r="A27">
        <f>'Import OpenCPN'!W28</f>
        <v>0</v>
      </c>
      <c r="B27">
        <f>'Import OpenCPN'!X28</f>
        <v>0</v>
      </c>
      <c r="C27">
        <f t="shared" si="0"/>
        <v>0</v>
      </c>
      <c r="D27" t="str">
        <f t="shared" si="1"/>
        <v>00</v>
      </c>
      <c r="E27">
        <f t="shared" si="2"/>
        <v>0</v>
      </c>
      <c r="F27">
        <f t="shared" si="3"/>
        <v>0</v>
      </c>
      <c r="G27" s="23" t="str">
        <f t="shared" si="4"/>
        <v>00.000</v>
      </c>
      <c r="H27" s="1" t="str">
        <f t="shared" si="5"/>
        <v>0000.000</v>
      </c>
      <c r="I27">
        <f t="shared" si="6"/>
        <v>0</v>
      </c>
      <c r="J27" t="str">
        <f t="shared" si="7"/>
        <v>000</v>
      </c>
      <c r="K27">
        <f t="shared" si="8"/>
        <v>0</v>
      </c>
      <c r="L27">
        <f t="shared" si="9"/>
        <v>0</v>
      </c>
      <c r="M27" t="str">
        <f t="shared" si="10"/>
        <v>00.000</v>
      </c>
      <c r="N27" s="1" t="str">
        <f t="shared" si="11"/>
        <v>00000.000</v>
      </c>
      <c r="O27" t="str">
        <f>IF('Import OpenCPN'!W28&gt;0,"N","S")</f>
        <v>S</v>
      </c>
      <c r="P27" t="str">
        <f>IF('Import OpenCPN'!X28&gt;0,"E","W")</f>
        <v>W</v>
      </c>
    </row>
    <row r="28" spans="1:16" x14ac:dyDescent="0.2">
      <c r="A28">
        <f>'Import OpenCPN'!W29</f>
        <v>0</v>
      </c>
      <c r="B28">
        <f>'Import OpenCPN'!X29</f>
        <v>0</v>
      </c>
      <c r="C28">
        <f t="shared" si="0"/>
        <v>0</v>
      </c>
      <c r="D28" t="str">
        <f t="shared" si="1"/>
        <v>00</v>
      </c>
      <c r="E28">
        <f t="shared" si="2"/>
        <v>0</v>
      </c>
      <c r="F28">
        <f t="shared" si="3"/>
        <v>0</v>
      </c>
      <c r="G28" s="23" t="str">
        <f t="shared" si="4"/>
        <v>00.000</v>
      </c>
      <c r="H28" s="1" t="str">
        <f t="shared" si="5"/>
        <v>0000.000</v>
      </c>
      <c r="I28">
        <f t="shared" si="6"/>
        <v>0</v>
      </c>
      <c r="J28" t="str">
        <f t="shared" si="7"/>
        <v>000</v>
      </c>
      <c r="K28">
        <f t="shared" si="8"/>
        <v>0</v>
      </c>
      <c r="L28">
        <f t="shared" si="9"/>
        <v>0</v>
      </c>
      <c r="M28" t="str">
        <f t="shared" si="10"/>
        <v>00.000</v>
      </c>
      <c r="N28" s="1" t="str">
        <f t="shared" si="11"/>
        <v>00000.000</v>
      </c>
      <c r="O28" t="str">
        <f>IF('Import OpenCPN'!W29&gt;0,"N","S")</f>
        <v>S</v>
      </c>
      <c r="P28" t="str">
        <f>IF('Import OpenCPN'!X29&gt;0,"E","W")</f>
        <v>W</v>
      </c>
    </row>
    <row r="29" spans="1:16" x14ac:dyDescent="0.2">
      <c r="A29">
        <f>'Import OpenCPN'!W30</f>
        <v>0</v>
      </c>
      <c r="B29">
        <f>'Import OpenCPN'!X30</f>
        <v>0</v>
      </c>
      <c r="C29">
        <f t="shared" si="0"/>
        <v>0</v>
      </c>
      <c r="D29" t="str">
        <f t="shared" si="1"/>
        <v>00</v>
      </c>
      <c r="E29">
        <f t="shared" si="2"/>
        <v>0</v>
      </c>
      <c r="F29">
        <f t="shared" si="3"/>
        <v>0</v>
      </c>
      <c r="G29" s="23" t="str">
        <f t="shared" si="4"/>
        <v>00.000</v>
      </c>
      <c r="H29" s="1" t="str">
        <f t="shared" si="5"/>
        <v>0000.000</v>
      </c>
      <c r="I29">
        <f t="shared" si="6"/>
        <v>0</v>
      </c>
      <c r="J29" t="str">
        <f t="shared" si="7"/>
        <v>000</v>
      </c>
      <c r="K29">
        <f t="shared" si="8"/>
        <v>0</v>
      </c>
      <c r="L29">
        <f t="shared" si="9"/>
        <v>0</v>
      </c>
      <c r="M29" t="str">
        <f t="shared" si="10"/>
        <v>00.000</v>
      </c>
      <c r="N29" s="1" t="str">
        <f t="shared" si="11"/>
        <v>00000.000</v>
      </c>
      <c r="O29" t="str">
        <f>IF('Import OpenCPN'!W30&gt;0,"N","S")</f>
        <v>S</v>
      </c>
      <c r="P29" t="str">
        <f>IF('Import OpenCPN'!X30&gt;0,"E","W")</f>
        <v>W</v>
      </c>
    </row>
    <row r="30" spans="1:16" x14ac:dyDescent="0.2">
      <c r="A30">
        <f>'Import OpenCPN'!W31</f>
        <v>0</v>
      </c>
      <c r="B30">
        <f>'Import OpenCPN'!X31</f>
        <v>0</v>
      </c>
      <c r="C30">
        <f t="shared" si="0"/>
        <v>0</v>
      </c>
      <c r="D30" t="str">
        <f t="shared" si="1"/>
        <v>00</v>
      </c>
      <c r="E30">
        <f t="shared" si="2"/>
        <v>0</v>
      </c>
      <c r="F30">
        <f t="shared" si="3"/>
        <v>0</v>
      </c>
      <c r="G30" s="23" t="str">
        <f t="shared" si="4"/>
        <v>00.000</v>
      </c>
      <c r="H30" s="1" t="str">
        <f t="shared" si="5"/>
        <v>0000.000</v>
      </c>
      <c r="I30">
        <f t="shared" si="6"/>
        <v>0</v>
      </c>
      <c r="J30" t="str">
        <f t="shared" si="7"/>
        <v>000</v>
      </c>
      <c r="K30">
        <f t="shared" si="8"/>
        <v>0</v>
      </c>
      <c r="L30">
        <f t="shared" si="9"/>
        <v>0</v>
      </c>
      <c r="M30" t="str">
        <f t="shared" si="10"/>
        <v>00.000</v>
      </c>
      <c r="N30" s="1" t="str">
        <f t="shared" si="11"/>
        <v>00000.000</v>
      </c>
      <c r="O30" t="str">
        <f>IF('Import OpenCPN'!W31&gt;0,"N","S")</f>
        <v>S</v>
      </c>
      <c r="P30" t="str">
        <f>IF('Import OpenCPN'!X31&gt;0,"E","W")</f>
        <v>W</v>
      </c>
    </row>
    <row r="31" spans="1:16" x14ac:dyDescent="0.2">
      <c r="A31">
        <f>'Import OpenCPN'!W32</f>
        <v>0</v>
      </c>
      <c r="B31">
        <f>'Import OpenCPN'!X32</f>
        <v>0</v>
      </c>
      <c r="C31">
        <f t="shared" si="0"/>
        <v>0</v>
      </c>
      <c r="D31" t="str">
        <f t="shared" si="1"/>
        <v>00</v>
      </c>
      <c r="E31">
        <f t="shared" si="2"/>
        <v>0</v>
      </c>
      <c r="F31">
        <f t="shared" si="3"/>
        <v>0</v>
      </c>
      <c r="G31" s="23" t="str">
        <f t="shared" si="4"/>
        <v>00.000</v>
      </c>
      <c r="H31" s="1" t="str">
        <f t="shared" si="5"/>
        <v>0000.000</v>
      </c>
      <c r="I31">
        <f t="shared" si="6"/>
        <v>0</v>
      </c>
      <c r="J31" t="str">
        <f t="shared" si="7"/>
        <v>000</v>
      </c>
      <c r="K31">
        <f t="shared" si="8"/>
        <v>0</v>
      </c>
      <c r="L31">
        <f t="shared" si="9"/>
        <v>0</v>
      </c>
      <c r="M31" t="str">
        <f t="shared" si="10"/>
        <v>00.000</v>
      </c>
      <c r="N31" s="1" t="str">
        <f t="shared" si="11"/>
        <v>00000.000</v>
      </c>
      <c r="O31" t="str">
        <f>IF('Import OpenCPN'!W32&gt;0,"N","S")</f>
        <v>S</v>
      </c>
      <c r="P31" t="str">
        <f>IF('Import OpenCPN'!X32&gt;0,"E","W")</f>
        <v>W</v>
      </c>
    </row>
    <row r="32" spans="1:16" x14ac:dyDescent="0.2">
      <c r="A32">
        <f>'Import OpenCPN'!W33</f>
        <v>0</v>
      </c>
      <c r="B32">
        <f>'Import OpenCPN'!X33</f>
        <v>0</v>
      </c>
      <c r="C32">
        <f t="shared" si="0"/>
        <v>0</v>
      </c>
      <c r="D32" t="str">
        <f t="shared" si="1"/>
        <v>00</v>
      </c>
      <c r="E32">
        <f t="shared" si="2"/>
        <v>0</v>
      </c>
      <c r="F32">
        <f t="shared" si="3"/>
        <v>0</v>
      </c>
      <c r="G32" s="23" t="str">
        <f t="shared" si="4"/>
        <v>00.000</v>
      </c>
      <c r="H32" s="1" t="str">
        <f t="shared" si="5"/>
        <v>0000.000</v>
      </c>
      <c r="I32">
        <f t="shared" si="6"/>
        <v>0</v>
      </c>
      <c r="J32" t="str">
        <f t="shared" si="7"/>
        <v>000</v>
      </c>
      <c r="K32">
        <f t="shared" si="8"/>
        <v>0</v>
      </c>
      <c r="L32">
        <f t="shared" si="9"/>
        <v>0</v>
      </c>
      <c r="M32" t="str">
        <f t="shared" si="10"/>
        <v>00.000</v>
      </c>
      <c r="N32" s="1" t="str">
        <f t="shared" si="11"/>
        <v>00000.000</v>
      </c>
      <c r="O32" t="str">
        <f>IF('Import OpenCPN'!W33&gt;0,"N","S")</f>
        <v>S</v>
      </c>
      <c r="P32" t="str">
        <f>IF('Import OpenCPN'!X33&gt;0,"E","W")</f>
        <v>W</v>
      </c>
    </row>
    <row r="33" spans="1:16" x14ac:dyDescent="0.2">
      <c r="A33">
        <f>'Import OpenCPN'!W34</f>
        <v>0</v>
      </c>
      <c r="B33">
        <f>'Import OpenCPN'!X34</f>
        <v>0</v>
      </c>
      <c r="C33">
        <f t="shared" si="0"/>
        <v>0</v>
      </c>
      <c r="D33" t="str">
        <f t="shared" si="1"/>
        <v>00</v>
      </c>
      <c r="E33">
        <f t="shared" si="2"/>
        <v>0</v>
      </c>
      <c r="F33">
        <f t="shared" si="3"/>
        <v>0</v>
      </c>
      <c r="G33" s="23" t="str">
        <f t="shared" si="4"/>
        <v>00.000</v>
      </c>
      <c r="H33" s="1" t="str">
        <f t="shared" si="5"/>
        <v>0000.000</v>
      </c>
      <c r="I33">
        <f t="shared" si="6"/>
        <v>0</v>
      </c>
      <c r="J33" t="str">
        <f t="shared" si="7"/>
        <v>000</v>
      </c>
      <c r="K33">
        <f t="shared" si="8"/>
        <v>0</v>
      </c>
      <c r="L33">
        <f t="shared" si="9"/>
        <v>0</v>
      </c>
      <c r="M33" t="str">
        <f t="shared" si="10"/>
        <v>00.000</v>
      </c>
      <c r="N33" s="1" t="str">
        <f t="shared" si="11"/>
        <v>00000.000</v>
      </c>
      <c r="O33" t="str">
        <f>IF('Import OpenCPN'!W34&gt;0,"N","S")</f>
        <v>S</v>
      </c>
      <c r="P33" t="str">
        <f>IF('Import OpenCPN'!X34&gt;0,"E","W")</f>
        <v>W</v>
      </c>
    </row>
    <row r="34" spans="1:16" x14ac:dyDescent="0.2">
      <c r="A34">
        <f>'Import OpenCPN'!W35</f>
        <v>0</v>
      </c>
      <c r="B34">
        <f>'Import OpenCPN'!X35</f>
        <v>0</v>
      </c>
      <c r="C34">
        <f t="shared" si="0"/>
        <v>0</v>
      </c>
      <c r="D34" t="str">
        <f t="shared" si="1"/>
        <v>00</v>
      </c>
      <c r="E34">
        <f t="shared" si="2"/>
        <v>0</v>
      </c>
      <c r="F34">
        <f t="shared" si="3"/>
        <v>0</v>
      </c>
      <c r="G34" s="23" t="str">
        <f t="shared" si="4"/>
        <v>00.000</v>
      </c>
      <c r="H34" s="1" t="str">
        <f t="shared" si="5"/>
        <v>0000.000</v>
      </c>
      <c r="I34">
        <f t="shared" si="6"/>
        <v>0</v>
      </c>
      <c r="J34" t="str">
        <f t="shared" si="7"/>
        <v>000</v>
      </c>
      <c r="K34">
        <f t="shared" si="8"/>
        <v>0</v>
      </c>
      <c r="L34">
        <f t="shared" si="9"/>
        <v>0</v>
      </c>
      <c r="M34" t="str">
        <f t="shared" si="10"/>
        <v>00.000</v>
      </c>
      <c r="N34" s="1" t="str">
        <f t="shared" si="11"/>
        <v>00000.000</v>
      </c>
      <c r="O34" t="str">
        <f>IF('Import OpenCPN'!W35&gt;0,"N","S")</f>
        <v>S</v>
      </c>
      <c r="P34" t="str">
        <f>IF('Import OpenCPN'!X35&gt;0,"E","W")</f>
        <v>W</v>
      </c>
    </row>
    <row r="35" spans="1:16" x14ac:dyDescent="0.2">
      <c r="A35">
        <f>'Import OpenCPN'!W36</f>
        <v>0</v>
      </c>
      <c r="B35">
        <f>'Import OpenCPN'!X36</f>
        <v>0</v>
      </c>
      <c r="C35">
        <f t="shared" si="0"/>
        <v>0</v>
      </c>
      <c r="D35" t="str">
        <f t="shared" si="1"/>
        <v>00</v>
      </c>
      <c r="E35">
        <f t="shared" si="2"/>
        <v>0</v>
      </c>
      <c r="F35">
        <f t="shared" si="3"/>
        <v>0</v>
      </c>
      <c r="G35" s="23" t="str">
        <f t="shared" si="4"/>
        <v>00.000</v>
      </c>
      <c r="H35" s="1" t="str">
        <f t="shared" si="5"/>
        <v>0000.000</v>
      </c>
      <c r="I35">
        <f t="shared" si="6"/>
        <v>0</v>
      </c>
      <c r="J35" t="str">
        <f t="shared" si="7"/>
        <v>000</v>
      </c>
      <c r="K35">
        <f t="shared" si="8"/>
        <v>0</v>
      </c>
      <c r="L35">
        <f t="shared" si="9"/>
        <v>0</v>
      </c>
      <c r="M35" t="str">
        <f t="shared" si="10"/>
        <v>00.000</v>
      </c>
      <c r="N35" s="1" t="str">
        <f t="shared" si="11"/>
        <v>00000.000</v>
      </c>
      <c r="O35" t="str">
        <f>IF('Import OpenCPN'!W36&gt;0,"N","S")</f>
        <v>S</v>
      </c>
      <c r="P35" t="str">
        <f>IF('Import OpenCPN'!X36&gt;0,"E","W")</f>
        <v>W</v>
      </c>
    </row>
    <row r="36" spans="1:16" x14ac:dyDescent="0.2">
      <c r="A36">
        <f>'Import OpenCPN'!W37</f>
        <v>0</v>
      </c>
      <c r="B36">
        <f>'Import OpenCPN'!X37</f>
        <v>0</v>
      </c>
      <c r="C36">
        <f t="shared" si="0"/>
        <v>0</v>
      </c>
      <c r="D36" t="str">
        <f t="shared" si="1"/>
        <v>00</v>
      </c>
      <c r="E36">
        <f t="shared" si="2"/>
        <v>0</v>
      </c>
      <c r="F36">
        <f t="shared" si="3"/>
        <v>0</v>
      </c>
      <c r="G36" s="23" t="str">
        <f t="shared" si="4"/>
        <v>00.000</v>
      </c>
      <c r="H36" s="1" t="str">
        <f t="shared" si="5"/>
        <v>0000.000</v>
      </c>
      <c r="I36">
        <f t="shared" si="6"/>
        <v>0</v>
      </c>
      <c r="J36" t="str">
        <f t="shared" si="7"/>
        <v>000</v>
      </c>
      <c r="K36">
        <f t="shared" si="8"/>
        <v>0</v>
      </c>
      <c r="L36">
        <f t="shared" si="9"/>
        <v>0</v>
      </c>
      <c r="M36" t="str">
        <f t="shared" si="10"/>
        <v>00.000</v>
      </c>
      <c r="N36" s="1" t="str">
        <f t="shared" si="11"/>
        <v>00000.000</v>
      </c>
      <c r="O36" t="str">
        <f>IF('Import OpenCPN'!W37&gt;0,"N","S")</f>
        <v>S</v>
      </c>
      <c r="P36" t="str">
        <f>IF('Import OpenCPN'!X37&gt;0,"E","W")</f>
        <v>W</v>
      </c>
    </row>
    <row r="37" spans="1:16" x14ac:dyDescent="0.2">
      <c r="A37">
        <f>'Import OpenCPN'!W38</f>
        <v>0</v>
      </c>
      <c r="B37">
        <f>'Import OpenCPN'!X38</f>
        <v>0</v>
      </c>
      <c r="C37">
        <f t="shared" si="0"/>
        <v>0</v>
      </c>
      <c r="D37" t="str">
        <f t="shared" si="1"/>
        <v>00</v>
      </c>
      <c r="E37">
        <f t="shared" si="2"/>
        <v>0</v>
      </c>
      <c r="F37">
        <f t="shared" si="3"/>
        <v>0</v>
      </c>
      <c r="G37" s="23" t="str">
        <f t="shared" si="4"/>
        <v>00.000</v>
      </c>
      <c r="H37" s="1" t="str">
        <f t="shared" si="5"/>
        <v>0000.000</v>
      </c>
      <c r="I37">
        <f t="shared" si="6"/>
        <v>0</v>
      </c>
      <c r="J37" t="str">
        <f t="shared" si="7"/>
        <v>000</v>
      </c>
      <c r="K37">
        <f t="shared" si="8"/>
        <v>0</v>
      </c>
      <c r="L37">
        <f t="shared" si="9"/>
        <v>0</v>
      </c>
      <c r="M37" t="str">
        <f t="shared" si="10"/>
        <v>00.000</v>
      </c>
      <c r="N37" s="1" t="str">
        <f t="shared" si="11"/>
        <v>00000.000</v>
      </c>
      <c r="O37" t="str">
        <f>IF('Import OpenCPN'!W38&gt;0,"N","S")</f>
        <v>S</v>
      </c>
      <c r="P37" t="str">
        <f>IF('Import OpenCPN'!X38&gt;0,"E","W")</f>
        <v>W</v>
      </c>
    </row>
    <row r="38" spans="1:16" x14ac:dyDescent="0.2">
      <c r="A38">
        <f>'Import OpenCPN'!W39</f>
        <v>0</v>
      </c>
      <c r="B38">
        <f>'Import OpenCPN'!X39</f>
        <v>0</v>
      </c>
      <c r="C38">
        <f t="shared" si="0"/>
        <v>0</v>
      </c>
      <c r="D38" t="str">
        <f t="shared" si="1"/>
        <v>00</v>
      </c>
      <c r="E38">
        <f t="shared" si="2"/>
        <v>0</v>
      </c>
      <c r="F38">
        <f t="shared" si="3"/>
        <v>0</v>
      </c>
      <c r="G38" s="23" t="str">
        <f t="shared" si="4"/>
        <v>00.000</v>
      </c>
      <c r="H38" s="1" t="str">
        <f t="shared" si="5"/>
        <v>0000.000</v>
      </c>
      <c r="I38">
        <f t="shared" si="6"/>
        <v>0</v>
      </c>
      <c r="J38" t="str">
        <f t="shared" si="7"/>
        <v>000</v>
      </c>
      <c r="K38">
        <f t="shared" si="8"/>
        <v>0</v>
      </c>
      <c r="L38">
        <f t="shared" si="9"/>
        <v>0</v>
      </c>
      <c r="M38" t="str">
        <f t="shared" si="10"/>
        <v>00.000</v>
      </c>
      <c r="N38" s="1" t="str">
        <f t="shared" si="11"/>
        <v>00000.000</v>
      </c>
      <c r="O38" t="str">
        <f>IF('Import OpenCPN'!W39&gt;0,"N","S")</f>
        <v>S</v>
      </c>
      <c r="P38" t="str">
        <f>IF('Import OpenCPN'!X39&gt;0,"E","W")</f>
        <v>W</v>
      </c>
    </row>
    <row r="39" spans="1:16" x14ac:dyDescent="0.2">
      <c r="A39">
        <f>'Import OpenCPN'!W40</f>
        <v>0</v>
      </c>
      <c r="B39">
        <f>'Import OpenCPN'!X40</f>
        <v>0</v>
      </c>
      <c r="C39">
        <f t="shared" si="0"/>
        <v>0</v>
      </c>
      <c r="D39" t="str">
        <f t="shared" si="1"/>
        <v>00</v>
      </c>
      <c r="E39">
        <f t="shared" si="2"/>
        <v>0</v>
      </c>
      <c r="F39">
        <f t="shared" si="3"/>
        <v>0</v>
      </c>
      <c r="G39" s="23" t="str">
        <f t="shared" si="4"/>
        <v>00.000</v>
      </c>
      <c r="H39" s="1" t="str">
        <f t="shared" si="5"/>
        <v>0000.000</v>
      </c>
      <c r="I39">
        <f t="shared" si="6"/>
        <v>0</v>
      </c>
      <c r="J39" t="str">
        <f t="shared" si="7"/>
        <v>000</v>
      </c>
      <c r="K39">
        <f t="shared" si="8"/>
        <v>0</v>
      </c>
      <c r="L39">
        <f t="shared" si="9"/>
        <v>0</v>
      </c>
      <c r="M39" t="str">
        <f t="shared" si="10"/>
        <v>00.000</v>
      </c>
      <c r="N39" s="1" t="str">
        <f t="shared" si="11"/>
        <v>00000.000</v>
      </c>
      <c r="O39" t="str">
        <f>IF('Import OpenCPN'!W40&gt;0,"N","S")</f>
        <v>S</v>
      </c>
      <c r="P39" t="str">
        <f>IF('Import OpenCPN'!X40&gt;0,"E","W")</f>
        <v>W</v>
      </c>
    </row>
    <row r="40" spans="1:16" x14ac:dyDescent="0.2">
      <c r="A40">
        <f>'Import OpenCPN'!W41</f>
        <v>0</v>
      </c>
      <c r="B40">
        <f>'Import OpenCPN'!X41</f>
        <v>0</v>
      </c>
      <c r="C40">
        <f t="shared" si="0"/>
        <v>0</v>
      </c>
      <c r="D40" t="str">
        <f t="shared" si="1"/>
        <v>00</v>
      </c>
      <c r="E40">
        <f t="shared" si="2"/>
        <v>0</v>
      </c>
      <c r="F40">
        <f t="shared" si="3"/>
        <v>0</v>
      </c>
      <c r="G40" s="23" t="str">
        <f t="shared" si="4"/>
        <v>00.000</v>
      </c>
      <c r="H40" s="1" t="str">
        <f t="shared" si="5"/>
        <v>0000.000</v>
      </c>
      <c r="I40">
        <f t="shared" si="6"/>
        <v>0</v>
      </c>
      <c r="J40" t="str">
        <f t="shared" si="7"/>
        <v>000</v>
      </c>
      <c r="K40">
        <f t="shared" si="8"/>
        <v>0</v>
      </c>
      <c r="L40">
        <f t="shared" si="9"/>
        <v>0</v>
      </c>
      <c r="M40" t="str">
        <f t="shared" si="10"/>
        <v>00.000</v>
      </c>
      <c r="N40" s="1" t="str">
        <f t="shared" si="11"/>
        <v>00000.000</v>
      </c>
      <c r="O40" t="str">
        <f>IF('Import OpenCPN'!W41&gt;0,"N","S")</f>
        <v>S</v>
      </c>
      <c r="P40" t="str">
        <f>IF('Import OpenCPN'!X41&gt;0,"E","W")</f>
        <v>W</v>
      </c>
    </row>
    <row r="41" spans="1:16" x14ac:dyDescent="0.2">
      <c r="A41">
        <f>'Import OpenCPN'!W42</f>
        <v>0</v>
      </c>
      <c r="B41">
        <f>'Import OpenCPN'!X42</f>
        <v>0</v>
      </c>
      <c r="C41">
        <f t="shared" si="0"/>
        <v>0</v>
      </c>
      <c r="D41" t="str">
        <f t="shared" si="1"/>
        <v>00</v>
      </c>
      <c r="E41">
        <f t="shared" si="2"/>
        <v>0</v>
      </c>
      <c r="F41">
        <f t="shared" si="3"/>
        <v>0</v>
      </c>
      <c r="G41" s="23" t="str">
        <f t="shared" si="4"/>
        <v>00.000</v>
      </c>
      <c r="H41" s="1" t="str">
        <f t="shared" si="5"/>
        <v>0000.000</v>
      </c>
      <c r="I41">
        <f t="shared" si="6"/>
        <v>0</v>
      </c>
      <c r="J41" t="str">
        <f t="shared" si="7"/>
        <v>000</v>
      </c>
      <c r="K41">
        <f t="shared" si="8"/>
        <v>0</v>
      </c>
      <c r="L41">
        <f t="shared" si="9"/>
        <v>0</v>
      </c>
      <c r="M41" t="str">
        <f t="shared" si="10"/>
        <v>00.000</v>
      </c>
      <c r="N41" s="1" t="str">
        <f t="shared" si="11"/>
        <v>00000.000</v>
      </c>
      <c r="O41" t="str">
        <f>IF('Import OpenCPN'!W42&gt;0,"N","S")</f>
        <v>S</v>
      </c>
      <c r="P41" t="str">
        <f>IF('Import OpenCPN'!X42&gt;0,"E","W")</f>
        <v>W</v>
      </c>
    </row>
    <row r="42" spans="1:16" x14ac:dyDescent="0.2">
      <c r="A42">
        <f>'Import OpenCPN'!W43</f>
        <v>0</v>
      </c>
      <c r="B42">
        <f>'Import OpenCPN'!X43</f>
        <v>0</v>
      </c>
      <c r="C42">
        <f t="shared" si="0"/>
        <v>0</v>
      </c>
      <c r="D42" t="str">
        <f t="shared" si="1"/>
        <v>00</v>
      </c>
      <c r="E42">
        <f t="shared" si="2"/>
        <v>0</v>
      </c>
      <c r="F42">
        <f t="shared" si="3"/>
        <v>0</v>
      </c>
      <c r="G42" s="23" t="str">
        <f t="shared" si="4"/>
        <v>00.000</v>
      </c>
      <c r="H42" s="1" t="str">
        <f t="shared" si="5"/>
        <v>0000.000</v>
      </c>
      <c r="I42">
        <f t="shared" si="6"/>
        <v>0</v>
      </c>
      <c r="J42" t="str">
        <f t="shared" si="7"/>
        <v>000</v>
      </c>
      <c r="K42">
        <f t="shared" si="8"/>
        <v>0</v>
      </c>
      <c r="L42">
        <f t="shared" si="9"/>
        <v>0</v>
      </c>
      <c r="M42" t="str">
        <f t="shared" si="10"/>
        <v>00.000</v>
      </c>
      <c r="N42" s="1" t="str">
        <f t="shared" si="11"/>
        <v>00000.000</v>
      </c>
      <c r="O42" t="str">
        <f>IF('Import OpenCPN'!W43&gt;0,"N","S")</f>
        <v>S</v>
      </c>
      <c r="P42" t="str">
        <f>IF('Import OpenCPN'!X43&gt;0,"E","W")</f>
        <v>W</v>
      </c>
    </row>
    <row r="43" spans="1:16" x14ac:dyDescent="0.2">
      <c r="A43">
        <f>'Import OpenCPN'!W44</f>
        <v>0</v>
      </c>
      <c r="B43">
        <f>'Import OpenCPN'!X44</f>
        <v>0</v>
      </c>
      <c r="C43">
        <f t="shared" si="0"/>
        <v>0</v>
      </c>
      <c r="D43" t="str">
        <f t="shared" si="1"/>
        <v>00</v>
      </c>
      <c r="E43">
        <f t="shared" si="2"/>
        <v>0</v>
      </c>
      <c r="F43">
        <f t="shared" si="3"/>
        <v>0</v>
      </c>
      <c r="G43" s="23" t="str">
        <f t="shared" si="4"/>
        <v>00.000</v>
      </c>
      <c r="H43" s="1" t="str">
        <f t="shared" si="5"/>
        <v>0000.000</v>
      </c>
      <c r="I43">
        <f t="shared" si="6"/>
        <v>0</v>
      </c>
      <c r="J43" t="str">
        <f t="shared" si="7"/>
        <v>000</v>
      </c>
      <c r="K43">
        <f t="shared" si="8"/>
        <v>0</v>
      </c>
      <c r="L43">
        <f t="shared" si="9"/>
        <v>0</v>
      </c>
      <c r="M43" t="str">
        <f t="shared" si="10"/>
        <v>00.000</v>
      </c>
      <c r="N43" s="1" t="str">
        <f t="shared" si="11"/>
        <v>00000.000</v>
      </c>
      <c r="O43" t="str">
        <f>IF('Import OpenCPN'!W44&gt;0,"N","S")</f>
        <v>S</v>
      </c>
      <c r="P43" t="str">
        <f>IF('Import OpenCPN'!X44&gt;0,"E","W")</f>
        <v>W</v>
      </c>
    </row>
    <row r="44" spans="1:16" x14ac:dyDescent="0.2">
      <c r="A44">
        <f>'Import OpenCPN'!W45</f>
        <v>0</v>
      </c>
      <c r="B44">
        <f>'Import OpenCPN'!X45</f>
        <v>0</v>
      </c>
      <c r="C44">
        <f t="shared" si="0"/>
        <v>0</v>
      </c>
      <c r="D44" t="str">
        <f t="shared" si="1"/>
        <v>00</v>
      </c>
      <c r="E44">
        <f t="shared" si="2"/>
        <v>0</v>
      </c>
      <c r="F44">
        <f t="shared" si="3"/>
        <v>0</v>
      </c>
      <c r="G44" s="23" t="str">
        <f t="shared" si="4"/>
        <v>00.000</v>
      </c>
      <c r="H44" s="1" t="str">
        <f t="shared" si="5"/>
        <v>0000.000</v>
      </c>
      <c r="I44">
        <f t="shared" si="6"/>
        <v>0</v>
      </c>
      <c r="J44" t="str">
        <f t="shared" si="7"/>
        <v>000</v>
      </c>
      <c r="K44">
        <f t="shared" si="8"/>
        <v>0</v>
      </c>
      <c r="L44">
        <f t="shared" si="9"/>
        <v>0</v>
      </c>
      <c r="M44" t="str">
        <f t="shared" si="10"/>
        <v>00.000</v>
      </c>
      <c r="N44" s="1" t="str">
        <f t="shared" si="11"/>
        <v>00000.000</v>
      </c>
      <c r="O44" t="str">
        <f>IF('Import OpenCPN'!W45&gt;0,"N","S")</f>
        <v>S</v>
      </c>
      <c r="P44" t="str">
        <f>IF('Import OpenCPN'!X45&gt;0,"E","W")</f>
        <v>W</v>
      </c>
    </row>
    <row r="45" spans="1:16" x14ac:dyDescent="0.2">
      <c r="A45">
        <f>'Import OpenCPN'!W46</f>
        <v>0</v>
      </c>
      <c r="B45">
        <f>'Import OpenCPN'!X46</f>
        <v>0</v>
      </c>
      <c r="C45">
        <f t="shared" si="0"/>
        <v>0</v>
      </c>
      <c r="D45" t="str">
        <f t="shared" si="1"/>
        <v>00</v>
      </c>
      <c r="E45">
        <f t="shared" si="2"/>
        <v>0</v>
      </c>
      <c r="F45">
        <f t="shared" si="3"/>
        <v>0</v>
      </c>
      <c r="G45" s="23" t="str">
        <f t="shared" si="4"/>
        <v>00.000</v>
      </c>
      <c r="H45" s="1" t="str">
        <f t="shared" si="5"/>
        <v>0000.000</v>
      </c>
      <c r="I45">
        <f t="shared" si="6"/>
        <v>0</v>
      </c>
      <c r="J45" t="str">
        <f t="shared" si="7"/>
        <v>000</v>
      </c>
      <c r="K45">
        <f t="shared" si="8"/>
        <v>0</v>
      </c>
      <c r="L45">
        <f t="shared" si="9"/>
        <v>0</v>
      </c>
      <c r="M45" t="str">
        <f t="shared" si="10"/>
        <v>00.000</v>
      </c>
      <c r="N45" s="1" t="str">
        <f t="shared" si="11"/>
        <v>00000.000</v>
      </c>
      <c r="O45" t="str">
        <f>IF('Import OpenCPN'!W46&gt;0,"N","S")</f>
        <v>S</v>
      </c>
      <c r="P45" t="str">
        <f>IF('Import OpenCPN'!X46&gt;0,"E","W")</f>
        <v>W</v>
      </c>
    </row>
    <row r="46" spans="1:16" x14ac:dyDescent="0.2">
      <c r="A46">
        <f>'Import OpenCPN'!W47</f>
        <v>0</v>
      </c>
      <c r="B46">
        <f>'Import OpenCPN'!X47</f>
        <v>0</v>
      </c>
      <c r="C46">
        <f t="shared" si="0"/>
        <v>0</v>
      </c>
      <c r="D46" t="str">
        <f t="shared" si="1"/>
        <v>00</v>
      </c>
      <c r="E46">
        <f t="shared" si="2"/>
        <v>0</v>
      </c>
      <c r="F46">
        <f t="shared" si="3"/>
        <v>0</v>
      </c>
      <c r="G46" s="23" t="str">
        <f t="shared" si="4"/>
        <v>00.000</v>
      </c>
      <c r="H46" s="1" t="str">
        <f t="shared" si="5"/>
        <v>0000.000</v>
      </c>
      <c r="I46">
        <f t="shared" si="6"/>
        <v>0</v>
      </c>
      <c r="J46" t="str">
        <f t="shared" si="7"/>
        <v>000</v>
      </c>
      <c r="K46">
        <f t="shared" si="8"/>
        <v>0</v>
      </c>
      <c r="L46">
        <f t="shared" si="9"/>
        <v>0</v>
      </c>
      <c r="M46" t="str">
        <f t="shared" si="10"/>
        <v>00.000</v>
      </c>
      <c r="N46" s="1" t="str">
        <f t="shared" si="11"/>
        <v>00000.000</v>
      </c>
      <c r="O46" t="str">
        <f>IF('Import OpenCPN'!W47&gt;0,"N","S")</f>
        <v>S</v>
      </c>
      <c r="P46" t="str">
        <f>IF('Import OpenCPN'!X47&gt;0,"E","W")</f>
        <v>W</v>
      </c>
    </row>
    <row r="47" spans="1:16" x14ac:dyDescent="0.2">
      <c r="A47">
        <f>'Import OpenCPN'!W48</f>
        <v>0</v>
      </c>
      <c r="B47">
        <f>'Import OpenCPN'!X48</f>
        <v>0</v>
      </c>
      <c r="C47">
        <f t="shared" si="0"/>
        <v>0</v>
      </c>
      <c r="D47" t="str">
        <f t="shared" si="1"/>
        <v>00</v>
      </c>
      <c r="E47">
        <f t="shared" si="2"/>
        <v>0</v>
      </c>
      <c r="F47">
        <f t="shared" si="3"/>
        <v>0</v>
      </c>
      <c r="G47" s="23" t="str">
        <f t="shared" si="4"/>
        <v>00.000</v>
      </c>
      <c r="H47" s="1" t="str">
        <f t="shared" si="5"/>
        <v>0000.000</v>
      </c>
      <c r="I47">
        <f t="shared" si="6"/>
        <v>0</v>
      </c>
      <c r="J47" t="str">
        <f t="shared" si="7"/>
        <v>000</v>
      </c>
      <c r="K47">
        <f t="shared" si="8"/>
        <v>0</v>
      </c>
      <c r="L47">
        <f t="shared" si="9"/>
        <v>0</v>
      </c>
      <c r="M47" t="str">
        <f t="shared" si="10"/>
        <v>00.000</v>
      </c>
      <c r="N47" s="1" t="str">
        <f t="shared" si="11"/>
        <v>00000.000</v>
      </c>
      <c r="O47" t="str">
        <f>IF('Import OpenCPN'!W48&gt;0,"N","S")</f>
        <v>S</v>
      </c>
      <c r="P47" t="str">
        <f>IF('Import OpenCPN'!X48&gt;0,"E","W")</f>
        <v>W</v>
      </c>
    </row>
    <row r="48" spans="1:16" x14ac:dyDescent="0.2">
      <c r="A48">
        <f>'Import OpenCPN'!W49</f>
        <v>0</v>
      </c>
      <c r="B48">
        <f>'Import OpenCPN'!X49</f>
        <v>0</v>
      </c>
      <c r="C48">
        <f t="shared" si="0"/>
        <v>0</v>
      </c>
      <c r="D48" t="str">
        <f t="shared" si="1"/>
        <v>00</v>
      </c>
      <c r="E48">
        <f t="shared" si="2"/>
        <v>0</v>
      </c>
      <c r="F48">
        <f t="shared" si="3"/>
        <v>0</v>
      </c>
      <c r="G48" s="23" t="str">
        <f t="shared" si="4"/>
        <v>00.000</v>
      </c>
      <c r="H48" s="1" t="str">
        <f t="shared" si="5"/>
        <v>0000.000</v>
      </c>
      <c r="I48">
        <f t="shared" si="6"/>
        <v>0</v>
      </c>
      <c r="J48" t="str">
        <f t="shared" si="7"/>
        <v>000</v>
      </c>
      <c r="K48">
        <f t="shared" si="8"/>
        <v>0</v>
      </c>
      <c r="L48">
        <f t="shared" si="9"/>
        <v>0</v>
      </c>
      <c r="M48" t="str">
        <f t="shared" si="10"/>
        <v>00.000</v>
      </c>
      <c r="N48" s="1" t="str">
        <f t="shared" si="11"/>
        <v>00000.000</v>
      </c>
      <c r="O48" t="str">
        <f>IF('Import OpenCPN'!W49&gt;0,"N","S")</f>
        <v>S</v>
      </c>
      <c r="P48" t="str">
        <f>IF('Import OpenCPN'!X49&gt;0,"E","W")</f>
        <v>W</v>
      </c>
    </row>
    <row r="49" spans="1:16" x14ac:dyDescent="0.2">
      <c r="A49">
        <f>'Import OpenCPN'!W50</f>
        <v>0</v>
      </c>
      <c r="B49">
        <f>'Import OpenCPN'!X50</f>
        <v>0</v>
      </c>
      <c r="C49">
        <f t="shared" si="0"/>
        <v>0</v>
      </c>
      <c r="D49" t="str">
        <f t="shared" si="1"/>
        <v>00</v>
      </c>
      <c r="E49">
        <f t="shared" si="2"/>
        <v>0</v>
      </c>
      <c r="F49">
        <f t="shared" si="3"/>
        <v>0</v>
      </c>
      <c r="G49" s="23" t="str">
        <f t="shared" si="4"/>
        <v>00.000</v>
      </c>
      <c r="H49" s="1" t="str">
        <f t="shared" si="5"/>
        <v>0000.000</v>
      </c>
      <c r="I49">
        <f t="shared" si="6"/>
        <v>0</v>
      </c>
      <c r="J49" t="str">
        <f t="shared" si="7"/>
        <v>000</v>
      </c>
      <c r="K49">
        <f t="shared" si="8"/>
        <v>0</v>
      </c>
      <c r="L49">
        <f t="shared" si="9"/>
        <v>0</v>
      </c>
      <c r="M49" t="str">
        <f t="shared" si="10"/>
        <v>00.000</v>
      </c>
      <c r="N49" s="1" t="str">
        <f t="shared" si="11"/>
        <v>00000.000</v>
      </c>
      <c r="O49" t="str">
        <f>IF('Import OpenCPN'!W50&gt;0,"N","S")</f>
        <v>S</v>
      </c>
      <c r="P49" t="str">
        <f>IF('Import OpenCPN'!X50&gt;0,"E","W")</f>
        <v>W</v>
      </c>
    </row>
    <row r="50" spans="1:16" x14ac:dyDescent="0.2">
      <c r="A50">
        <f>'Import OpenCPN'!W51</f>
        <v>0</v>
      </c>
      <c r="B50">
        <f>'Import OpenCPN'!X51</f>
        <v>0</v>
      </c>
      <c r="C50">
        <f t="shared" si="0"/>
        <v>0</v>
      </c>
      <c r="D50" t="str">
        <f t="shared" si="1"/>
        <v>00</v>
      </c>
      <c r="E50">
        <f t="shared" si="2"/>
        <v>0</v>
      </c>
      <c r="F50">
        <f t="shared" si="3"/>
        <v>0</v>
      </c>
      <c r="G50" s="23" t="str">
        <f t="shared" si="4"/>
        <v>00.000</v>
      </c>
      <c r="H50" s="1" t="str">
        <f t="shared" si="5"/>
        <v>0000.000</v>
      </c>
      <c r="I50">
        <f t="shared" si="6"/>
        <v>0</v>
      </c>
      <c r="J50" t="str">
        <f t="shared" si="7"/>
        <v>000</v>
      </c>
      <c r="K50">
        <f t="shared" si="8"/>
        <v>0</v>
      </c>
      <c r="L50">
        <f t="shared" si="9"/>
        <v>0</v>
      </c>
      <c r="M50" t="str">
        <f t="shared" si="10"/>
        <v>00.000</v>
      </c>
      <c r="N50" s="1" t="str">
        <f t="shared" si="11"/>
        <v>00000.000</v>
      </c>
      <c r="O50" t="str">
        <f>IF('Import OpenCPN'!W51&gt;0,"N","S")</f>
        <v>S</v>
      </c>
      <c r="P50" t="str">
        <f>IF('Import OpenCPN'!X51&gt;0,"E","W")</f>
        <v>W</v>
      </c>
    </row>
    <row r="51" spans="1:16" x14ac:dyDescent="0.2">
      <c r="A51">
        <f>'Import OpenCPN'!W52</f>
        <v>0</v>
      </c>
      <c r="B51">
        <f>'Import OpenCPN'!X52</f>
        <v>0</v>
      </c>
      <c r="C51">
        <f t="shared" si="0"/>
        <v>0</v>
      </c>
      <c r="D51" t="str">
        <f t="shared" si="1"/>
        <v>00</v>
      </c>
      <c r="E51">
        <f t="shared" si="2"/>
        <v>0</v>
      </c>
      <c r="F51">
        <f t="shared" si="3"/>
        <v>0</v>
      </c>
      <c r="G51" s="23" t="str">
        <f t="shared" si="4"/>
        <v>00.000</v>
      </c>
      <c r="H51" s="1" t="str">
        <f t="shared" si="5"/>
        <v>0000.000</v>
      </c>
      <c r="I51">
        <f t="shared" si="6"/>
        <v>0</v>
      </c>
      <c r="J51" t="str">
        <f t="shared" si="7"/>
        <v>000</v>
      </c>
      <c r="K51">
        <f t="shared" si="8"/>
        <v>0</v>
      </c>
      <c r="L51">
        <f t="shared" si="9"/>
        <v>0</v>
      </c>
      <c r="M51" t="str">
        <f t="shared" si="10"/>
        <v>00.000</v>
      </c>
      <c r="N51" s="1" t="str">
        <f t="shared" si="11"/>
        <v>00000.000</v>
      </c>
      <c r="O51" t="str">
        <f>IF('Import OpenCPN'!W52&gt;0,"N","S")</f>
        <v>S</v>
      </c>
      <c r="P51" t="str">
        <f>IF('Import OpenCPN'!X52&gt;0,"E","W")</f>
        <v>W</v>
      </c>
    </row>
    <row r="52" spans="1:16" x14ac:dyDescent="0.2">
      <c r="A52">
        <f>'Import OpenCPN'!W53</f>
        <v>0</v>
      </c>
      <c r="B52">
        <f>'Import OpenCPN'!X53</f>
        <v>0</v>
      </c>
      <c r="C52">
        <f t="shared" si="0"/>
        <v>0</v>
      </c>
      <c r="D52" t="str">
        <f t="shared" si="1"/>
        <v>00</v>
      </c>
      <c r="E52">
        <f t="shared" si="2"/>
        <v>0</v>
      </c>
      <c r="F52">
        <f t="shared" si="3"/>
        <v>0</v>
      </c>
      <c r="G52" s="23" t="str">
        <f t="shared" si="4"/>
        <v>00.000</v>
      </c>
      <c r="H52" s="1" t="str">
        <f t="shared" si="5"/>
        <v>0000.000</v>
      </c>
      <c r="I52">
        <f t="shared" si="6"/>
        <v>0</v>
      </c>
      <c r="J52" t="str">
        <f t="shared" si="7"/>
        <v>000</v>
      </c>
      <c r="K52">
        <f t="shared" si="8"/>
        <v>0</v>
      </c>
      <c r="L52">
        <f t="shared" si="9"/>
        <v>0</v>
      </c>
      <c r="M52" t="str">
        <f t="shared" si="10"/>
        <v>00.000</v>
      </c>
      <c r="N52" s="1" t="str">
        <f t="shared" si="11"/>
        <v>00000.000</v>
      </c>
      <c r="O52" t="str">
        <f>IF('Import OpenCPN'!W53&gt;0,"N","S")</f>
        <v>S</v>
      </c>
      <c r="P52" t="str">
        <f>IF('Import OpenCPN'!X53&gt;0,"E","W")</f>
        <v>W</v>
      </c>
    </row>
    <row r="53" spans="1:16" x14ac:dyDescent="0.2">
      <c r="A53">
        <f>'Import OpenCPN'!W54</f>
        <v>0</v>
      </c>
      <c r="B53">
        <f>'Import OpenCPN'!X54</f>
        <v>0</v>
      </c>
      <c r="C53">
        <f t="shared" si="0"/>
        <v>0</v>
      </c>
      <c r="D53" t="str">
        <f t="shared" si="1"/>
        <v>00</v>
      </c>
      <c r="E53">
        <f t="shared" si="2"/>
        <v>0</v>
      </c>
      <c r="F53">
        <f t="shared" si="3"/>
        <v>0</v>
      </c>
      <c r="G53" s="23" t="str">
        <f t="shared" si="4"/>
        <v>00.000</v>
      </c>
      <c r="H53" s="1" t="str">
        <f t="shared" si="5"/>
        <v>0000.000</v>
      </c>
      <c r="I53">
        <f t="shared" si="6"/>
        <v>0</v>
      </c>
      <c r="J53" t="str">
        <f t="shared" si="7"/>
        <v>000</v>
      </c>
      <c r="K53">
        <f t="shared" si="8"/>
        <v>0</v>
      </c>
      <c r="L53">
        <f t="shared" si="9"/>
        <v>0</v>
      </c>
      <c r="M53" t="str">
        <f t="shared" si="10"/>
        <v>00.000</v>
      </c>
      <c r="N53" s="1" t="str">
        <f t="shared" si="11"/>
        <v>00000.000</v>
      </c>
      <c r="O53" t="str">
        <f>IF('Import OpenCPN'!W54&gt;0,"N","S")</f>
        <v>S</v>
      </c>
      <c r="P53" t="str">
        <f>IF('Import OpenCPN'!X54&gt;0,"E","W")</f>
        <v>W</v>
      </c>
    </row>
    <row r="54" spans="1:16" x14ac:dyDescent="0.2">
      <c r="A54">
        <f>'Import OpenCPN'!W55</f>
        <v>0</v>
      </c>
      <c r="B54">
        <f>'Import OpenCPN'!X55</f>
        <v>0</v>
      </c>
      <c r="C54">
        <f t="shared" si="0"/>
        <v>0</v>
      </c>
      <c r="D54" t="str">
        <f t="shared" si="1"/>
        <v>00</v>
      </c>
      <c r="E54">
        <f t="shared" si="2"/>
        <v>0</v>
      </c>
      <c r="F54">
        <f t="shared" si="3"/>
        <v>0</v>
      </c>
      <c r="G54" s="23" t="str">
        <f t="shared" si="4"/>
        <v>00.000</v>
      </c>
      <c r="H54" s="1" t="str">
        <f t="shared" si="5"/>
        <v>0000.000</v>
      </c>
      <c r="I54">
        <f t="shared" si="6"/>
        <v>0</v>
      </c>
      <c r="J54" t="str">
        <f t="shared" si="7"/>
        <v>000</v>
      </c>
      <c r="K54">
        <f t="shared" si="8"/>
        <v>0</v>
      </c>
      <c r="L54">
        <f t="shared" si="9"/>
        <v>0</v>
      </c>
      <c r="M54" t="str">
        <f t="shared" si="10"/>
        <v>00.000</v>
      </c>
      <c r="N54" s="1" t="str">
        <f t="shared" si="11"/>
        <v>00000.000</v>
      </c>
      <c r="O54" t="str">
        <f>IF('Import OpenCPN'!W55&gt;0,"N","S")</f>
        <v>S</v>
      </c>
      <c r="P54" t="str">
        <f>IF('Import OpenCPN'!X55&gt;0,"E","W")</f>
        <v>W</v>
      </c>
    </row>
    <row r="55" spans="1:16" x14ac:dyDescent="0.2">
      <c r="A55">
        <f>'Import OpenCPN'!W56</f>
        <v>0</v>
      </c>
      <c r="B55">
        <f>'Import OpenCPN'!X56</f>
        <v>0</v>
      </c>
      <c r="C55">
        <f t="shared" si="0"/>
        <v>0</v>
      </c>
      <c r="D55" t="str">
        <f t="shared" si="1"/>
        <v>00</v>
      </c>
      <c r="E55">
        <f t="shared" si="2"/>
        <v>0</v>
      </c>
      <c r="F55">
        <f t="shared" si="3"/>
        <v>0</v>
      </c>
      <c r="G55" s="23" t="str">
        <f t="shared" si="4"/>
        <v>00.000</v>
      </c>
      <c r="H55" s="1" t="str">
        <f t="shared" si="5"/>
        <v>0000.000</v>
      </c>
      <c r="I55">
        <f t="shared" si="6"/>
        <v>0</v>
      </c>
      <c r="J55" t="str">
        <f t="shared" si="7"/>
        <v>000</v>
      </c>
      <c r="K55">
        <f t="shared" si="8"/>
        <v>0</v>
      </c>
      <c r="L55">
        <f t="shared" si="9"/>
        <v>0</v>
      </c>
      <c r="M55" t="str">
        <f t="shared" si="10"/>
        <v>00.000</v>
      </c>
      <c r="N55" s="1" t="str">
        <f t="shared" si="11"/>
        <v>00000.000</v>
      </c>
      <c r="O55" t="str">
        <f>IF('Import OpenCPN'!W56&gt;0,"N","S")</f>
        <v>S</v>
      </c>
      <c r="P55" t="str">
        <f>IF('Import OpenCPN'!X56&gt;0,"E","W")</f>
        <v>W</v>
      </c>
    </row>
    <row r="56" spans="1:16" x14ac:dyDescent="0.2">
      <c r="A56">
        <f>'Import OpenCPN'!W57</f>
        <v>0</v>
      </c>
      <c r="B56">
        <f>'Import OpenCPN'!X57</f>
        <v>0</v>
      </c>
      <c r="C56">
        <f t="shared" si="0"/>
        <v>0</v>
      </c>
      <c r="D56" t="str">
        <f t="shared" si="1"/>
        <v>00</v>
      </c>
      <c r="E56">
        <f t="shared" si="2"/>
        <v>0</v>
      </c>
      <c r="F56">
        <f t="shared" si="3"/>
        <v>0</v>
      </c>
      <c r="G56" s="23" t="str">
        <f t="shared" si="4"/>
        <v>00.000</v>
      </c>
      <c r="H56" s="1" t="str">
        <f t="shared" si="5"/>
        <v>0000.000</v>
      </c>
      <c r="I56">
        <f t="shared" si="6"/>
        <v>0</v>
      </c>
      <c r="J56" t="str">
        <f t="shared" si="7"/>
        <v>000</v>
      </c>
      <c r="K56">
        <f t="shared" si="8"/>
        <v>0</v>
      </c>
      <c r="L56">
        <f t="shared" si="9"/>
        <v>0</v>
      </c>
      <c r="M56" t="str">
        <f t="shared" si="10"/>
        <v>00.000</v>
      </c>
      <c r="N56" s="1" t="str">
        <f t="shared" si="11"/>
        <v>00000.000</v>
      </c>
      <c r="O56" t="str">
        <f>IF('Import OpenCPN'!W57&gt;0,"N","S")</f>
        <v>S</v>
      </c>
      <c r="P56" t="str">
        <f>IF('Import OpenCPN'!X57&gt;0,"E","W")</f>
        <v>W</v>
      </c>
    </row>
    <row r="57" spans="1:16" x14ac:dyDescent="0.2">
      <c r="A57">
        <f>'Import OpenCPN'!W58</f>
        <v>0</v>
      </c>
      <c r="B57">
        <f>'Import OpenCPN'!X58</f>
        <v>0</v>
      </c>
      <c r="C57">
        <f t="shared" si="0"/>
        <v>0</v>
      </c>
      <c r="D57" t="str">
        <f t="shared" si="1"/>
        <v>00</v>
      </c>
      <c r="E57">
        <f t="shared" si="2"/>
        <v>0</v>
      </c>
      <c r="F57">
        <f t="shared" si="3"/>
        <v>0</v>
      </c>
      <c r="G57" s="23" t="str">
        <f t="shared" si="4"/>
        <v>00.000</v>
      </c>
      <c r="H57" s="1" t="str">
        <f t="shared" si="5"/>
        <v>0000.000</v>
      </c>
      <c r="I57">
        <f t="shared" si="6"/>
        <v>0</v>
      </c>
      <c r="J57" t="str">
        <f t="shared" si="7"/>
        <v>000</v>
      </c>
      <c r="K57">
        <f t="shared" si="8"/>
        <v>0</v>
      </c>
      <c r="L57">
        <f t="shared" si="9"/>
        <v>0</v>
      </c>
      <c r="M57" t="str">
        <f t="shared" si="10"/>
        <v>00.000</v>
      </c>
      <c r="N57" s="1" t="str">
        <f t="shared" si="11"/>
        <v>00000.000</v>
      </c>
      <c r="O57" t="str">
        <f>IF('Import OpenCPN'!W58&gt;0,"N","S")</f>
        <v>S</v>
      </c>
      <c r="P57" t="str">
        <f>IF('Import OpenCPN'!X58&gt;0,"E","W")</f>
        <v>W</v>
      </c>
    </row>
    <row r="58" spans="1:16" x14ac:dyDescent="0.2">
      <c r="A58">
        <f>'Import OpenCPN'!W59</f>
        <v>0</v>
      </c>
      <c r="B58">
        <f>'Import OpenCPN'!X59</f>
        <v>0</v>
      </c>
      <c r="C58">
        <f t="shared" si="0"/>
        <v>0</v>
      </c>
      <c r="D58" t="str">
        <f t="shared" si="1"/>
        <v>00</v>
      </c>
      <c r="E58">
        <f t="shared" si="2"/>
        <v>0</v>
      </c>
      <c r="F58">
        <f t="shared" si="3"/>
        <v>0</v>
      </c>
      <c r="G58" s="23" t="str">
        <f t="shared" si="4"/>
        <v>00.000</v>
      </c>
      <c r="H58" s="1" t="str">
        <f t="shared" si="5"/>
        <v>0000.000</v>
      </c>
      <c r="I58">
        <f t="shared" si="6"/>
        <v>0</v>
      </c>
      <c r="J58" t="str">
        <f t="shared" si="7"/>
        <v>000</v>
      </c>
      <c r="K58">
        <f t="shared" si="8"/>
        <v>0</v>
      </c>
      <c r="L58">
        <f t="shared" si="9"/>
        <v>0</v>
      </c>
      <c r="M58" t="str">
        <f t="shared" si="10"/>
        <v>00.000</v>
      </c>
      <c r="N58" s="1" t="str">
        <f t="shared" si="11"/>
        <v>00000.000</v>
      </c>
      <c r="O58" t="str">
        <f>IF('Import OpenCPN'!W59&gt;0,"N","S")</f>
        <v>S</v>
      </c>
      <c r="P58" t="str">
        <f>IF('Import OpenCPN'!X59&gt;0,"E","W")</f>
        <v>W</v>
      </c>
    </row>
    <row r="59" spans="1:16" x14ac:dyDescent="0.2">
      <c r="A59">
        <f>'Import OpenCPN'!W60</f>
        <v>0</v>
      </c>
      <c r="B59">
        <f>'Import OpenCPN'!X60</f>
        <v>0</v>
      </c>
      <c r="C59">
        <f t="shared" si="0"/>
        <v>0</v>
      </c>
      <c r="D59" t="str">
        <f t="shared" si="1"/>
        <v>00</v>
      </c>
      <c r="E59">
        <f t="shared" si="2"/>
        <v>0</v>
      </c>
      <c r="F59">
        <f t="shared" si="3"/>
        <v>0</v>
      </c>
      <c r="G59" s="23" t="str">
        <f t="shared" si="4"/>
        <v>00.000</v>
      </c>
      <c r="H59" s="1" t="str">
        <f t="shared" si="5"/>
        <v>0000.000</v>
      </c>
      <c r="I59">
        <f t="shared" si="6"/>
        <v>0</v>
      </c>
      <c r="J59" t="str">
        <f t="shared" si="7"/>
        <v>000</v>
      </c>
      <c r="K59">
        <f t="shared" si="8"/>
        <v>0</v>
      </c>
      <c r="L59">
        <f t="shared" si="9"/>
        <v>0</v>
      </c>
      <c r="M59" t="str">
        <f t="shared" si="10"/>
        <v>00.000</v>
      </c>
      <c r="N59" s="1" t="str">
        <f t="shared" si="11"/>
        <v>00000.000</v>
      </c>
      <c r="O59" t="str">
        <f>IF('Import OpenCPN'!W60&gt;0,"N","S")</f>
        <v>S</v>
      </c>
      <c r="P59" t="str">
        <f>IF('Import OpenCPN'!X60&gt;0,"E","W")</f>
        <v>W</v>
      </c>
    </row>
    <row r="60" spans="1:16" x14ac:dyDescent="0.2">
      <c r="A60">
        <f>'Import OpenCPN'!W61</f>
        <v>0</v>
      </c>
      <c r="B60">
        <f>'Import OpenCPN'!X61</f>
        <v>0</v>
      </c>
      <c r="C60">
        <f t="shared" si="0"/>
        <v>0</v>
      </c>
      <c r="D60" t="str">
        <f t="shared" si="1"/>
        <v>00</v>
      </c>
      <c r="E60">
        <f t="shared" si="2"/>
        <v>0</v>
      </c>
      <c r="F60">
        <f t="shared" si="3"/>
        <v>0</v>
      </c>
      <c r="G60" s="23" t="str">
        <f t="shared" si="4"/>
        <v>00.000</v>
      </c>
      <c r="H60" s="1" t="str">
        <f t="shared" si="5"/>
        <v>0000.000</v>
      </c>
      <c r="I60">
        <f t="shared" si="6"/>
        <v>0</v>
      </c>
      <c r="J60" t="str">
        <f t="shared" si="7"/>
        <v>000</v>
      </c>
      <c r="K60">
        <f t="shared" si="8"/>
        <v>0</v>
      </c>
      <c r="L60">
        <f t="shared" si="9"/>
        <v>0</v>
      </c>
      <c r="M60" t="str">
        <f t="shared" si="10"/>
        <v>00.000</v>
      </c>
      <c r="N60" s="1" t="str">
        <f t="shared" si="11"/>
        <v>00000.000</v>
      </c>
      <c r="O60" t="str">
        <f>IF('Import OpenCPN'!W61&gt;0,"N","S")</f>
        <v>S</v>
      </c>
      <c r="P60" t="str">
        <f>IF('Import OpenCPN'!X61&gt;0,"E","W")</f>
        <v>W</v>
      </c>
    </row>
    <row r="61" spans="1:16" x14ac:dyDescent="0.2">
      <c r="A61">
        <f>'Import OpenCPN'!W62</f>
        <v>0</v>
      </c>
      <c r="B61">
        <f>'Import OpenCPN'!X62</f>
        <v>0</v>
      </c>
      <c r="C61">
        <f t="shared" si="0"/>
        <v>0</v>
      </c>
      <c r="D61" t="str">
        <f t="shared" si="1"/>
        <v>00</v>
      </c>
      <c r="E61">
        <f t="shared" si="2"/>
        <v>0</v>
      </c>
      <c r="F61">
        <f t="shared" si="3"/>
        <v>0</v>
      </c>
      <c r="G61" s="23" t="str">
        <f t="shared" si="4"/>
        <v>00.000</v>
      </c>
      <c r="H61" s="1" t="str">
        <f t="shared" si="5"/>
        <v>0000.000</v>
      </c>
      <c r="I61">
        <f t="shared" si="6"/>
        <v>0</v>
      </c>
      <c r="J61" t="str">
        <f t="shared" si="7"/>
        <v>000</v>
      </c>
      <c r="K61">
        <f t="shared" si="8"/>
        <v>0</v>
      </c>
      <c r="L61">
        <f t="shared" si="9"/>
        <v>0</v>
      </c>
      <c r="M61" t="str">
        <f t="shared" si="10"/>
        <v>00.000</v>
      </c>
      <c r="N61" s="1" t="str">
        <f t="shared" si="11"/>
        <v>00000.000</v>
      </c>
      <c r="O61" t="str">
        <f>IF('Import OpenCPN'!W62&gt;0,"N","S")</f>
        <v>S</v>
      </c>
      <c r="P61" t="str">
        <f>IF('Import OpenCPN'!X62&gt;0,"E","W")</f>
        <v>W</v>
      </c>
    </row>
    <row r="62" spans="1:16" x14ac:dyDescent="0.2">
      <c r="A62">
        <f>'Import OpenCPN'!W63</f>
        <v>0</v>
      </c>
      <c r="B62">
        <f>'Import OpenCPN'!X63</f>
        <v>0</v>
      </c>
      <c r="C62">
        <f t="shared" si="0"/>
        <v>0</v>
      </c>
      <c r="D62" t="str">
        <f t="shared" si="1"/>
        <v>00</v>
      </c>
      <c r="E62">
        <f t="shared" si="2"/>
        <v>0</v>
      </c>
      <c r="F62">
        <f t="shared" si="3"/>
        <v>0</v>
      </c>
      <c r="G62" s="23" t="str">
        <f t="shared" si="4"/>
        <v>00.000</v>
      </c>
      <c r="H62" s="1" t="str">
        <f t="shared" si="5"/>
        <v>0000.000</v>
      </c>
      <c r="I62">
        <f t="shared" si="6"/>
        <v>0</v>
      </c>
      <c r="J62" t="str">
        <f t="shared" si="7"/>
        <v>000</v>
      </c>
      <c r="K62">
        <f t="shared" si="8"/>
        <v>0</v>
      </c>
      <c r="L62">
        <f t="shared" si="9"/>
        <v>0</v>
      </c>
      <c r="M62" t="str">
        <f t="shared" si="10"/>
        <v>00.000</v>
      </c>
      <c r="N62" s="1" t="str">
        <f t="shared" si="11"/>
        <v>00000.000</v>
      </c>
      <c r="O62" t="str">
        <f>IF('Import OpenCPN'!W63&gt;0,"N","S")</f>
        <v>S</v>
      </c>
      <c r="P62" t="str">
        <f>IF('Import OpenCPN'!X63&gt;0,"E","W")</f>
        <v>W</v>
      </c>
    </row>
    <row r="63" spans="1:16" x14ac:dyDescent="0.2">
      <c r="A63">
        <f>'Import OpenCPN'!W64</f>
        <v>0</v>
      </c>
      <c r="B63">
        <f>'Import OpenCPN'!X64</f>
        <v>0</v>
      </c>
      <c r="C63">
        <f t="shared" si="0"/>
        <v>0</v>
      </c>
      <c r="D63" t="str">
        <f t="shared" si="1"/>
        <v>00</v>
      </c>
      <c r="E63">
        <f t="shared" si="2"/>
        <v>0</v>
      </c>
      <c r="F63">
        <f t="shared" si="3"/>
        <v>0</v>
      </c>
      <c r="G63" s="23" t="str">
        <f t="shared" si="4"/>
        <v>00.000</v>
      </c>
      <c r="H63" s="1" t="str">
        <f t="shared" si="5"/>
        <v>0000.000</v>
      </c>
      <c r="I63">
        <f t="shared" si="6"/>
        <v>0</v>
      </c>
      <c r="J63" t="str">
        <f t="shared" si="7"/>
        <v>000</v>
      </c>
      <c r="K63">
        <f t="shared" si="8"/>
        <v>0</v>
      </c>
      <c r="L63">
        <f t="shared" si="9"/>
        <v>0</v>
      </c>
      <c r="M63" t="str">
        <f t="shared" si="10"/>
        <v>00.000</v>
      </c>
      <c r="N63" s="1" t="str">
        <f t="shared" si="11"/>
        <v>00000.000</v>
      </c>
      <c r="O63" t="str">
        <f>IF('Import OpenCPN'!W64&gt;0,"N","S")</f>
        <v>S</v>
      </c>
      <c r="P63" t="str">
        <f>IF('Import OpenCPN'!X64&gt;0,"E","W")</f>
        <v>W</v>
      </c>
    </row>
    <row r="64" spans="1:16" x14ac:dyDescent="0.2">
      <c r="A64">
        <f>'Import OpenCPN'!W65</f>
        <v>0</v>
      </c>
      <c r="B64">
        <f>'Import OpenCPN'!X65</f>
        <v>0</v>
      </c>
      <c r="C64">
        <f t="shared" si="0"/>
        <v>0</v>
      </c>
      <c r="D64" t="str">
        <f t="shared" si="1"/>
        <v>00</v>
      </c>
      <c r="E64">
        <f t="shared" si="2"/>
        <v>0</v>
      </c>
      <c r="F64">
        <f t="shared" si="3"/>
        <v>0</v>
      </c>
      <c r="G64" s="23" t="str">
        <f t="shared" si="4"/>
        <v>00.000</v>
      </c>
      <c r="H64" s="1" t="str">
        <f t="shared" si="5"/>
        <v>0000.000</v>
      </c>
      <c r="I64">
        <f t="shared" si="6"/>
        <v>0</v>
      </c>
      <c r="J64" t="str">
        <f t="shared" si="7"/>
        <v>000</v>
      </c>
      <c r="K64">
        <f t="shared" si="8"/>
        <v>0</v>
      </c>
      <c r="L64">
        <f t="shared" si="9"/>
        <v>0</v>
      </c>
      <c r="M64" t="str">
        <f t="shared" si="10"/>
        <v>00.000</v>
      </c>
      <c r="N64" s="1" t="str">
        <f t="shared" si="11"/>
        <v>00000.000</v>
      </c>
      <c r="O64" t="str">
        <f>IF('Import OpenCPN'!W65&gt;0,"N","S")</f>
        <v>S</v>
      </c>
      <c r="P64" t="str">
        <f>IF('Import OpenCPN'!X65&gt;0,"E","W")</f>
        <v>W</v>
      </c>
    </row>
    <row r="65" spans="1:16" x14ac:dyDescent="0.2">
      <c r="A65">
        <f>'Import OpenCPN'!W66</f>
        <v>0</v>
      </c>
      <c r="B65">
        <f>'Import OpenCPN'!X66</f>
        <v>0</v>
      </c>
      <c r="C65">
        <f t="shared" si="0"/>
        <v>0</v>
      </c>
      <c r="D65" t="str">
        <f t="shared" si="1"/>
        <v>00</v>
      </c>
      <c r="E65">
        <f t="shared" si="2"/>
        <v>0</v>
      </c>
      <c r="F65">
        <f t="shared" si="3"/>
        <v>0</v>
      </c>
      <c r="G65" s="23" t="str">
        <f t="shared" si="4"/>
        <v>00.000</v>
      </c>
      <c r="H65" s="1" t="str">
        <f t="shared" si="5"/>
        <v>0000.000</v>
      </c>
      <c r="I65">
        <f t="shared" si="6"/>
        <v>0</v>
      </c>
      <c r="J65" t="str">
        <f t="shared" si="7"/>
        <v>000</v>
      </c>
      <c r="K65">
        <f t="shared" si="8"/>
        <v>0</v>
      </c>
      <c r="L65">
        <f t="shared" si="9"/>
        <v>0</v>
      </c>
      <c r="M65" t="str">
        <f t="shared" si="10"/>
        <v>00.000</v>
      </c>
      <c r="N65" s="1" t="str">
        <f t="shared" si="11"/>
        <v>00000.000</v>
      </c>
      <c r="O65" t="str">
        <f>IF('Import OpenCPN'!W66&gt;0,"N","S")</f>
        <v>S</v>
      </c>
      <c r="P65" t="str">
        <f>IF('Import OpenCPN'!X66&gt;0,"E","W")</f>
        <v>W</v>
      </c>
    </row>
    <row r="66" spans="1:16" x14ac:dyDescent="0.2">
      <c r="A66">
        <f>'Import OpenCPN'!W67</f>
        <v>0</v>
      </c>
      <c r="B66">
        <f>'Import OpenCPN'!X67</f>
        <v>0</v>
      </c>
      <c r="C66">
        <f t="shared" ref="C66:C129" si="12">ABS(TRUNC(A66,0))</f>
        <v>0</v>
      </c>
      <c r="D66" t="str">
        <f t="shared" ref="D66:D129" si="13">TEXT(C66,"00")</f>
        <v>00</v>
      </c>
      <c r="E66">
        <f t="shared" ref="E66:E129" si="14">ABS(A66)-C66</f>
        <v>0</v>
      </c>
      <c r="F66">
        <f t="shared" ref="F66:F129" si="15">E66*60</f>
        <v>0</v>
      </c>
      <c r="G66" s="23" t="str">
        <f t="shared" ref="G66:G129" si="16">TEXT(F66,"00.000")</f>
        <v>00.000</v>
      </c>
      <c r="H66" s="1" t="str">
        <f t="shared" ref="H66:H129" si="17">D66&amp;G66</f>
        <v>0000.000</v>
      </c>
      <c r="I66">
        <f t="shared" ref="I66:I129" si="18">ABS(TRUNC(B66,0))</f>
        <v>0</v>
      </c>
      <c r="J66" t="str">
        <f t="shared" ref="J66:J129" si="19">TEXT(I66,"000")</f>
        <v>000</v>
      </c>
      <c r="K66">
        <f t="shared" ref="K66:K129" si="20">ABS(B66)-I66</f>
        <v>0</v>
      </c>
      <c r="L66">
        <f t="shared" ref="L66:L129" si="21">K66*60</f>
        <v>0</v>
      </c>
      <c r="M66" t="str">
        <f t="shared" ref="M66:M129" si="22">TEXT(L66,"00.000")</f>
        <v>00.000</v>
      </c>
      <c r="N66" s="1" t="str">
        <f t="shared" ref="N66:N129" si="23">J66&amp;M66</f>
        <v>00000.000</v>
      </c>
      <c r="O66" t="str">
        <f>IF('Import OpenCPN'!W67&gt;0,"N","S")</f>
        <v>S</v>
      </c>
      <c r="P66" t="str">
        <f>IF('Import OpenCPN'!X67&gt;0,"E","W")</f>
        <v>W</v>
      </c>
    </row>
    <row r="67" spans="1:16" x14ac:dyDescent="0.2">
      <c r="A67">
        <f>'Import OpenCPN'!W68</f>
        <v>0</v>
      </c>
      <c r="B67">
        <f>'Import OpenCPN'!X68</f>
        <v>0</v>
      </c>
      <c r="C67">
        <f t="shared" si="12"/>
        <v>0</v>
      </c>
      <c r="D67" t="str">
        <f t="shared" si="13"/>
        <v>00</v>
      </c>
      <c r="E67">
        <f t="shared" si="14"/>
        <v>0</v>
      </c>
      <c r="F67">
        <f t="shared" si="15"/>
        <v>0</v>
      </c>
      <c r="G67" s="23" t="str">
        <f t="shared" si="16"/>
        <v>00.000</v>
      </c>
      <c r="H67" s="1" t="str">
        <f t="shared" si="17"/>
        <v>0000.000</v>
      </c>
      <c r="I67">
        <f t="shared" si="18"/>
        <v>0</v>
      </c>
      <c r="J67" t="str">
        <f t="shared" si="19"/>
        <v>000</v>
      </c>
      <c r="K67">
        <f t="shared" si="20"/>
        <v>0</v>
      </c>
      <c r="L67">
        <f t="shared" si="21"/>
        <v>0</v>
      </c>
      <c r="M67" t="str">
        <f t="shared" si="22"/>
        <v>00.000</v>
      </c>
      <c r="N67" s="1" t="str">
        <f t="shared" si="23"/>
        <v>00000.000</v>
      </c>
      <c r="O67" t="str">
        <f>IF('Import OpenCPN'!W68&gt;0,"N","S")</f>
        <v>S</v>
      </c>
      <c r="P67" t="str">
        <f>IF('Import OpenCPN'!X68&gt;0,"E","W")</f>
        <v>W</v>
      </c>
    </row>
    <row r="68" spans="1:16" x14ac:dyDescent="0.2">
      <c r="A68">
        <f>'Import OpenCPN'!W69</f>
        <v>0</v>
      </c>
      <c r="B68">
        <f>'Import OpenCPN'!X69</f>
        <v>0</v>
      </c>
      <c r="C68">
        <f t="shared" si="12"/>
        <v>0</v>
      </c>
      <c r="D68" t="str">
        <f t="shared" si="13"/>
        <v>00</v>
      </c>
      <c r="E68">
        <f t="shared" si="14"/>
        <v>0</v>
      </c>
      <c r="F68">
        <f t="shared" si="15"/>
        <v>0</v>
      </c>
      <c r="G68" s="23" t="str">
        <f t="shared" si="16"/>
        <v>00.000</v>
      </c>
      <c r="H68" s="1" t="str">
        <f t="shared" si="17"/>
        <v>0000.000</v>
      </c>
      <c r="I68">
        <f t="shared" si="18"/>
        <v>0</v>
      </c>
      <c r="J68" t="str">
        <f t="shared" si="19"/>
        <v>000</v>
      </c>
      <c r="K68">
        <f t="shared" si="20"/>
        <v>0</v>
      </c>
      <c r="L68">
        <f t="shared" si="21"/>
        <v>0</v>
      </c>
      <c r="M68" t="str">
        <f t="shared" si="22"/>
        <v>00.000</v>
      </c>
      <c r="N68" s="1" t="str">
        <f t="shared" si="23"/>
        <v>00000.000</v>
      </c>
      <c r="O68" t="str">
        <f>IF('Import OpenCPN'!W69&gt;0,"N","S")</f>
        <v>S</v>
      </c>
      <c r="P68" t="str">
        <f>IF('Import OpenCPN'!X69&gt;0,"E","W")</f>
        <v>W</v>
      </c>
    </row>
    <row r="69" spans="1:16" x14ac:dyDescent="0.2">
      <c r="A69">
        <f>'Import OpenCPN'!W70</f>
        <v>0</v>
      </c>
      <c r="B69">
        <f>'Import OpenCPN'!X70</f>
        <v>0</v>
      </c>
      <c r="C69">
        <f t="shared" si="12"/>
        <v>0</v>
      </c>
      <c r="D69" t="str">
        <f t="shared" si="13"/>
        <v>00</v>
      </c>
      <c r="E69">
        <f t="shared" si="14"/>
        <v>0</v>
      </c>
      <c r="F69">
        <f t="shared" si="15"/>
        <v>0</v>
      </c>
      <c r="G69" s="23" t="str">
        <f t="shared" si="16"/>
        <v>00.000</v>
      </c>
      <c r="H69" s="1" t="str">
        <f t="shared" si="17"/>
        <v>0000.000</v>
      </c>
      <c r="I69">
        <f t="shared" si="18"/>
        <v>0</v>
      </c>
      <c r="J69" t="str">
        <f t="shared" si="19"/>
        <v>000</v>
      </c>
      <c r="K69">
        <f t="shared" si="20"/>
        <v>0</v>
      </c>
      <c r="L69">
        <f t="shared" si="21"/>
        <v>0</v>
      </c>
      <c r="M69" t="str">
        <f t="shared" si="22"/>
        <v>00.000</v>
      </c>
      <c r="N69" s="1" t="str">
        <f t="shared" si="23"/>
        <v>00000.000</v>
      </c>
      <c r="O69" t="str">
        <f>IF('Import OpenCPN'!W70&gt;0,"N","S")</f>
        <v>S</v>
      </c>
      <c r="P69" t="str">
        <f>IF('Import OpenCPN'!X70&gt;0,"E","W")</f>
        <v>W</v>
      </c>
    </row>
    <row r="70" spans="1:16" x14ac:dyDescent="0.2">
      <c r="A70">
        <f>'Import OpenCPN'!W71</f>
        <v>0</v>
      </c>
      <c r="B70">
        <f>'Import OpenCPN'!X71</f>
        <v>0</v>
      </c>
      <c r="C70">
        <f t="shared" si="12"/>
        <v>0</v>
      </c>
      <c r="D70" t="str">
        <f t="shared" si="13"/>
        <v>00</v>
      </c>
      <c r="E70">
        <f t="shared" si="14"/>
        <v>0</v>
      </c>
      <c r="F70">
        <f t="shared" si="15"/>
        <v>0</v>
      </c>
      <c r="G70" s="23" t="str">
        <f t="shared" si="16"/>
        <v>00.000</v>
      </c>
      <c r="H70" s="1" t="str">
        <f t="shared" si="17"/>
        <v>0000.000</v>
      </c>
      <c r="I70">
        <f t="shared" si="18"/>
        <v>0</v>
      </c>
      <c r="J70" t="str">
        <f t="shared" si="19"/>
        <v>000</v>
      </c>
      <c r="K70">
        <f t="shared" si="20"/>
        <v>0</v>
      </c>
      <c r="L70">
        <f t="shared" si="21"/>
        <v>0</v>
      </c>
      <c r="M70" t="str">
        <f t="shared" si="22"/>
        <v>00.000</v>
      </c>
      <c r="N70" s="1" t="str">
        <f t="shared" si="23"/>
        <v>00000.000</v>
      </c>
      <c r="O70" t="str">
        <f>IF('Import OpenCPN'!W71&gt;0,"N","S")</f>
        <v>S</v>
      </c>
      <c r="P70" t="str">
        <f>IF('Import OpenCPN'!X71&gt;0,"E","W")</f>
        <v>W</v>
      </c>
    </row>
    <row r="71" spans="1:16" x14ac:dyDescent="0.2">
      <c r="A71">
        <f>'Import OpenCPN'!W72</f>
        <v>0</v>
      </c>
      <c r="B71">
        <f>'Import OpenCPN'!X72</f>
        <v>0</v>
      </c>
      <c r="C71">
        <f t="shared" si="12"/>
        <v>0</v>
      </c>
      <c r="D71" t="str">
        <f t="shared" si="13"/>
        <v>00</v>
      </c>
      <c r="E71">
        <f t="shared" si="14"/>
        <v>0</v>
      </c>
      <c r="F71">
        <f t="shared" si="15"/>
        <v>0</v>
      </c>
      <c r="G71" s="23" t="str">
        <f t="shared" si="16"/>
        <v>00.000</v>
      </c>
      <c r="H71" s="1" t="str">
        <f t="shared" si="17"/>
        <v>0000.000</v>
      </c>
      <c r="I71">
        <f t="shared" si="18"/>
        <v>0</v>
      </c>
      <c r="J71" t="str">
        <f t="shared" si="19"/>
        <v>000</v>
      </c>
      <c r="K71">
        <f t="shared" si="20"/>
        <v>0</v>
      </c>
      <c r="L71">
        <f t="shared" si="21"/>
        <v>0</v>
      </c>
      <c r="M71" t="str">
        <f t="shared" si="22"/>
        <v>00.000</v>
      </c>
      <c r="N71" s="1" t="str">
        <f t="shared" si="23"/>
        <v>00000.000</v>
      </c>
      <c r="O71" t="str">
        <f>IF('Import OpenCPN'!W72&gt;0,"N","S")</f>
        <v>S</v>
      </c>
      <c r="P71" t="str">
        <f>IF('Import OpenCPN'!X72&gt;0,"E","W")</f>
        <v>W</v>
      </c>
    </row>
    <row r="72" spans="1:16" x14ac:dyDescent="0.2">
      <c r="A72">
        <f>'Import OpenCPN'!W73</f>
        <v>0</v>
      </c>
      <c r="B72">
        <f>'Import OpenCPN'!X73</f>
        <v>0</v>
      </c>
      <c r="C72">
        <f t="shared" si="12"/>
        <v>0</v>
      </c>
      <c r="D72" t="str">
        <f t="shared" si="13"/>
        <v>00</v>
      </c>
      <c r="E72">
        <f t="shared" si="14"/>
        <v>0</v>
      </c>
      <c r="F72">
        <f t="shared" si="15"/>
        <v>0</v>
      </c>
      <c r="G72" s="23" t="str">
        <f t="shared" si="16"/>
        <v>00.000</v>
      </c>
      <c r="H72" s="1" t="str">
        <f t="shared" si="17"/>
        <v>0000.000</v>
      </c>
      <c r="I72">
        <f t="shared" si="18"/>
        <v>0</v>
      </c>
      <c r="J72" t="str">
        <f t="shared" si="19"/>
        <v>000</v>
      </c>
      <c r="K72">
        <f t="shared" si="20"/>
        <v>0</v>
      </c>
      <c r="L72">
        <f t="shared" si="21"/>
        <v>0</v>
      </c>
      <c r="M72" t="str">
        <f t="shared" si="22"/>
        <v>00.000</v>
      </c>
      <c r="N72" s="1" t="str">
        <f t="shared" si="23"/>
        <v>00000.000</v>
      </c>
      <c r="O72" t="str">
        <f>IF('Import OpenCPN'!W73&gt;0,"N","S")</f>
        <v>S</v>
      </c>
      <c r="P72" t="str">
        <f>IF('Import OpenCPN'!X73&gt;0,"E","W")</f>
        <v>W</v>
      </c>
    </row>
    <row r="73" spans="1:16" x14ac:dyDescent="0.2">
      <c r="A73">
        <f>'Import OpenCPN'!W74</f>
        <v>0</v>
      </c>
      <c r="B73">
        <f>'Import OpenCPN'!X74</f>
        <v>0</v>
      </c>
      <c r="C73">
        <f t="shared" si="12"/>
        <v>0</v>
      </c>
      <c r="D73" t="str">
        <f t="shared" si="13"/>
        <v>00</v>
      </c>
      <c r="E73">
        <f t="shared" si="14"/>
        <v>0</v>
      </c>
      <c r="F73">
        <f t="shared" si="15"/>
        <v>0</v>
      </c>
      <c r="G73" s="23" t="str">
        <f t="shared" si="16"/>
        <v>00.000</v>
      </c>
      <c r="H73" s="1" t="str">
        <f t="shared" si="17"/>
        <v>0000.000</v>
      </c>
      <c r="I73">
        <f t="shared" si="18"/>
        <v>0</v>
      </c>
      <c r="J73" t="str">
        <f t="shared" si="19"/>
        <v>000</v>
      </c>
      <c r="K73">
        <f t="shared" si="20"/>
        <v>0</v>
      </c>
      <c r="L73">
        <f t="shared" si="21"/>
        <v>0</v>
      </c>
      <c r="M73" t="str">
        <f t="shared" si="22"/>
        <v>00.000</v>
      </c>
      <c r="N73" s="1" t="str">
        <f t="shared" si="23"/>
        <v>00000.000</v>
      </c>
      <c r="O73" t="str">
        <f>IF('Import OpenCPN'!W74&gt;0,"N","S")</f>
        <v>S</v>
      </c>
      <c r="P73" t="str">
        <f>IF('Import OpenCPN'!X74&gt;0,"E","W")</f>
        <v>W</v>
      </c>
    </row>
    <row r="74" spans="1:16" x14ac:dyDescent="0.2">
      <c r="A74">
        <f>'Import OpenCPN'!W75</f>
        <v>0</v>
      </c>
      <c r="B74">
        <f>'Import OpenCPN'!X75</f>
        <v>0</v>
      </c>
      <c r="C74">
        <f t="shared" si="12"/>
        <v>0</v>
      </c>
      <c r="D74" t="str">
        <f t="shared" si="13"/>
        <v>00</v>
      </c>
      <c r="E74">
        <f t="shared" si="14"/>
        <v>0</v>
      </c>
      <c r="F74">
        <f t="shared" si="15"/>
        <v>0</v>
      </c>
      <c r="G74" s="23" t="str">
        <f t="shared" si="16"/>
        <v>00.000</v>
      </c>
      <c r="H74" s="1" t="str">
        <f t="shared" si="17"/>
        <v>0000.000</v>
      </c>
      <c r="I74">
        <f t="shared" si="18"/>
        <v>0</v>
      </c>
      <c r="J74" t="str">
        <f t="shared" si="19"/>
        <v>000</v>
      </c>
      <c r="K74">
        <f t="shared" si="20"/>
        <v>0</v>
      </c>
      <c r="L74">
        <f t="shared" si="21"/>
        <v>0</v>
      </c>
      <c r="M74" t="str">
        <f t="shared" si="22"/>
        <v>00.000</v>
      </c>
      <c r="N74" s="1" t="str">
        <f t="shared" si="23"/>
        <v>00000.000</v>
      </c>
      <c r="O74" t="str">
        <f>IF('Import OpenCPN'!W75&gt;0,"N","S")</f>
        <v>S</v>
      </c>
      <c r="P74" t="str">
        <f>IF('Import OpenCPN'!X75&gt;0,"E","W")</f>
        <v>W</v>
      </c>
    </row>
    <row r="75" spans="1:16" x14ac:dyDescent="0.2">
      <c r="A75">
        <f>'Import OpenCPN'!W76</f>
        <v>0</v>
      </c>
      <c r="B75">
        <f>'Import OpenCPN'!X76</f>
        <v>0</v>
      </c>
      <c r="C75">
        <f t="shared" si="12"/>
        <v>0</v>
      </c>
      <c r="D75" t="str">
        <f t="shared" si="13"/>
        <v>00</v>
      </c>
      <c r="E75">
        <f t="shared" si="14"/>
        <v>0</v>
      </c>
      <c r="F75">
        <f t="shared" si="15"/>
        <v>0</v>
      </c>
      <c r="G75" s="23" t="str">
        <f t="shared" si="16"/>
        <v>00.000</v>
      </c>
      <c r="H75" s="1" t="str">
        <f t="shared" si="17"/>
        <v>0000.000</v>
      </c>
      <c r="I75">
        <f t="shared" si="18"/>
        <v>0</v>
      </c>
      <c r="J75" t="str">
        <f t="shared" si="19"/>
        <v>000</v>
      </c>
      <c r="K75">
        <f t="shared" si="20"/>
        <v>0</v>
      </c>
      <c r="L75">
        <f t="shared" si="21"/>
        <v>0</v>
      </c>
      <c r="M75" t="str">
        <f t="shared" si="22"/>
        <v>00.000</v>
      </c>
      <c r="N75" s="1" t="str">
        <f t="shared" si="23"/>
        <v>00000.000</v>
      </c>
      <c r="O75" t="str">
        <f>IF('Import OpenCPN'!W76&gt;0,"N","S")</f>
        <v>S</v>
      </c>
      <c r="P75" t="str">
        <f>IF('Import OpenCPN'!X76&gt;0,"E","W")</f>
        <v>W</v>
      </c>
    </row>
    <row r="76" spans="1:16" x14ac:dyDescent="0.2">
      <c r="A76">
        <f>'Import OpenCPN'!W77</f>
        <v>0</v>
      </c>
      <c r="B76">
        <f>'Import OpenCPN'!X77</f>
        <v>0</v>
      </c>
      <c r="C76">
        <f t="shared" si="12"/>
        <v>0</v>
      </c>
      <c r="D76" t="str">
        <f t="shared" si="13"/>
        <v>00</v>
      </c>
      <c r="E76">
        <f t="shared" si="14"/>
        <v>0</v>
      </c>
      <c r="F76">
        <f t="shared" si="15"/>
        <v>0</v>
      </c>
      <c r="G76" s="23" t="str">
        <f t="shared" si="16"/>
        <v>00.000</v>
      </c>
      <c r="H76" s="1" t="str">
        <f t="shared" si="17"/>
        <v>0000.000</v>
      </c>
      <c r="I76">
        <f t="shared" si="18"/>
        <v>0</v>
      </c>
      <c r="J76" t="str">
        <f t="shared" si="19"/>
        <v>000</v>
      </c>
      <c r="K76">
        <f t="shared" si="20"/>
        <v>0</v>
      </c>
      <c r="L76">
        <f t="shared" si="21"/>
        <v>0</v>
      </c>
      <c r="M76" t="str">
        <f t="shared" si="22"/>
        <v>00.000</v>
      </c>
      <c r="N76" s="1" t="str">
        <f t="shared" si="23"/>
        <v>00000.000</v>
      </c>
      <c r="O76" t="str">
        <f>IF('Import OpenCPN'!W77&gt;0,"N","S")</f>
        <v>S</v>
      </c>
      <c r="P76" t="str">
        <f>IF('Import OpenCPN'!X77&gt;0,"E","W")</f>
        <v>W</v>
      </c>
    </row>
    <row r="77" spans="1:16" x14ac:dyDescent="0.2">
      <c r="A77">
        <f>'Import OpenCPN'!W78</f>
        <v>0</v>
      </c>
      <c r="B77">
        <f>'Import OpenCPN'!X78</f>
        <v>0</v>
      </c>
      <c r="C77">
        <f t="shared" si="12"/>
        <v>0</v>
      </c>
      <c r="D77" t="str">
        <f t="shared" si="13"/>
        <v>00</v>
      </c>
      <c r="E77">
        <f t="shared" si="14"/>
        <v>0</v>
      </c>
      <c r="F77">
        <f t="shared" si="15"/>
        <v>0</v>
      </c>
      <c r="G77" s="23" t="str">
        <f t="shared" si="16"/>
        <v>00.000</v>
      </c>
      <c r="H77" s="1" t="str">
        <f t="shared" si="17"/>
        <v>0000.000</v>
      </c>
      <c r="I77">
        <f t="shared" si="18"/>
        <v>0</v>
      </c>
      <c r="J77" t="str">
        <f t="shared" si="19"/>
        <v>000</v>
      </c>
      <c r="K77">
        <f t="shared" si="20"/>
        <v>0</v>
      </c>
      <c r="L77">
        <f t="shared" si="21"/>
        <v>0</v>
      </c>
      <c r="M77" t="str">
        <f t="shared" si="22"/>
        <v>00.000</v>
      </c>
      <c r="N77" s="1" t="str">
        <f t="shared" si="23"/>
        <v>00000.000</v>
      </c>
      <c r="O77" t="str">
        <f>IF('Import OpenCPN'!W78&gt;0,"N","S")</f>
        <v>S</v>
      </c>
      <c r="P77" t="str">
        <f>IF('Import OpenCPN'!X78&gt;0,"E","W")</f>
        <v>W</v>
      </c>
    </row>
    <row r="78" spans="1:16" x14ac:dyDescent="0.2">
      <c r="A78">
        <f>'Import OpenCPN'!W79</f>
        <v>0</v>
      </c>
      <c r="B78">
        <f>'Import OpenCPN'!X79</f>
        <v>0</v>
      </c>
      <c r="C78">
        <f t="shared" si="12"/>
        <v>0</v>
      </c>
      <c r="D78" t="str">
        <f t="shared" si="13"/>
        <v>00</v>
      </c>
      <c r="E78">
        <f t="shared" si="14"/>
        <v>0</v>
      </c>
      <c r="F78">
        <f t="shared" si="15"/>
        <v>0</v>
      </c>
      <c r="G78" s="23" t="str">
        <f t="shared" si="16"/>
        <v>00.000</v>
      </c>
      <c r="H78" s="1" t="str">
        <f t="shared" si="17"/>
        <v>0000.000</v>
      </c>
      <c r="I78">
        <f t="shared" si="18"/>
        <v>0</v>
      </c>
      <c r="J78" t="str">
        <f t="shared" si="19"/>
        <v>000</v>
      </c>
      <c r="K78">
        <f t="shared" si="20"/>
        <v>0</v>
      </c>
      <c r="L78">
        <f t="shared" si="21"/>
        <v>0</v>
      </c>
      <c r="M78" t="str">
        <f t="shared" si="22"/>
        <v>00.000</v>
      </c>
      <c r="N78" s="1" t="str">
        <f t="shared" si="23"/>
        <v>00000.000</v>
      </c>
      <c r="O78" t="str">
        <f>IF('Import OpenCPN'!W79&gt;0,"N","S")</f>
        <v>S</v>
      </c>
      <c r="P78" t="str">
        <f>IF('Import OpenCPN'!X79&gt;0,"E","W")</f>
        <v>W</v>
      </c>
    </row>
    <row r="79" spans="1:16" x14ac:dyDescent="0.2">
      <c r="A79">
        <f>'Import OpenCPN'!W80</f>
        <v>0</v>
      </c>
      <c r="B79">
        <f>'Import OpenCPN'!X80</f>
        <v>0</v>
      </c>
      <c r="C79">
        <f t="shared" si="12"/>
        <v>0</v>
      </c>
      <c r="D79" t="str">
        <f t="shared" si="13"/>
        <v>00</v>
      </c>
      <c r="E79">
        <f t="shared" si="14"/>
        <v>0</v>
      </c>
      <c r="F79">
        <f t="shared" si="15"/>
        <v>0</v>
      </c>
      <c r="G79" s="23" t="str">
        <f t="shared" si="16"/>
        <v>00.000</v>
      </c>
      <c r="H79" s="1" t="str">
        <f t="shared" si="17"/>
        <v>0000.000</v>
      </c>
      <c r="I79">
        <f t="shared" si="18"/>
        <v>0</v>
      </c>
      <c r="J79" t="str">
        <f t="shared" si="19"/>
        <v>000</v>
      </c>
      <c r="K79">
        <f t="shared" si="20"/>
        <v>0</v>
      </c>
      <c r="L79">
        <f t="shared" si="21"/>
        <v>0</v>
      </c>
      <c r="M79" t="str">
        <f t="shared" si="22"/>
        <v>00.000</v>
      </c>
      <c r="N79" s="1" t="str">
        <f t="shared" si="23"/>
        <v>00000.000</v>
      </c>
      <c r="O79" t="str">
        <f>IF('Import OpenCPN'!W80&gt;0,"N","S")</f>
        <v>S</v>
      </c>
      <c r="P79" t="str">
        <f>IF('Import OpenCPN'!X80&gt;0,"E","W")</f>
        <v>W</v>
      </c>
    </row>
    <row r="80" spans="1:16" x14ac:dyDescent="0.2">
      <c r="A80">
        <f>'Import OpenCPN'!W81</f>
        <v>0</v>
      </c>
      <c r="B80">
        <f>'Import OpenCPN'!X81</f>
        <v>0</v>
      </c>
      <c r="C80">
        <f t="shared" si="12"/>
        <v>0</v>
      </c>
      <c r="D80" t="str">
        <f t="shared" si="13"/>
        <v>00</v>
      </c>
      <c r="E80">
        <f t="shared" si="14"/>
        <v>0</v>
      </c>
      <c r="F80">
        <f t="shared" si="15"/>
        <v>0</v>
      </c>
      <c r="G80" s="23" t="str">
        <f t="shared" si="16"/>
        <v>00.000</v>
      </c>
      <c r="H80" s="1" t="str">
        <f t="shared" si="17"/>
        <v>0000.000</v>
      </c>
      <c r="I80">
        <f t="shared" si="18"/>
        <v>0</v>
      </c>
      <c r="J80" t="str">
        <f t="shared" si="19"/>
        <v>000</v>
      </c>
      <c r="K80">
        <f t="shared" si="20"/>
        <v>0</v>
      </c>
      <c r="L80">
        <f t="shared" si="21"/>
        <v>0</v>
      </c>
      <c r="M80" t="str">
        <f t="shared" si="22"/>
        <v>00.000</v>
      </c>
      <c r="N80" s="1" t="str">
        <f t="shared" si="23"/>
        <v>00000.000</v>
      </c>
      <c r="O80" t="str">
        <f>IF('Import OpenCPN'!W81&gt;0,"N","S")</f>
        <v>S</v>
      </c>
      <c r="P80" t="str">
        <f>IF('Import OpenCPN'!X81&gt;0,"E","W")</f>
        <v>W</v>
      </c>
    </row>
    <row r="81" spans="1:16" x14ac:dyDescent="0.2">
      <c r="A81">
        <f>'Import OpenCPN'!W82</f>
        <v>0</v>
      </c>
      <c r="B81">
        <f>'Import OpenCPN'!X82</f>
        <v>0</v>
      </c>
      <c r="C81">
        <f t="shared" si="12"/>
        <v>0</v>
      </c>
      <c r="D81" t="str">
        <f t="shared" si="13"/>
        <v>00</v>
      </c>
      <c r="E81">
        <f t="shared" si="14"/>
        <v>0</v>
      </c>
      <c r="F81">
        <f t="shared" si="15"/>
        <v>0</v>
      </c>
      <c r="G81" s="23" t="str">
        <f t="shared" si="16"/>
        <v>00.000</v>
      </c>
      <c r="H81" s="1" t="str">
        <f t="shared" si="17"/>
        <v>0000.000</v>
      </c>
      <c r="I81">
        <f t="shared" si="18"/>
        <v>0</v>
      </c>
      <c r="J81" t="str">
        <f t="shared" si="19"/>
        <v>000</v>
      </c>
      <c r="K81">
        <f t="shared" si="20"/>
        <v>0</v>
      </c>
      <c r="L81">
        <f t="shared" si="21"/>
        <v>0</v>
      </c>
      <c r="M81" t="str">
        <f t="shared" si="22"/>
        <v>00.000</v>
      </c>
      <c r="N81" s="1" t="str">
        <f t="shared" si="23"/>
        <v>00000.000</v>
      </c>
      <c r="O81" t="str">
        <f>IF('Import OpenCPN'!W82&gt;0,"N","S")</f>
        <v>S</v>
      </c>
      <c r="P81" t="str">
        <f>IF('Import OpenCPN'!X82&gt;0,"E","W")</f>
        <v>W</v>
      </c>
    </row>
    <row r="82" spans="1:16" x14ac:dyDescent="0.2">
      <c r="A82">
        <f>'Import OpenCPN'!W83</f>
        <v>0</v>
      </c>
      <c r="B82">
        <f>'Import OpenCPN'!X83</f>
        <v>0</v>
      </c>
      <c r="C82">
        <f t="shared" si="12"/>
        <v>0</v>
      </c>
      <c r="D82" t="str">
        <f t="shared" si="13"/>
        <v>00</v>
      </c>
      <c r="E82">
        <f t="shared" si="14"/>
        <v>0</v>
      </c>
      <c r="F82">
        <f t="shared" si="15"/>
        <v>0</v>
      </c>
      <c r="G82" s="23" t="str">
        <f t="shared" si="16"/>
        <v>00.000</v>
      </c>
      <c r="H82" s="1" t="str">
        <f t="shared" si="17"/>
        <v>0000.000</v>
      </c>
      <c r="I82">
        <f t="shared" si="18"/>
        <v>0</v>
      </c>
      <c r="J82" t="str">
        <f t="shared" si="19"/>
        <v>000</v>
      </c>
      <c r="K82">
        <f t="shared" si="20"/>
        <v>0</v>
      </c>
      <c r="L82">
        <f t="shared" si="21"/>
        <v>0</v>
      </c>
      <c r="M82" t="str">
        <f t="shared" si="22"/>
        <v>00.000</v>
      </c>
      <c r="N82" s="1" t="str">
        <f t="shared" si="23"/>
        <v>00000.000</v>
      </c>
      <c r="O82" t="str">
        <f>IF('Import OpenCPN'!W83&gt;0,"N","S")</f>
        <v>S</v>
      </c>
      <c r="P82" t="str">
        <f>IF('Import OpenCPN'!X83&gt;0,"E","W")</f>
        <v>W</v>
      </c>
    </row>
    <row r="83" spans="1:16" x14ac:dyDescent="0.2">
      <c r="A83">
        <f>'Import OpenCPN'!W84</f>
        <v>0</v>
      </c>
      <c r="B83">
        <f>'Import OpenCPN'!X84</f>
        <v>0</v>
      </c>
      <c r="C83">
        <f t="shared" si="12"/>
        <v>0</v>
      </c>
      <c r="D83" t="str">
        <f t="shared" si="13"/>
        <v>00</v>
      </c>
      <c r="E83">
        <f t="shared" si="14"/>
        <v>0</v>
      </c>
      <c r="F83">
        <f t="shared" si="15"/>
        <v>0</v>
      </c>
      <c r="G83" s="23" t="str">
        <f t="shared" si="16"/>
        <v>00.000</v>
      </c>
      <c r="H83" s="1" t="str">
        <f t="shared" si="17"/>
        <v>0000.000</v>
      </c>
      <c r="I83">
        <f t="shared" si="18"/>
        <v>0</v>
      </c>
      <c r="J83" t="str">
        <f t="shared" si="19"/>
        <v>000</v>
      </c>
      <c r="K83">
        <f t="shared" si="20"/>
        <v>0</v>
      </c>
      <c r="L83">
        <f t="shared" si="21"/>
        <v>0</v>
      </c>
      <c r="M83" t="str">
        <f t="shared" si="22"/>
        <v>00.000</v>
      </c>
      <c r="N83" s="1" t="str">
        <f t="shared" si="23"/>
        <v>00000.000</v>
      </c>
      <c r="O83" t="str">
        <f>IF('Import OpenCPN'!W84&gt;0,"N","S")</f>
        <v>S</v>
      </c>
      <c r="P83" t="str">
        <f>IF('Import OpenCPN'!X84&gt;0,"E","W")</f>
        <v>W</v>
      </c>
    </row>
    <row r="84" spans="1:16" x14ac:dyDescent="0.2">
      <c r="A84">
        <f>'Import OpenCPN'!W85</f>
        <v>0</v>
      </c>
      <c r="B84">
        <f>'Import OpenCPN'!X85</f>
        <v>0</v>
      </c>
      <c r="C84">
        <f t="shared" si="12"/>
        <v>0</v>
      </c>
      <c r="D84" t="str">
        <f t="shared" si="13"/>
        <v>00</v>
      </c>
      <c r="E84">
        <f t="shared" si="14"/>
        <v>0</v>
      </c>
      <c r="F84">
        <f t="shared" si="15"/>
        <v>0</v>
      </c>
      <c r="G84" s="23" t="str">
        <f t="shared" si="16"/>
        <v>00.000</v>
      </c>
      <c r="H84" s="1" t="str">
        <f t="shared" si="17"/>
        <v>0000.000</v>
      </c>
      <c r="I84">
        <f t="shared" si="18"/>
        <v>0</v>
      </c>
      <c r="J84" t="str">
        <f t="shared" si="19"/>
        <v>000</v>
      </c>
      <c r="K84">
        <f t="shared" si="20"/>
        <v>0</v>
      </c>
      <c r="L84">
        <f t="shared" si="21"/>
        <v>0</v>
      </c>
      <c r="M84" t="str">
        <f t="shared" si="22"/>
        <v>00.000</v>
      </c>
      <c r="N84" s="1" t="str">
        <f t="shared" si="23"/>
        <v>00000.000</v>
      </c>
      <c r="O84" t="str">
        <f>IF('Import OpenCPN'!W85&gt;0,"N","S")</f>
        <v>S</v>
      </c>
      <c r="P84" t="str">
        <f>IF('Import OpenCPN'!X85&gt;0,"E","W")</f>
        <v>W</v>
      </c>
    </row>
    <row r="85" spans="1:16" x14ac:dyDescent="0.2">
      <c r="A85">
        <f>'Import OpenCPN'!W86</f>
        <v>0</v>
      </c>
      <c r="B85">
        <f>'Import OpenCPN'!X86</f>
        <v>0</v>
      </c>
      <c r="C85">
        <f t="shared" si="12"/>
        <v>0</v>
      </c>
      <c r="D85" t="str">
        <f t="shared" si="13"/>
        <v>00</v>
      </c>
      <c r="E85">
        <f t="shared" si="14"/>
        <v>0</v>
      </c>
      <c r="F85">
        <f t="shared" si="15"/>
        <v>0</v>
      </c>
      <c r="G85" s="23" t="str">
        <f t="shared" si="16"/>
        <v>00.000</v>
      </c>
      <c r="H85" s="1" t="str">
        <f t="shared" si="17"/>
        <v>0000.000</v>
      </c>
      <c r="I85">
        <f t="shared" si="18"/>
        <v>0</v>
      </c>
      <c r="J85" t="str">
        <f t="shared" si="19"/>
        <v>000</v>
      </c>
      <c r="K85">
        <f t="shared" si="20"/>
        <v>0</v>
      </c>
      <c r="L85">
        <f t="shared" si="21"/>
        <v>0</v>
      </c>
      <c r="M85" t="str">
        <f t="shared" si="22"/>
        <v>00.000</v>
      </c>
      <c r="N85" s="1" t="str">
        <f t="shared" si="23"/>
        <v>00000.000</v>
      </c>
      <c r="O85" t="str">
        <f>IF('Import OpenCPN'!W86&gt;0,"N","S")</f>
        <v>S</v>
      </c>
      <c r="P85" t="str">
        <f>IF('Import OpenCPN'!X86&gt;0,"E","W")</f>
        <v>W</v>
      </c>
    </row>
    <row r="86" spans="1:16" x14ac:dyDescent="0.2">
      <c r="A86">
        <f>'Import OpenCPN'!W87</f>
        <v>0</v>
      </c>
      <c r="B86">
        <f>'Import OpenCPN'!X87</f>
        <v>0</v>
      </c>
      <c r="C86">
        <f t="shared" si="12"/>
        <v>0</v>
      </c>
      <c r="D86" t="str">
        <f t="shared" si="13"/>
        <v>00</v>
      </c>
      <c r="E86">
        <f t="shared" si="14"/>
        <v>0</v>
      </c>
      <c r="F86">
        <f t="shared" si="15"/>
        <v>0</v>
      </c>
      <c r="G86" s="23" t="str">
        <f t="shared" si="16"/>
        <v>00.000</v>
      </c>
      <c r="H86" s="1" t="str">
        <f t="shared" si="17"/>
        <v>0000.000</v>
      </c>
      <c r="I86">
        <f t="shared" si="18"/>
        <v>0</v>
      </c>
      <c r="J86" t="str">
        <f t="shared" si="19"/>
        <v>000</v>
      </c>
      <c r="K86">
        <f t="shared" si="20"/>
        <v>0</v>
      </c>
      <c r="L86">
        <f t="shared" si="21"/>
        <v>0</v>
      </c>
      <c r="M86" t="str">
        <f t="shared" si="22"/>
        <v>00.000</v>
      </c>
      <c r="N86" s="1" t="str">
        <f t="shared" si="23"/>
        <v>00000.000</v>
      </c>
      <c r="O86" t="str">
        <f>IF('Import OpenCPN'!W87&gt;0,"N","S")</f>
        <v>S</v>
      </c>
      <c r="P86" t="str">
        <f>IF('Import OpenCPN'!X87&gt;0,"E","W")</f>
        <v>W</v>
      </c>
    </row>
    <row r="87" spans="1:16" x14ac:dyDescent="0.2">
      <c r="A87">
        <f>'Import OpenCPN'!W88</f>
        <v>0</v>
      </c>
      <c r="B87">
        <f>'Import OpenCPN'!X88</f>
        <v>0</v>
      </c>
      <c r="C87">
        <f t="shared" si="12"/>
        <v>0</v>
      </c>
      <c r="D87" t="str">
        <f t="shared" si="13"/>
        <v>00</v>
      </c>
      <c r="E87">
        <f t="shared" si="14"/>
        <v>0</v>
      </c>
      <c r="F87">
        <f t="shared" si="15"/>
        <v>0</v>
      </c>
      <c r="G87" s="23" t="str">
        <f t="shared" si="16"/>
        <v>00.000</v>
      </c>
      <c r="H87" s="1" t="str">
        <f t="shared" si="17"/>
        <v>0000.000</v>
      </c>
      <c r="I87">
        <f t="shared" si="18"/>
        <v>0</v>
      </c>
      <c r="J87" t="str">
        <f t="shared" si="19"/>
        <v>000</v>
      </c>
      <c r="K87">
        <f t="shared" si="20"/>
        <v>0</v>
      </c>
      <c r="L87">
        <f t="shared" si="21"/>
        <v>0</v>
      </c>
      <c r="M87" t="str">
        <f t="shared" si="22"/>
        <v>00.000</v>
      </c>
      <c r="N87" s="1" t="str">
        <f t="shared" si="23"/>
        <v>00000.000</v>
      </c>
      <c r="O87" t="str">
        <f>IF('Import OpenCPN'!W88&gt;0,"N","S")</f>
        <v>S</v>
      </c>
      <c r="P87" t="str">
        <f>IF('Import OpenCPN'!X88&gt;0,"E","W")</f>
        <v>W</v>
      </c>
    </row>
    <row r="88" spans="1:16" x14ac:dyDescent="0.2">
      <c r="A88">
        <f>'Import OpenCPN'!W89</f>
        <v>0</v>
      </c>
      <c r="B88">
        <f>'Import OpenCPN'!X89</f>
        <v>0</v>
      </c>
      <c r="C88">
        <f t="shared" si="12"/>
        <v>0</v>
      </c>
      <c r="D88" t="str">
        <f t="shared" si="13"/>
        <v>00</v>
      </c>
      <c r="E88">
        <f t="shared" si="14"/>
        <v>0</v>
      </c>
      <c r="F88">
        <f t="shared" si="15"/>
        <v>0</v>
      </c>
      <c r="G88" s="23" t="str">
        <f t="shared" si="16"/>
        <v>00.000</v>
      </c>
      <c r="H88" s="1" t="str">
        <f t="shared" si="17"/>
        <v>0000.000</v>
      </c>
      <c r="I88">
        <f t="shared" si="18"/>
        <v>0</v>
      </c>
      <c r="J88" t="str">
        <f t="shared" si="19"/>
        <v>000</v>
      </c>
      <c r="K88">
        <f t="shared" si="20"/>
        <v>0</v>
      </c>
      <c r="L88">
        <f t="shared" si="21"/>
        <v>0</v>
      </c>
      <c r="M88" t="str">
        <f t="shared" si="22"/>
        <v>00.000</v>
      </c>
      <c r="N88" s="1" t="str">
        <f t="shared" si="23"/>
        <v>00000.000</v>
      </c>
      <c r="O88" t="str">
        <f>IF('Import OpenCPN'!W89&gt;0,"N","S")</f>
        <v>S</v>
      </c>
      <c r="P88" t="str">
        <f>IF('Import OpenCPN'!X89&gt;0,"E","W")</f>
        <v>W</v>
      </c>
    </row>
    <row r="89" spans="1:16" x14ac:dyDescent="0.2">
      <c r="A89">
        <f>'Import OpenCPN'!W90</f>
        <v>0</v>
      </c>
      <c r="B89">
        <f>'Import OpenCPN'!X90</f>
        <v>0</v>
      </c>
      <c r="C89">
        <f t="shared" si="12"/>
        <v>0</v>
      </c>
      <c r="D89" t="str">
        <f t="shared" si="13"/>
        <v>00</v>
      </c>
      <c r="E89">
        <f t="shared" si="14"/>
        <v>0</v>
      </c>
      <c r="F89">
        <f t="shared" si="15"/>
        <v>0</v>
      </c>
      <c r="G89" s="23" t="str">
        <f t="shared" si="16"/>
        <v>00.000</v>
      </c>
      <c r="H89" s="1" t="str">
        <f t="shared" si="17"/>
        <v>0000.000</v>
      </c>
      <c r="I89">
        <f t="shared" si="18"/>
        <v>0</v>
      </c>
      <c r="J89" t="str">
        <f t="shared" si="19"/>
        <v>000</v>
      </c>
      <c r="K89">
        <f t="shared" si="20"/>
        <v>0</v>
      </c>
      <c r="L89">
        <f t="shared" si="21"/>
        <v>0</v>
      </c>
      <c r="M89" t="str">
        <f t="shared" si="22"/>
        <v>00.000</v>
      </c>
      <c r="N89" s="1" t="str">
        <f t="shared" si="23"/>
        <v>00000.000</v>
      </c>
      <c r="O89" t="str">
        <f>IF('Import OpenCPN'!W90&gt;0,"N","S")</f>
        <v>S</v>
      </c>
      <c r="P89" t="str">
        <f>IF('Import OpenCPN'!X90&gt;0,"E","W")</f>
        <v>W</v>
      </c>
    </row>
    <row r="90" spans="1:16" x14ac:dyDescent="0.2">
      <c r="A90">
        <f>'Import OpenCPN'!W91</f>
        <v>0</v>
      </c>
      <c r="B90">
        <f>'Import OpenCPN'!X91</f>
        <v>0</v>
      </c>
      <c r="C90">
        <f t="shared" si="12"/>
        <v>0</v>
      </c>
      <c r="D90" t="str">
        <f t="shared" si="13"/>
        <v>00</v>
      </c>
      <c r="E90">
        <f t="shared" si="14"/>
        <v>0</v>
      </c>
      <c r="F90">
        <f t="shared" si="15"/>
        <v>0</v>
      </c>
      <c r="G90" s="23" t="str">
        <f t="shared" si="16"/>
        <v>00.000</v>
      </c>
      <c r="H90" s="1" t="str">
        <f t="shared" si="17"/>
        <v>0000.000</v>
      </c>
      <c r="I90">
        <f t="shared" si="18"/>
        <v>0</v>
      </c>
      <c r="J90" t="str">
        <f t="shared" si="19"/>
        <v>000</v>
      </c>
      <c r="K90">
        <f t="shared" si="20"/>
        <v>0</v>
      </c>
      <c r="L90">
        <f t="shared" si="21"/>
        <v>0</v>
      </c>
      <c r="M90" t="str">
        <f t="shared" si="22"/>
        <v>00.000</v>
      </c>
      <c r="N90" s="1" t="str">
        <f t="shared" si="23"/>
        <v>00000.000</v>
      </c>
      <c r="O90" t="str">
        <f>IF('Import OpenCPN'!W91&gt;0,"N","S")</f>
        <v>S</v>
      </c>
      <c r="P90" t="str">
        <f>IF('Import OpenCPN'!X91&gt;0,"E","W")</f>
        <v>W</v>
      </c>
    </row>
    <row r="91" spans="1:16" x14ac:dyDescent="0.2">
      <c r="A91">
        <f>'Import OpenCPN'!W92</f>
        <v>0</v>
      </c>
      <c r="B91">
        <f>'Import OpenCPN'!X92</f>
        <v>0</v>
      </c>
      <c r="C91">
        <f t="shared" si="12"/>
        <v>0</v>
      </c>
      <c r="D91" t="str">
        <f t="shared" si="13"/>
        <v>00</v>
      </c>
      <c r="E91">
        <f t="shared" si="14"/>
        <v>0</v>
      </c>
      <c r="F91">
        <f t="shared" si="15"/>
        <v>0</v>
      </c>
      <c r="G91" s="23" t="str">
        <f t="shared" si="16"/>
        <v>00.000</v>
      </c>
      <c r="H91" s="1" t="str">
        <f t="shared" si="17"/>
        <v>0000.000</v>
      </c>
      <c r="I91">
        <f t="shared" si="18"/>
        <v>0</v>
      </c>
      <c r="J91" t="str">
        <f t="shared" si="19"/>
        <v>000</v>
      </c>
      <c r="K91">
        <f t="shared" si="20"/>
        <v>0</v>
      </c>
      <c r="L91">
        <f t="shared" si="21"/>
        <v>0</v>
      </c>
      <c r="M91" t="str">
        <f t="shared" si="22"/>
        <v>00.000</v>
      </c>
      <c r="N91" s="1" t="str">
        <f t="shared" si="23"/>
        <v>00000.000</v>
      </c>
      <c r="O91" t="str">
        <f>IF('Import OpenCPN'!W92&gt;0,"N","S")</f>
        <v>S</v>
      </c>
      <c r="P91" t="str">
        <f>IF('Import OpenCPN'!X92&gt;0,"E","W")</f>
        <v>W</v>
      </c>
    </row>
    <row r="92" spans="1:16" x14ac:dyDescent="0.2">
      <c r="A92">
        <f>'Import OpenCPN'!W93</f>
        <v>0</v>
      </c>
      <c r="B92">
        <f>'Import OpenCPN'!X93</f>
        <v>0</v>
      </c>
      <c r="C92">
        <f t="shared" si="12"/>
        <v>0</v>
      </c>
      <c r="D92" t="str">
        <f t="shared" si="13"/>
        <v>00</v>
      </c>
      <c r="E92">
        <f t="shared" si="14"/>
        <v>0</v>
      </c>
      <c r="F92">
        <f t="shared" si="15"/>
        <v>0</v>
      </c>
      <c r="G92" s="23" t="str">
        <f t="shared" si="16"/>
        <v>00.000</v>
      </c>
      <c r="H92" s="1" t="str">
        <f t="shared" si="17"/>
        <v>0000.000</v>
      </c>
      <c r="I92">
        <f t="shared" si="18"/>
        <v>0</v>
      </c>
      <c r="J92" t="str">
        <f t="shared" si="19"/>
        <v>000</v>
      </c>
      <c r="K92">
        <f t="shared" si="20"/>
        <v>0</v>
      </c>
      <c r="L92">
        <f t="shared" si="21"/>
        <v>0</v>
      </c>
      <c r="M92" t="str">
        <f t="shared" si="22"/>
        <v>00.000</v>
      </c>
      <c r="N92" s="1" t="str">
        <f t="shared" si="23"/>
        <v>00000.000</v>
      </c>
      <c r="O92" t="str">
        <f>IF('Import OpenCPN'!W93&gt;0,"N","S")</f>
        <v>S</v>
      </c>
      <c r="P92" t="str">
        <f>IF('Import OpenCPN'!X93&gt;0,"E","W")</f>
        <v>W</v>
      </c>
    </row>
    <row r="93" spans="1:16" x14ac:dyDescent="0.2">
      <c r="A93">
        <f>'Import OpenCPN'!W94</f>
        <v>0</v>
      </c>
      <c r="B93">
        <f>'Import OpenCPN'!X94</f>
        <v>0</v>
      </c>
      <c r="C93">
        <f t="shared" si="12"/>
        <v>0</v>
      </c>
      <c r="D93" t="str">
        <f t="shared" si="13"/>
        <v>00</v>
      </c>
      <c r="E93">
        <f t="shared" si="14"/>
        <v>0</v>
      </c>
      <c r="F93">
        <f t="shared" si="15"/>
        <v>0</v>
      </c>
      <c r="G93" s="23" t="str">
        <f t="shared" si="16"/>
        <v>00.000</v>
      </c>
      <c r="H93" s="1" t="str">
        <f t="shared" si="17"/>
        <v>0000.000</v>
      </c>
      <c r="I93">
        <f t="shared" si="18"/>
        <v>0</v>
      </c>
      <c r="J93" t="str">
        <f t="shared" si="19"/>
        <v>000</v>
      </c>
      <c r="K93">
        <f t="shared" si="20"/>
        <v>0</v>
      </c>
      <c r="L93">
        <f t="shared" si="21"/>
        <v>0</v>
      </c>
      <c r="M93" t="str">
        <f t="shared" si="22"/>
        <v>00.000</v>
      </c>
      <c r="N93" s="1" t="str">
        <f t="shared" si="23"/>
        <v>00000.000</v>
      </c>
      <c r="O93" t="str">
        <f>IF('Import OpenCPN'!W94&gt;0,"N","S")</f>
        <v>S</v>
      </c>
      <c r="P93" t="str">
        <f>IF('Import OpenCPN'!X94&gt;0,"E","W")</f>
        <v>W</v>
      </c>
    </row>
    <row r="94" spans="1:16" x14ac:dyDescent="0.2">
      <c r="A94">
        <f>'Import OpenCPN'!W95</f>
        <v>0</v>
      </c>
      <c r="B94">
        <f>'Import OpenCPN'!X95</f>
        <v>0</v>
      </c>
      <c r="C94">
        <f t="shared" si="12"/>
        <v>0</v>
      </c>
      <c r="D94" t="str">
        <f t="shared" si="13"/>
        <v>00</v>
      </c>
      <c r="E94">
        <f t="shared" si="14"/>
        <v>0</v>
      </c>
      <c r="F94">
        <f t="shared" si="15"/>
        <v>0</v>
      </c>
      <c r="G94" s="23" t="str">
        <f t="shared" si="16"/>
        <v>00.000</v>
      </c>
      <c r="H94" s="1" t="str">
        <f t="shared" si="17"/>
        <v>0000.000</v>
      </c>
      <c r="I94">
        <f t="shared" si="18"/>
        <v>0</v>
      </c>
      <c r="J94" t="str">
        <f t="shared" si="19"/>
        <v>000</v>
      </c>
      <c r="K94">
        <f t="shared" si="20"/>
        <v>0</v>
      </c>
      <c r="L94">
        <f t="shared" si="21"/>
        <v>0</v>
      </c>
      <c r="M94" t="str">
        <f t="shared" si="22"/>
        <v>00.000</v>
      </c>
      <c r="N94" s="1" t="str">
        <f t="shared" si="23"/>
        <v>00000.000</v>
      </c>
      <c r="O94" t="str">
        <f>IF('Import OpenCPN'!W95&gt;0,"N","S")</f>
        <v>S</v>
      </c>
      <c r="P94" t="str">
        <f>IF('Import OpenCPN'!X95&gt;0,"E","W")</f>
        <v>W</v>
      </c>
    </row>
    <row r="95" spans="1:16" x14ac:dyDescent="0.2">
      <c r="A95">
        <f>'Import OpenCPN'!W96</f>
        <v>0</v>
      </c>
      <c r="B95">
        <f>'Import OpenCPN'!X96</f>
        <v>0</v>
      </c>
      <c r="C95">
        <f t="shared" si="12"/>
        <v>0</v>
      </c>
      <c r="D95" t="str">
        <f t="shared" si="13"/>
        <v>00</v>
      </c>
      <c r="E95">
        <f t="shared" si="14"/>
        <v>0</v>
      </c>
      <c r="F95">
        <f t="shared" si="15"/>
        <v>0</v>
      </c>
      <c r="G95" s="23" t="str">
        <f t="shared" si="16"/>
        <v>00.000</v>
      </c>
      <c r="H95" s="1" t="str">
        <f t="shared" si="17"/>
        <v>0000.000</v>
      </c>
      <c r="I95">
        <f t="shared" si="18"/>
        <v>0</v>
      </c>
      <c r="J95" t="str">
        <f t="shared" si="19"/>
        <v>000</v>
      </c>
      <c r="K95">
        <f t="shared" si="20"/>
        <v>0</v>
      </c>
      <c r="L95">
        <f t="shared" si="21"/>
        <v>0</v>
      </c>
      <c r="M95" t="str">
        <f t="shared" si="22"/>
        <v>00.000</v>
      </c>
      <c r="N95" s="1" t="str">
        <f t="shared" si="23"/>
        <v>00000.000</v>
      </c>
      <c r="O95" t="str">
        <f>IF('Import OpenCPN'!W96&gt;0,"N","S")</f>
        <v>S</v>
      </c>
      <c r="P95" t="str">
        <f>IF('Import OpenCPN'!X96&gt;0,"E","W")</f>
        <v>W</v>
      </c>
    </row>
    <row r="96" spans="1:16" x14ac:dyDescent="0.2">
      <c r="A96">
        <f>'Import OpenCPN'!W97</f>
        <v>0</v>
      </c>
      <c r="B96">
        <f>'Import OpenCPN'!X97</f>
        <v>0</v>
      </c>
      <c r="C96">
        <f t="shared" si="12"/>
        <v>0</v>
      </c>
      <c r="D96" t="str">
        <f t="shared" si="13"/>
        <v>00</v>
      </c>
      <c r="E96">
        <f t="shared" si="14"/>
        <v>0</v>
      </c>
      <c r="F96">
        <f t="shared" si="15"/>
        <v>0</v>
      </c>
      <c r="G96" s="23" t="str">
        <f t="shared" si="16"/>
        <v>00.000</v>
      </c>
      <c r="H96" s="1" t="str">
        <f t="shared" si="17"/>
        <v>0000.000</v>
      </c>
      <c r="I96">
        <f t="shared" si="18"/>
        <v>0</v>
      </c>
      <c r="J96" t="str">
        <f t="shared" si="19"/>
        <v>000</v>
      </c>
      <c r="K96">
        <f t="shared" si="20"/>
        <v>0</v>
      </c>
      <c r="L96">
        <f t="shared" si="21"/>
        <v>0</v>
      </c>
      <c r="M96" t="str">
        <f t="shared" si="22"/>
        <v>00.000</v>
      </c>
      <c r="N96" s="1" t="str">
        <f t="shared" si="23"/>
        <v>00000.000</v>
      </c>
      <c r="O96" t="str">
        <f>IF('Import OpenCPN'!W97&gt;0,"N","S")</f>
        <v>S</v>
      </c>
      <c r="P96" t="str">
        <f>IF('Import OpenCPN'!X97&gt;0,"E","W")</f>
        <v>W</v>
      </c>
    </row>
    <row r="97" spans="1:16" x14ac:dyDescent="0.2">
      <c r="A97">
        <f>'Import OpenCPN'!W98</f>
        <v>0</v>
      </c>
      <c r="B97">
        <f>'Import OpenCPN'!X98</f>
        <v>0</v>
      </c>
      <c r="C97">
        <f t="shared" si="12"/>
        <v>0</v>
      </c>
      <c r="D97" t="str">
        <f t="shared" si="13"/>
        <v>00</v>
      </c>
      <c r="E97">
        <f t="shared" si="14"/>
        <v>0</v>
      </c>
      <c r="F97">
        <f t="shared" si="15"/>
        <v>0</v>
      </c>
      <c r="G97" s="23" t="str">
        <f t="shared" si="16"/>
        <v>00.000</v>
      </c>
      <c r="H97" s="1" t="str">
        <f t="shared" si="17"/>
        <v>0000.000</v>
      </c>
      <c r="I97">
        <f t="shared" si="18"/>
        <v>0</v>
      </c>
      <c r="J97" t="str">
        <f t="shared" si="19"/>
        <v>000</v>
      </c>
      <c r="K97">
        <f t="shared" si="20"/>
        <v>0</v>
      </c>
      <c r="L97">
        <f t="shared" si="21"/>
        <v>0</v>
      </c>
      <c r="M97" t="str">
        <f t="shared" si="22"/>
        <v>00.000</v>
      </c>
      <c r="N97" s="1" t="str">
        <f t="shared" si="23"/>
        <v>00000.000</v>
      </c>
      <c r="O97" t="str">
        <f>IF('Import OpenCPN'!W98&gt;0,"N","S")</f>
        <v>S</v>
      </c>
      <c r="P97" t="str">
        <f>IF('Import OpenCPN'!X98&gt;0,"E","W")</f>
        <v>W</v>
      </c>
    </row>
    <row r="98" spans="1:16" x14ac:dyDescent="0.2">
      <c r="A98">
        <f>'Import OpenCPN'!W99</f>
        <v>0</v>
      </c>
      <c r="B98">
        <f>'Import OpenCPN'!X99</f>
        <v>0</v>
      </c>
      <c r="C98">
        <f t="shared" si="12"/>
        <v>0</v>
      </c>
      <c r="D98" t="str">
        <f t="shared" si="13"/>
        <v>00</v>
      </c>
      <c r="E98">
        <f t="shared" si="14"/>
        <v>0</v>
      </c>
      <c r="F98">
        <f t="shared" si="15"/>
        <v>0</v>
      </c>
      <c r="G98" s="23" t="str">
        <f t="shared" si="16"/>
        <v>00.000</v>
      </c>
      <c r="H98" s="1" t="str">
        <f t="shared" si="17"/>
        <v>0000.000</v>
      </c>
      <c r="I98">
        <f t="shared" si="18"/>
        <v>0</v>
      </c>
      <c r="J98" t="str">
        <f t="shared" si="19"/>
        <v>000</v>
      </c>
      <c r="K98">
        <f t="shared" si="20"/>
        <v>0</v>
      </c>
      <c r="L98">
        <f t="shared" si="21"/>
        <v>0</v>
      </c>
      <c r="M98" t="str">
        <f t="shared" si="22"/>
        <v>00.000</v>
      </c>
      <c r="N98" s="1" t="str">
        <f t="shared" si="23"/>
        <v>00000.000</v>
      </c>
      <c r="O98" t="str">
        <f>IF('Import OpenCPN'!W99&gt;0,"N","S")</f>
        <v>S</v>
      </c>
      <c r="P98" t="str">
        <f>IF('Import OpenCPN'!X99&gt;0,"E","W")</f>
        <v>W</v>
      </c>
    </row>
    <row r="99" spans="1:16" x14ac:dyDescent="0.2">
      <c r="A99">
        <f>'Import OpenCPN'!W100</f>
        <v>0</v>
      </c>
      <c r="B99">
        <f>'Import OpenCPN'!X100</f>
        <v>0</v>
      </c>
      <c r="C99">
        <f t="shared" si="12"/>
        <v>0</v>
      </c>
      <c r="D99" t="str">
        <f t="shared" si="13"/>
        <v>00</v>
      </c>
      <c r="E99">
        <f t="shared" si="14"/>
        <v>0</v>
      </c>
      <c r="F99">
        <f t="shared" si="15"/>
        <v>0</v>
      </c>
      <c r="G99" s="23" t="str">
        <f t="shared" si="16"/>
        <v>00.000</v>
      </c>
      <c r="H99" s="1" t="str">
        <f t="shared" si="17"/>
        <v>0000.000</v>
      </c>
      <c r="I99">
        <f t="shared" si="18"/>
        <v>0</v>
      </c>
      <c r="J99" t="str">
        <f t="shared" si="19"/>
        <v>000</v>
      </c>
      <c r="K99">
        <f t="shared" si="20"/>
        <v>0</v>
      </c>
      <c r="L99">
        <f t="shared" si="21"/>
        <v>0</v>
      </c>
      <c r="M99" t="str">
        <f t="shared" si="22"/>
        <v>00.000</v>
      </c>
      <c r="N99" s="1" t="str">
        <f t="shared" si="23"/>
        <v>00000.000</v>
      </c>
      <c r="O99" t="str">
        <f>IF('Import OpenCPN'!W100&gt;0,"N","S")</f>
        <v>S</v>
      </c>
      <c r="P99" t="str">
        <f>IF('Import OpenCPN'!X100&gt;0,"E","W")</f>
        <v>W</v>
      </c>
    </row>
    <row r="100" spans="1:16" x14ac:dyDescent="0.2">
      <c r="A100">
        <f>'Import OpenCPN'!W101</f>
        <v>0</v>
      </c>
      <c r="B100">
        <f>'Import OpenCPN'!X101</f>
        <v>0</v>
      </c>
      <c r="C100">
        <f t="shared" si="12"/>
        <v>0</v>
      </c>
      <c r="D100" t="str">
        <f t="shared" si="13"/>
        <v>00</v>
      </c>
      <c r="E100">
        <f t="shared" si="14"/>
        <v>0</v>
      </c>
      <c r="F100">
        <f t="shared" si="15"/>
        <v>0</v>
      </c>
      <c r="G100" s="23" t="str">
        <f t="shared" si="16"/>
        <v>00.000</v>
      </c>
      <c r="H100" s="1" t="str">
        <f t="shared" si="17"/>
        <v>0000.000</v>
      </c>
      <c r="I100">
        <f t="shared" si="18"/>
        <v>0</v>
      </c>
      <c r="J100" t="str">
        <f t="shared" si="19"/>
        <v>000</v>
      </c>
      <c r="K100">
        <f t="shared" si="20"/>
        <v>0</v>
      </c>
      <c r="L100">
        <f t="shared" si="21"/>
        <v>0</v>
      </c>
      <c r="M100" t="str">
        <f t="shared" si="22"/>
        <v>00.000</v>
      </c>
      <c r="N100" s="1" t="str">
        <f t="shared" si="23"/>
        <v>00000.000</v>
      </c>
      <c r="O100" t="str">
        <f>IF('Import OpenCPN'!W101&gt;0,"N","S")</f>
        <v>S</v>
      </c>
      <c r="P100" t="str">
        <f>IF('Import OpenCPN'!X101&gt;0,"E","W")</f>
        <v>W</v>
      </c>
    </row>
    <row r="101" spans="1:16" x14ac:dyDescent="0.2">
      <c r="A101">
        <f>'Import OpenCPN'!W102</f>
        <v>0</v>
      </c>
      <c r="B101">
        <f>'Import OpenCPN'!X102</f>
        <v>0</v>
      </c>
      <c r="C101">
        <f t="shared" si="12"/>
        <v>0</v>
      </c>
      <c r="D101" t="str">
        <f t="shared" si="13"/>
        <v>00</v>
      </c>
      <c r="E101">
        <f t="shared" si="14"/>
        <v>0</v>
      </c>
      <c r="F101">
        <f t="shared" si="15"/>
        <v>0</v>
      </c>
      <c r="G101" s="23" t="str">
        <f t="shared" si="16"/>
        <v>00.000</v>
      </c>
      <c r="H101" s="1" t="str">
        <f t="shared" si="17"/>
        <v>0000.000</v>
      </c>
      <c r="I101">
        <f t="shared" si="18"/>
        <v>0</v>
      </c>
      <c r="J101" t="str">
        <f t="shared" si="19"/>
        <v>000</v>
      </c>
      <c r="K101">
        <f t="shared" si="20"/>
        <v>0</v>
      </c>
      <c r="L101">
        <f t="shared" si="21"/>
        <v>0</v>
      </c>
      <c r="M101" t="str">
        <f t="shared" si="22"/>
        <v>00.000</v>
      </c>
      <c r="N101" s="1" t="str">
        <f t="shared" si="23"/>
        <v>00000.000</v>
      </c>
      <c r="O101" t="str">
        <f>IF('Import OpenCPN'!W102&gt;0,"N","S")</f>
        <v>S</v>
      </c>
      <c r="P101" t="str">
        <f>IF('Import OpenCPN'!X102&gt;0,"E","W")</f>
        <v>W</v>
      </c>
    </row>
    <row r="102" spans="1:16" x14ac:dyDescent="0.2">
      <c r="A102">
        <f>'Import OpenCPN'!W103</f>
        <v>0</v>
      </c>
      <c r="B102">
        <f>'Import OpenCPN'!X103</f>
        <v>0</v>
      </c>
      <c r="C102">
        <f t="shared" si="12"/>
        <v>0</v>
      </c>
      <c r="D102" t="str">
        <f t="shared" si="13"/>
        <v>00</v>
      </c>
      <c r="E102">
        <f t="shared" si="14"/>
        <v>0</v>
      </c>
      <c r="F102">
        <f t="shared" si="15"/>
        <v>0</v>
      </c>
      <c r="G102" s="23" t="str">
        <f t="shared" si="16"/>
        <v>00.000</v>
      </c>
      <c r="H102" s="1" t="str">
        <f t="shared" si="17"/>
        <v>0000.000</v>
      </c>
      <c r="I102">
        <f t="shared" si="18"/>
        <v>0</v>
      </c>
      <c r="J102" t="str">
        <f t="shared" si="19"/>
        <v>000</v>
      </c>
      <c r="K102">
        <f t="shared" si="20"/>
        <v>0</v>
      </c>
      <c r="L102">
        <f t="shared" si="21"/>
        <v>0</v>
      </c>
      <c r="M102" t="str">
        <f t="shared" si="22"/>
        <v>00.000</v>
      </c>
      <c r="N102" s="1" t="str">
        <f t="shared" si="23"/>
        <v>00000.000</v>
      </c>
      <c r="O102" t="str">
        <f>IF('Import OpenCPN'!W103&gt;0,"N","S")</f>
        <v>S</v>
      </c>
      <c r="P102" t="str">
        <f>IF('Import OpenCPN'!X103&gt;0,"E","W")</f>
        <v>W</v>
      </c>
    </row>
    <row r="103" spans="1:16" x14ac:dyDescent="0.2">
      <c r="A103">
        <f>'Import OpenCPN'!W104</f>
        <v>0</v>
      </c>
      <c r="B103">
        <f>'Import OpenCPN'!X104</f>
        <v>0</v>
      </c>
      <c r="C103">
        <f t="shared" si="12"/>
        <v>0</v>
      </c>
      <c r="D103" t="str">
        <f t="shared" si="13"/>
        <v>00</v>
      </c>
      <c r="E103">
        <f t="shared" si="14"/>
        <v>0</v>
      </c>
      <c r="F103">
        <f t="shared" si="15"/>
        <v>0</v>
      </c>
      <c r="G103" s="23" t="str">
        <f t="shared" si="16"/>
        <v>00.000</v>
      </c>
      <c r="H103" s="1" t="str">
        <f t="shared" si="17"/>
        <v>0000.000</v>
      </c>
      <c r="I103">
        <f t="shared" si="18"/>
        <v>0</v>
      </c>
      <c r="J103" t="str">
        <f t="shared" si="19"/>
        <v>000</v>
      </c>
      <c r="K103">
        <f t="shared" si="20"/>
        <v>0</v>
      </c>
      <c r="L103">
        <f t="shared" si="21"/>
        <v>0</v>
      </c>
      <c r="M103" t="str">
        <f t="shared" si="22"/>
        <v>00.000</v>
      </c>
      <c r="N103" s="1" t="str">
        <f t="shared" si="23"/>
        <v>00000.000</v>
      </c>
      <c r="O103" t="str">
        <f>IF('Import OpenCPN'!W104&gt;0,"N","S")</f>
        <v>S</v>
      </c>
      <c r="P103" t="str">
        <f>IF('Import OpenCPN'!X104&gt;0,"E","W")</f>
        <v>W</v>
      </c>
    </row>
    <row r="104" spans="1:16" x14ac:dyDescent="0.2">
      <c r="A104">
        <f>'Import OpenCPN'!W105</f>
        <v>0</v>
      </c>
      <c r="B104">
        <f>'Import OpenCPN'!X105</f>
        <v>0</v>
      </c>
      <c r="C104">
        <f t="shared" si="12"/>
        <v>0</v>
      </c>
      <c r="D104" t="str">
        <f t="shared" si="13"/>
        <v>00</v>
      </c>
      <c r="E104">
        <f t="shared" si="14"/>
        <v>0</v>
      </c>
      <c r="F104">
        <f t="shared" si="15"/>
        <v>0</v>
      </c>
      <c r="G104" s="23" t="str">
        <f t="shared" si="16"/>
        <v>00.000</v>
      </c>
      <c r="H104" s="1" t="str">
        <f t="shared" si="17"/>
        <v>0000.000</v>
      </c>
      <c r="I104">
        <f t="shared" si="18"/>
        <v>0</v>
      </c>
      <c r="J104" t="str">
        <f t="shared" si="19"/>
        <v>000</v>
      </c>
      <c r="K104">
        <f t="shared" si="20"/>
        <v>0</v>
      </c>
      <c r="L104">
        <f t="shared" si="21"/>
        <v>0</v>
      </c>
      <c r="M104" t="str">
        <f t="shared" si="22"/>
        <v>00.000</v>
      </c>
      <c r="N104" s="1" t="str">
        <f t="shared" si="23"/>
        <v>00000.000</v>
      </c>
      <c r="O104" t="str">
        <f>IF('Import OpenCPN'!W105&gt;0,"N","S")</f>
        <v>S</v>
      </c>
      <c r="P104" t="str">
        <f>IF('Import OpenCPN'!X105&gt;0,"E","W")</f>
        <v>W</v>
      </c>
    </row>
    <row r="105" spans="1:16" x14ac:dyDescent="0.2">
      <c r="A105">
        <f>'Import OpenCPN'!W106</f>
        <v>0</v>
      </c>
      <c r="B105">
        <f>'Import OpenCPN'!X106</f>
        <v>0</v>
      </c>
      <c r="C105">
        <f t="shared" si="12"/>
        <v>0</v>
      </c>
      <c r="D105" t="str">
        <f t="shared" si="13"/>
        <v>00</v>
      </c>
      <c r="E105">
        <f t="shared" si="14"/>
        <v>0</v>
      </c>
      <c r="F105">
        <f t="shared" si="15"/>
        <v>0</v>
      </c>
      <c r="G105" s="23" t="str">
        <f t="shared" si="16"/>
        <v>00.000</v>
      </c>
      <c r="H105" s="1" t="str">
        <f t="shared" si="17"/>
        <v>0000.000</v>
      </c>
      <c r="I105">
        <f t="shared" si="18"/>
        <v>0</v>
      </c>
      <c r="J105" t="str">
        <f t="shared" si="19"/>
        <v>000</v>
      </c>
      <c r="K105">
        <f t="shared" si="20"/>
        <v>0</v>
      </c>
      <c r="L105">
        <f t="shared" si="21"/>
        <v>0</v>
      </c>
      <c r="M105" t="str">
        <f t="shared" si="22"/>
        <v>00.000</v>
      </c>
      <c r="N105" s="1" t="str">
        <f t="shared" si="23"/>
        <v>00000.000</v>
      </c>
      <c r="O105" t="str">
        <f>IF('Import OpenCPN'!W106&gt;0,"N","S")</f>
        <v>S</v>
      </c>
      <c r="P105" t="str">
        <f>IF('Import OpenCPN'!X106&gt;0,"E","W")</f>
        <v>W</v>
      </c>
    </row>
    <row r="106" spans="1:16" x14ac:dyDescent="0.2">
      <c r="A106">
        <f>'Import OpenCPN'!W107</f>
        <v>0</v>
      </c>
      <c r="B106">
        <f>'Import OpenCPN'!X107</f>
        <v>0</v>
      </c>
      <c r="C106">
        <f t="shared" si="12"/>
        <v>0</v>
      </c>
      <c r="D106" t="str">
        <f t="shared" si="13"/>
        <v>00</v>
      </c>
      <c r="E106">
        <f t="shared" si="14"/>
        <v>0</v>
      </c>
      <c r="F106">
        <f t="shared" si="15"/>
        <v>0</v>
      </c>
      <c r="G106" s="23" t="str">
        <f t="shared" si="16"/>
        <v>00.000</v>
      </c>
      <c r="H106" s="1" t="str">
        <f t="shared" si="17"/>
        <v>0000.000</v>
      </c>
      <c r="I106">
        <f t="shared" si="18"/>
        <v>0</v>
      </c>
      <c r="J106" t="str">
        <f t="shared" si="19"/>
        <v>000</v>
      </c>
      <c r="K106">
        <f t="shared" si="20"/>
        <v>0</v>
      </c>
      <c r="L106">
        <f t="shared" si="21"/>
        <v>0</v>
      </c>
      <c r="M106" t="str">
        <f t="shared" si="22"/>
        <v>00.000</v>
      </c>
      <c r="N106" s="1" t="str">
        <f t="shared" si="23"/>
        <v>00000.000</v>
      </c>
      <c r="O106" t="str">
        <f>IF('Import OpenCPN'!W107&gt;0,"N","S")</f>
        <v>S</v>
      </c>
      <c r="P106" t="str">
        <f>IF('Import OpenCPN'!X107&gt;0,"E","W")</f>
        <v>W</v>
      </c>
    </row>
    <row r="107" spans="1:16" x14ac:dyDescent="0.2">
      <c r="A107">
        <f>'Import OpenCPN'!W108</f>
        <v>0</v>
      </c>
      <c r="B107">
        <f>'Import OpenCPN'!X108</f>
        <v>0</v>
      </c>
      <c r="C107">
        <f t="shared" si="12"/>
        <v>0</v>
      </c>
      <c r="D107" t="str">
        <f t="shared" si="13"/>
        <v>00</v>
      </c>
      <c r="E107">
        <f t="shared" si="14"/>
        <v>0</v>
      </c>
      <c r="F107">
        <f t="shared" si="15"/>
        <v>0</v>
      </c>
      <c r="G107" s="23" t="str">
        <f t="shared" si="16"/>
        <v>00.000</v>
      </c>
      <c r="H107" s="1" t="str">
        <f t="shared" si="17"/>
        <v>0000.000</v>
      </c>
      <c r="I107">
        <f t="shared" si="18"/>
        <v>0</v>
      </c>
      <c r="J107" t="str">
        <f t="shared" si="19"/>
        <v>000</v>
      </c>
      <c r="K107">
        <f t="shared" si="20"/>
        <v>0</v>
      </c>
      <c r="L107">
        <f t="shared" si="21"/>
        <v>0</v>
      </c>
      <c r="M107" t="str">
        <f t="shared" si="22"/>
        <v>00.000</v>
      </c>
      <c r="N107" s="1" t="str">
        <f t="shared" si="23"/>
        <v>00000.000</v>
      </c>
      <c r="O107" t="str">
        <f>IF('Import OpenCPN'!W108&gt;0,"N","S")</f>
        <v>S</v>
      </c>
      <c r="P107" t="str">
        <f>IF('Import OpenCPN'!X108&gt;0,"E","W")</f>
        <v>W</v>
      </c>
    </row>
    <row r="108" spans="1:16" x14ac:dyDescent="0.2">
      <c r="A108">
        <f>'Import OpenCPN'!W109</f>
        <v>0</v>
      </c>
      <c r="B108">
        <f>'Import OpenCPN'!X109</f>
        <v>0</v>
      </c>
      <c r="C108">
        <f t="shared" si="12"/>
        <v>0</v>
      </c>
      <c r="D108" t="str">
        <f t="shared" si="13"/>
        <v>00</v>
      </c>
      <c r="E108">
        <f t="shared" si="14"/>
        <v>0</v>
      </c>
      <c r="F108">
        <f t="shared" si="15"/>
        <v>0</v>
      </c>
      <c r="G108" s="23" t="str">
        <f t="shared" si="16"/>
        <v>00.000</v>
      </c>
      <c r="H108" s="1" t="str">
        <f t="shared" si="17"/>
        <v>0000.000</v>
      </c>
      <c r="I108">
        <f t="shared" si="18"/>
        <v>0</v>
      </c>
      <c r="J108" t="str">
        <f t="shared" si="19"/>
        <v>000</v>
      </c>
      <c r="K108">
        <f t="shared" si="20"/>
        <v>0</v>
      </c>
      <c r="L108">
        <f t="shared" si="21"/>
        <v>0</v>
      </c>
      <c r="M108" t="str">
        <f t="shared" si="22"/>
        <v>00.000</v>
      </c>
      <c r="N108" s="1" t="str">
        <f t="shared" si="23"/>
        <v>00000.000</v>
      </c>
      <c r="O108" t="str">
        <f>IF('Import OpenCPN'!W109&gt;0,"N","S")</f>
        <v>S</v>
      </c>
      <c r="P108" t="str">
        <f>IF('Import OpenCPN'!X109&gt;0,"E","W")</f>
        <v>W</v>
      </c>
    </row>
    <row r="109" spans="1:16" x14ac:dyDescent="0.2">
      <c r="A109">
        <f>'Import OpenCPN'!W110</f>
        <v>0</v>
      </c>
      <c r="B109">
        <f>'Import OpenCPN'!X110</f>
        <v>0</v>
      </c>
      <c r="C109">
        <f t="shared" si="12"/>
        <v>0</v>
      </c>
      <c r="D109" t="str">
        <f t="shared" si="13"/>
        <v>00</v>
      </c>
      <c r="E109">
        <f t="shared" si="14"/>
        <v>0</v>
      </c>
      <c r="F109">
        <f t="shared" si="15"/>
        <v>0</v>
      </c>
      <c r="G109" s="23" t="str">
        <f t="shared" si="16"/>
        <v>00.000</v>
      </c>
      <c r="H109" s="1" t="str">
        <f t="shared" si="17"/>
        <v>0000.000</v>
      </c>
      <c r="I109">
        <f t="shared" si="18"/>
        <v>0</v>
      </c>
      <c r="J109" t="str">
        <f t="shared" si="19"/>
        <v>000</v>
      </c>
      <c r="K109">
        <f t="shared" si="20"/>
        <v>0</v>
      </c>
      <c r="L109">
        <f t="shared" si="21"/>
        <v>0</v>
      </c>
      <c r="M109" t="str">
        <f t="shared" si="22"/>
        <v>00.000</v>
      </c>
      <c r="N109" s="1" t="str">
        <f t="shared" si="23"/>
        <v>00000.000</v>
      </c>
      <c r="O109" t="str">
        <f>IF('Import OpenCPN'!W110&gt;0,"N","S")</f>
        <v>S</v>
      </c>
      <c r="P109" t="str">
        <f>IF('Import OpenCPN'!X110&gt;0,"E","W")</f>
        <v>W</v>
      </c>
    </row>
    <row r="110" spans="1:16" x14ac:dyDescent="0.2">
      <c r="A110">
        <f>'Import OpenCPN'!W111</f>
        <v>0</v>
      </c>
      <c r="B110">
        <f>'Import OpenCPN'!X111</f>
        <v>0</v>
      </c>
      <c r="C110">
        <f t="shared" si="12"/>
        <v>0</v>
      </c>
      <c r="D110" t="str">
        <f t="shared" si="13"/>
        <v>00</v>
      </c>
      <c r="E110">
        <f t="shared" si="14"/>
        <v>0</v>
      </c>
      <c r="F110">
        <f t="shared" si="15"/>
        <v>0</v>
      </c>
      <c r="G110" s="23" t="str">
        <f t="shared" si="16"/>
        <v>00.000</v>
      </c>
      <c r="H110" s="1" t="str">
        <f t="shared" si="17"/>
        <v>0000.000</v>
      </c>
      <c r="I110">
        <f t="shared" si="18"/>
        <v>0</v>
      </c>
      <c r="J110" t="str">
        <f t="shared" si="19"/>
        <v>000</v>
      </c>
      <c r="K110">
        <f t="shared" si="20"/>
        <v>0</v>
      </c>
      <c r="L110">
        <f t="shared" si="21"/>
        <v>0</v>
      </c>
      <c r="M110" t="str">
        <f t="shared" si="22"/>
        <v>00.000</v>
      </c>
      <c r="N110" s="1" t="str">
        <f t="shared" si="23"/>
        <v>00000.000</v>
      </c>
      <c r="O110" t="str">
        <f>IF('Import OpenCPN'!W111&gt;0,"N","S")</f>
        <v>S</v>
      </c>
      <c r="P110" t="str">
        <f>IF('Import OpenCPN'!X111&gt;0,"E","W")</f>
        <v>W</v>
      </c>
    </row>
    <row r="111" spans="1:16" x14ac:dyDescent="0.2">
      <c r="A111">
        <f>'Import OpenCPN'!W112</f>
        <v>0</v>
      </c>
      <c r="B111">
        <f>'Import OpenCPN'!X112</f>
        <v>0</v>
      </c>
      <c r="C111">
        <f t="shared" si="12"/>
        <v>0</v>
      </c>
      <c r="D111" t="str">
        <f t="shared" si="13"/>
        <v>00</v>
      </c>
      <c r="E111">
        <f t="shared" si="14"/>
        <v>0</v>
      </c>
      <c r="F111">
        <f t="shared" si="15"/>
        <v>0</v>
      </c>
      <c r="G111" s="23" t="str">
        <f t="shared" si="16"/>
        <v>00.000</v>
      </c>
      <c r="H111" s="1" t="str">
        <f t="shared" si="17"/>
        <v>0000.000</v>
      </c>
      <c r="I111">
        <f t="shared" si="18"/>
        <v>0</v>
      </c>
      <c r="J111" t="str">
        <f t="shared" si="19"/>
        <v>000</v>
      </c>
      <c r="K111">
        <f t="shared" si="20"/>
        <v>0</v>
      </c>
      <c r="L111">
        <f t="shared" si="21"/>
        <v>0</v>
      </c>
      <c r="M111" t="str">
        <f t="shared" si="22"/>
        <v>00.000</v>
      </c>
      <c r="N111" s="1" t="str">
        <f t="shared" si="23"/>
        <v>00000.000</v>
      </c>
      <c r="O111" t="str">
        <f>IF('Import OpenCPN'!W112&gt;0,"N","S")</f>
        <v>S</v>
      </c>
      <c r="P111" t="str">
        <f>IF('Import OpenCPN'!X112&gt;0,"E","W")</f>
        <v>W</v>
      </c>
    </row>
    <row r="112" spans="1:16" x14ac:dyDescent="0.2">
      <c r="A112">
        <f>'Import OpenCPN'!W113</f>
        <v>0</v>
      </c>
      <c r="B112">
        <f>'Import OpenCPN'!X113</f>
        <v>0</v>
      </c>
      <c r="C112">
        <f t="shared" si="12"/>
        <v>0</v>
      </c>
      <c r="D112" t="str">
        <f t="shared" si="13"/>
        <v>00</v>
      </c>
      <c r="E112">
        <f t="shared" si="14"/>
        <v>0</v>
      </c>
      <c r="F112">
        <f t="shared" si="15"/>
        <v>0</v>
      </c>
      <c r="G112" s="23" t="str">
        <f t="shared" si="16"/>
        <v>00.000</v>
      </c>
      <c r="H112" s="1" t="str">
        <f t="shared" si="17"/>
        <v>0000.000</v>
      </c>
      <c r="I112">
        <f t="shared" si="18"/>
        <v>0</v>
      </c>
      <c r="J112" t="str">
        <f t="shared" si="19"/>
        <v>000</v>
      </c>
      <c r="K112">
        <f t="shared" si="20"/>
        <v>0</v>
      </c>
      <c r="L112">
        <f t="shared" si="21"/>
        <v>0</v>
      </c>
      <c r="M112" t="str">
        <f t="shared" si="22"/>
        <v>00.000</v>
      </c>
      <c r="N112" s="1" t="str">
        <f t="shared" si="23"/>
        <v>00000.000</v>
      </c>
      <c r="O112" t="str">
        <f>IF('Import OpenCPN'!W113&gt;0,"N","S")</f>
        <v>S</v>
      </c>
      <c r="P112" t="str">
        <f>IF('Import OpenCPN'!X113&gt;0,"E","W")</f>
        <v>W</v>
      </c>
    </row>
    <row r="113" spans="1:16" x14ac:dyDescent="0.2">
      <c r="A113">
        <f>'Import OpenCPN'!W114</f>
        <v>0</v>
      </c>
      <c r="B113">
        <f>'Import OpenCPN'!X114</f>
        <v>0</v>
      </c>
      <c r="C113">
        <f t="shared" si="12"/>
        <v>0</v>
      </c>
      <c r="D113" t="str">
        <f t="shared" si="13"/>
        <v>00</v>
      </c>
      <c r="E113">
        <f t="shared" si="14"/>
        <v>0</v>
      </c>
      <c r="F113">
        <f t="shared" si="15"/>
        <v>0</v>
      </c>
      <c r="G113" s="23" t="str">
        <f t="shared" si="16"/>
        <v>00.000</v>
      </c>
      <c r="H113" s="1" t="str">
        <f t="shared" si="17"/>
        <v>0000.000</v>
      </c>
      <c r="I113">
        <f t="shared" si="18"/>
        <v>0</v>
      </c>
      <c r="J113" t="str">
        <f t="shared" si="19"/>
        <v>000</v>
      </c>
      <c r="K113">
        <f t="shared" si="20"/>
        <v>0</v>
      </c>
      <c r="L113">
        <f t="shared" si="21"/>
        <v>0</v>
      </c>
      <c r="M113" t="str">
        <f t="shared" si="22"/>
        <v>00.000</v>
      </c>
      <c r="N113" s="1" t="str">
        <f t="shared" si="23"/>
        <v>00000.000</v>
      </c>
      <c r="O113" t="str">
        <f>IF('Import OpenCPN'!W114&gt;0,"N","S")</f>
        <v>S</v>
      </c>
      <c r="P113" t="str">
        <f>IF('Import OpenCPN'!X114&gt;0,"E","W")</f>
        <v>W</v>
      </c>
    </row>
    <row r="114" spans="1:16" x14ac:dyDescent="0.2">
      <c r="A114">
        <f>'Import OpenCPN'!W115</f>
        <v>0</v>
      </c>
      <c r="B114">
        <f>'Import OpenCPN'!X115</f>
        <v>0</v>
      </c>
      <c r="C114">
        <f t="shared" si="12"/>
        <v>0</v>
      </c>
      <c r="D114" t="str">
        <f t="shared" si="13"/>
        <v>00</v>
      </c>
      <c r="E114">
        <f t="shared" si="14"/>
        <v>0</v>
      </c>
      <c r="F114">
        <f t="shared" si="15"/>
        <v>0</v>
      </c>
      <c r="G114" s="23" t="str">
        <f t="shared" si="16"/>
        <v>00.000</v>
      </c>
      <c r="H114" s="1" t="str">
        <f t="shared" si="17"/>
        <v>0000.000</v>
      </c>
      <c r="I114">
        <f t="shared" si="18"/>
        <v>0</v>
      </c>
      <c r="J114" t="str">
        <f t="shared" si="19"/>
        <v>000</v>
      </c>
      <c r="K114">
        <f t="shared" si="20"/>
        <v>0</v>
      </c>
      <c r="L114">
        <f t="shared" si="21"/>
        <v>0</v>
      </c>
      <c r="M114" t="str">
        <f t="shared" si="22"/>
        <v>00.000</v>
      </c>
      <c r="N114" s="1" t="str">
        <f t="shared" si="23"/>
        <v>00000.000</v>
      </c>
      <c r="O114" t="str">
        <f>IF('Import OpenCPN'!W115&gt;0,"N","S")</f>
        <v>S</v>
      </c>
      <c r="P114" t="str">
        <f>IF('Import OpenCPN'!X115&gt;0,"E","W")</f>
        <v>W</v>
      </c>
    </row>
    <row r="115" spans="1:16" x14ac:dyDescent="0.2">
      <c r="A115">
        <f>'Import OpenCPN'!W116</f>
        <v>0</v>
      </c>
      <c r="B115">
        <f>'Import OpenCPN'!X116</f>
        <v>0</v>
      </c>
      <c r="C115">
        <f t="shared" si="12"/>
        <v>0</v>
      </c>
      <c r="D115" t="str">
        <f t="shared" si="13"/>
        <v>00</v>
      </c>
      <c r="E115">
        <f t="shared" si="14"/>
        <v>0</v>
      </c>
      <c r="F115">
        <f t="shared" si="15"/>
        <v>0</v>
      </c>
      <c r="G115" s="23" t="str">
        <f t="shared" si="16"/>
        <v>00.000</v>
      </c>
      <c r="H115" s="1" t="str">
        <f t="shared" si="17"/>
        <v>0000.000</v>
      </c>
      <c r="I115">
        <f t="shared" si="18"/>
        <v>0</v>
      </c>
      <c r="J115" t="str">
        <f t="shared" si="19"/>
        <v>000</v>
      </c>
      <c r="K115">
        <f t="shared" si="20"/>
        <v>0</v>
      </c>
      <c r="L115">
        <f t="shared" si="21"/>
        <v>0</v>
      </c>
      <c r="M115" t="str">
        <f t="shared" si="22"/>
        <v>00.000</v>
      </c>
      <c r="N115" s="1" t="str">
        <f t="shared" si="23"/>
        <v>00000.000</v>
      </c>
      <c r="O115" t="str">
        <f>IF('Import OpenCPN'!W116&gt;0,"N","S")</f>
        <v>S</v>
      </c>
      <c r="P115" t="str">
        <f>IF('Import OpenCPN'!X116&gt;0,"E","W")</f>
        <v>W</v>
      </c>
    </row>
    <row r="116" spans="1:16" x14ac:dyDescent="0.2">
      <c r="A116">
        <f>'Import OpenCPN'!W117</f>
        <v>0</v>
      </c>
      <c r="B116">
        <f>'Import OpenCPN'!X117</f>
        <v>0</v>
      </c>
      <c r="C116">
        <f t="shared" si="12"/>
        <v>0</v>
      </c>
      <c r="D116" t="str">
        <f t="shared" si="13"/>
        <v>00</v>
      </c>
      <c r="E116">
        <f t="shared" si="14"/>
        <v>0</v>
      </c>
      <c r="F116">
        <f t="shared" si="15"/>
        <v>0</v>
      </c>
      <c r="G116" s="23" t="str">
        <f t="shared" si="16"/>
        <v>00.000</v>
      </c>
      <c r="H116" s="1" t="str">
        <f t="shared" si="17"/>
        <v>0000.000</v>
      </c>
      <c r="I116">
        <f t="shared" si="18"/>
        <v>0</v>
      </c>
      <c r="J116" t="str">
        <f t="shared" si="19"/>
        <v>000</v>
      </c>
      <c r="K116">
        <f t="shared" si="20"/>
        <v>0</v>
      </c>
      <c r="L116">
        <f t="shared" si="21"/>
        <v>0</v>
      </c>
      <c r="M116" t="str">
        <f t="shared" si="22"/>
        <v>00.000</v>
      </c>
      <c r="N116" s="1" t="str">
        <f t="shared" si="23"/>
        <v>00000.000</v>
      </c>
      <c r="O116" t="str">
        <f>IF('Import OpenCPN'!W117&gt;0,"N","S")</f>
        <v>S</v>
      </c>
      <c r="P116" t="str">
        <f>IF('Import OpenCPN'!X117&gt;0,"E","W")</f>
        <v>W</v>
      </c>
    </row>
    <row r="117" spans="1:16" x14ac:dyDescent="0.2">
      <c r="A117">
        <f>'Import OpenCPN'!W118</f>
        <v>0</v>
      </c>
      <c r="B117">
        <f>'Import OpenCPN'!X118</f>
        <v>0</v>
      </c>
      <c r="C117">
        <f t="shared" si="12"/>
        <v>0</v>
      </c>
      <c r="D117" t="str">
        <f t="shared" si="13"/>
        <v>00</v>
      </c>
      <c r="E117">
        <f t="shared" si="14"/>
        <v>0</v>
      </c>
      <c r="F117">
        <f t="shared" si="15"/>
        <v>0</v>
      </c>
      <c r="G117" s="23" t="str">
        <f t="shared" si="16"/>
        <v>00.000</v>
      </c>
      <c r="H117" s="1" t="str">
        <f t="shared" si="17"/>
        <v>0000.000</v>
      </c>
      <c r="I117">
        <f t="shared" si="18"/>
        <v>0</v>
      </c>
      <c r="J117" t="str">
        <f t="shared" si="19"/>
        <v>000</v>
      </c>
      <c r="K117">
        <f t="shared" si="20"/>
        <v>0</v>
      </c>
      <c r="L117">
        <f t="shared" si="21"/>
        <v>0</v>
      </c>
      <c r="M117" t="str">
        <f t="shared" si="22"/>
        <v>00.000</v>
      </c>
      <c r="N117" s="1" t="str">
        <f t="shared" si="23"/>
        <v>00000.000</v>
      </c>
      <c r="O117" t="str">
        <f>IF('Import OpenCPN'!W118&gt;0,"N","S")</f>
        <v>S</v>
      </c>
      <c r="P117" t="str">
        <f>IF('Import OpenCPN'!X118&gt;0,"E","W")</f>
        <v>W</v>
      </c>
    </row>
    <row r="118" spans="1:16" x14ac:dyDescent="0.2">
      <c r="A118">
        <f>'Import OpenCPN'!W119</f>
        <v>0</v>
      </c>
      <c r="B118">
        <f>'Import OpenCPN'!X119</f>
        <v>0</v>
      </c>
      <c r="C118">
        <f t="shared" si="12"/>
        <v>0</v>
      </c>
      <c r="D118" t="str">
        <f t="shared" si="13"/>
        <v>00</v>
      </c>
      <c r="E118">
        <f t="shared" si="14"/>
        <v>0</v>
      </c>
      <c r="F118">
        <f t="shared" si="15"/>
        <v>0</v>
      </c>
      <c r="G118" s="23" t="str">
        <f t="shared" si="16"/>
        <v>00.000</v>
      </c>
      <c r="H118" s="1" t="str">
        <f t="shared" si="17"/>
        <v>0000.000</v>
      </c>
      <c r="I118">
        <f t="shared" si="18"/>
        <v>0</v>
      </c>
      <c r="J118" t="str">
        <f t="shared" si="19"/>
        <v>000</v>
      </c>
      <c r="K118">
        <f t="shared" si="20"/>
        <v>0</v>
      </c>
      <c r="L118">
        <f t="shared" si="21"/>
        <v>0</v>
      </c>
      <c r="M118" t="str">
        <f t="shared" si="22"/>
        <v>00.000</v>
      </c>
      <c r="N118" s="1" t="str">
        <f t="shared" si="23"/>
        <v>00000.000</v>
      </c>
      <c r="O118" t="str">
        <f>IF('Import OpenCPN'!W119&gt;0,"N","S")</f>
        <v>S</v>
      </c>
      <c r="P118" t="str">
        <f>IF('Import OpenCPN'!X119&gt;0,"E","W")</f>
        <v>W</v>
      </c>
    </row>
    <row r="119" spans="1:16" x14ac:dyDescent="0.2">
      <c r="A119">
        <f>'Import OpenCPN'!W120</f>
        <v>0</v>
      </c>
      <c r="B119">
        <f>'Import OpenCPN'!X120</f>
        <v>0</v>
      </c>
      <c r="C119">
        <f t="shared" si="12"/>
        <v>0</v>
      </c>
      <c r="D119" t="str">
        <f t="shared" si="13"/>
        <v>00</v>
      </c>
      <c r="E119">
        <f t="shared" si="14"/>
        <v>0</v>
      </c>
      <c r="F119">
        <f t="shared" si="15"/>
        <v>0</v>
      </c>
      <c r="G119" s="23" t="str">
        <f t="shared" si="16"/>
        <v>00.000</v>
      </c>
      <c r="H119" s="1" t="str">
        <f t="shared" si="17"/>
        <v>0000.000</v>
      </c>
      <c r="I119">
        <f t="shared" si="18"/>
        <v>0</v>
      </c>
      <c r="J119" t="str">
        <f t="shared" si="19"/>
        <v>000</v>
      </c>
      <c r="K119">
        <f t="shared" si="20"/>
        <v>0</v>
      </c>
      <c r="L119">
        <f t="shared" si="21"/>
        <v>0</v>
      </c>
      <c r="M119" t="str">
        <f t="shared" si="22"/>
        <v>00.000</v>
      </c>
      <c r="N119" s="1" t="str">
        <f t="shared" si="23"/>
        <v>00000.000</v>
      </c>
      <c r="O119" t="str">
        <f>IF('Import OpenCPN'!W120&gt;0,"N","S")</f>
        <v>S</v>
      </c>
      <c r="P119" t="str">
        <f>IF('Import OpenCPN'!X120&gt;0,"E","W")</f>
        <v>W</v>
      </c>
    </row>
    <row r="120" spans="1:16" x14ac:dyDescent="0.2">
      <c r="A120">
        <f>'Import OpenCPN'!W121</f>
        <v>0</v>
      </c>
      <c r="B120">
        <f>'Import OpenCPN'!X121</f>
        <v>0</v>
      </c>
      <c r="C120">
        <f t="shared" si="12"/>
        <v>0</v>
      </c>
      <c r="D120" t="str">
        <f t="shared" si="13"/>
        <v>00</v>
      </c>
      <c r="E120">
        <f t="shared" si="14"/>
        <v>0</v>
      </c>
      <c r="F120">
        <f t="shared" si="15"/>
        <v>0</v>
      </c>
      <c r="G120" s="23" t="str">
        <f t="shared" si="16"/>
        <v>00.000</v>
      </c>
      <c r="H120" s="1" t="str">
        <f t="shared" si="17"/>
        <v>0000.000</v>
      </c>
      <c r="I120">
        <f t="shared" si="18"/>
        <v>0</v>
      </c>
      <c r="J120" t="str">
        <f t="shared" si="19"/>
        <v>000</v>
      </c>
      <c r="K120">
        <f t="shared" si="20"/>
        <v>0</v>
      </c>
      <c r="L120">
        <f t="shared" si="21"/>
        <v>0</v>
      </c>
      <c r="M120" t="str">
        <f t="shared" si="22"/>
        <v>00.000</v>
      </c>
      <c r="N120" s="1" t="str">
        <f t="shared" si="23"/>
        <v>00000.000</v>
      </c>
      <c r="O120" t="str">
        <f>IF('Import OpenCPN'!W121&gt;0,"N","S")</f>
        <v>S</v>
      </c>
      <c r="P120" t="str">
        <f>IF('Import OpenCPN'!X121&gt;0,"E","W")</f>
        <v>W</v>
      </c>
    </row>
    <row r="121" spans="1:16" x14ac:dyDescent="0.2">
      <c r="A121">
        <f>'Import OpenCPN'!W122</f>
        <v>0</v>
      </c>
      <c r="B121">
        <f>'Import OpenCPN'!X122</f>
        <v>0</v>
      </c>
      <c r="C121">
        <f t="shared" si="12"/>
        <v>0</v>
      </c>
      <c r="D121" t="str">
        <f t="shared" si="13"/>
        <v>00</v>
      </c>
      <c r="E121">
        <f t="shared" si="14"/>
        <v>0</v>
      </c>
      <c r="F121">
        <f t="shared" si="15"/>
        <v>0</v>
      </c>
      <c r="G121" s="23" t="str">
        <f t="shared" si="16"/>
        <v>00.000</v>
      </c>
      <c r="H121" s="1" t="str">
        <f t="shared" si="17"/>
        <v>0000.000</v>
      </c>
      <c r="I121">
        <f t="shared" si="18"/>
        <v>0</v>
      </c>
      <c r="J121" t="str">
        <f t="shared" si="19"/>
        <v>000</v>
      </c>
      <c r="K121">
        <f t="shared" si="20"/>
        <v>0</v>
      </c>
      <c r="L121">
        <f t="shared" si="21"/>
        <v>0</v>
      </c>
      <c r="M121" t="str">
        <f t="shared" si="22"/>
        <v>00.000</v>
      </c>
      <c r="N121" s="1" t="str">
        <f t="shared" si="23"/>
        <v>00000.000</v>
      </c>
      <c r="O121" t="str">
        <f>IF('Import OpenCPN'!W122&gt;0,"N","S")</f>
        <v>S</v>
      </c>
      <c r="P121" t="str">
        <f>IF('Import OpenCPN'!X122&gt;0,"E","W")</f>
        <v>W</v>
      </c>
    </row>
    <row r="122" spans="1:16" x14ac:dyDescent="0.2">
      <c r="A122">
        <f>'Import OpenCPN'!W123</f>
        <v>0</v>
      </c>
      <c r="B122">
        <f>'Import OpenCPN'!X123</f>
        <v>0</v>
      </c>
      <c r="C122">
        <f t="shared" si="12"/>
        <v>0</v>
      </c>
      <c r="D122" t="str">
        <f t="shared" si="13"/>
        <v>00</v>
      </c>
      <c r="E122">
        <f t="shared" si="14"/>
        <v>0</v>
      </c>
      <c r="F122">
        <f t="shared" si="15"/>
        <v>0</v>
      </c>
      <c r="G122" s="23" t="str">
        <f t="shared" si="16"/>
        <v>00.000</v>
      </c>
      <c r="H122" s="1" t="str">
        <f t="shared" si="17"/>
        <v>0000.000</v>
      </c>
      <c r="I122">
        <f t="shared" si="18"/>
        <v>0</v>
      </c>
      <c r="J122" t="str">
        <f t="shared" si="19"/>
        <v>000</v>
      </c>
      <c r="K122">
        <f t="shared" si="20"/>
        <v>0</v>
      </c>
      <c r="L122">
        <f t="shared" si="21"/>
        <v>0</v>
      </c>
      <c r="M122" t="str">
        <f t="shared" si="22"/>
        <v>00.000</v>
      </c>
      <c r="N122" s="1" t="str">
        <f t="shared" si="23"/>
        <v>00000.000</v>
      </c>
      <c r="O122" t="str">
        <f>IF('Import OpenCPN'!W123&gt;0,"N","S")</f>
        <v>S</v>
      </c>
      <c r="P122" t="str">
        <f>IF('Import OpenCPN'!X123&gt;0,"E","W")</f>
        <v>W</v>
      </c>
    </row>
    <row r="123" spans="1:16" x14ac:dyDescent="0.2">
      <c r="A123">
        <f>'Import OpenCPN'!W124</f>
        <v>0</v>
      </c>
      <c r="B123">
        <f>'Import OpenCPN'!X124</f>
        <v>0</v>
      </c>
      <c r="C123">
        <f t="shared" si="12"/>
        <v>0</v>
      </c>
      <c r="D123" t="str">
        <f t="shared" si="13"/>
        <v>00</v>
      </c>
      <c r="E123">
        <f t="shared" si="14"/>
        <v>0</v>
      </c>
      <c r="F123">
        <f t="shared" si="15"/>
        <v>0</v>
      </c>
      <c r="G123" s="23" t="str">
        <f t="shared" si="16"/>
        <v>00.000</v>
      </c>
      <c r="H123" s="1" t="str">
        <f t="shared" si="17"/>
        <v>0000.000</v>
      </c>
      <c r="I123">
        <f t="shared" si="18"/>
        <v>0</v>
      </c>
      <c r="J123" t="str">
        <f t="shared" si="19"/>
        <v>000</v>
      </c>
      <c r="K123">
        <f t="shared" si="20"/>
        <v>0</v>
      </c>
      <c r="L123">
        <f t="shared" si="21"/>
        <v>0</v>
      </c>
      <c r="M123" t="str">
        <f t="shared" si="22"/>
        <v>00.000</v>
      </c>
      <c r="N123" s="1" t="str">
        <f t="shared" si="23"/>
        <v>00000.000</v>
      </c>
      <c r="O123" t="str">
        <f>IF('Import OpenCPN'!W124&gt;0,"N","S")</f>
        <v>S</v>
      </c>
      <c r="P123" t="str">
        <f>IF('Import OpenCPN'!X124&gt;0,"E","W")</f>
        <v>W</v>
      </c>
    </row>
    <row r="124" spans="1:16" x14ac:dyDescent="0.2">
      <c r="A124">
        <f>'Import OpenCPN'!W125</f>
        <v>0</v>
      </c>
      <c r="B124">
        <f>'Import OpenCPN'!X125</f>
        <v>0</v>
      </c>
      <c r="C124">
        <f t="shared" si="12"/>
        <v>0</v>
      </c>
      <c r="D124" t="str">
        <f t="shared" si="13"/>
        <v>00</v>
      </c>
      <c r="E124">
        <f t="shared" si="14"/>
        <v>0</v>
      </c>
      <c r="F124">
        <f t="shared" si="15"/>
        <v>0</v>
      </c>
      <c r="G124" s="23" t="str">
        <f t="shared" si="16"/>
        <v>00.000</v>
      </c>
      <c r="H124" s="1" t="str">
        <f t="shared" si="17"/>
        <v>0000.000</v>
      </c>
      <c r="I124">
        <f t="shared" si="18"/>
        <v>0</v>
      </c>
      <c r="J124" t="str">
        <f t="shared" si="19"/>
        <v>000</v>
      </c>
      <c r="K124">
        <f t="shared" si="20"/>
        <v>0</v>
      </c>
      <c r="L124">
        <f t="shared" si="21"/>
        <v>0</v>
      </c>
      <c r="M124" t="str">
        <f t="shared" si="22"/>
        <v>00.000</v>
      </c>
      <c r="N124" s="1" t="str">
        <f t="shared" si="23"/>
        <v>00000.000</v>
      </c>
      <c r="O124" t="str">
        <f>IF('Import OpenCPN'!W125&gt;0,"N","S")</f>
        <v>S</v>
      </c>
      <c r="P124" t="str">
        <f>IF('Import OpenCPN'!X125&gt;0,"E","W")</f>
        <v>W</v>
      </c>
    </row>
    <row r="125" spans="1:16" x14ac:dyDescent="0.2">
      <c r="A125">
        <f>'Import OpenCPN'!W126</f>
        <v>0</v>
      </c>
      <c r="B125">
        <f>'Import OpenCPN'!X126</f>
        <v>0</v>
      </c>
      <c r="C125">
        <f t="shared" si="12"/>
        <v>0</v>
      </c>
      <c r="D125" t="str">
        <f t="shared" si="13"/>
        <v>00</v>
      </c>
      <c r="E125">
        <f t="shared" si="14"/>
        <v>0</v>
      </c>
      <c r="F125">
        <f t="shared" si="15"/>
        <v>0</v>
      </c>
      <c r="G125" s="23" t="str">
        <f t="shared" si="16"/>
        <v>00.000</v>
      </c>
      <c r="H125" s="1" t="str">
        <f t="shared" si="17"/>
        <v>0000.000</v>
      </c>
      <c r="I125">
        <f t="shared" si="18"/>
        <v>0</v>
      </c>
      <c r="J125" t="str">
        <f t="shared" si="19"/>
        <v>000</v>
      </c>
      <c r="K125">
        <f t="shared" si="20"/>
        <v>0</v>
      </c>
      <c r="L125">
        <f t="shared" si="21"/>
        <v>0</v>
      </c>
      <c r="M125" t="str">
        <f t="shared" si="22"/>
        <v>00.000</v>
      </c>
      <c r="N125" s="1" t="str">
        <f t="shared" si="23"/>
        <v>00000.000</v>
      </c>
      <c r="O125" t="str">
        <f>IF('Import OpenCPN'!W126&gt;0,"N","S")</f>
        <v>S</v>
      </c>
      <c r="P125" t="str">
        <f>IF('Import OpenCPN'!X126&gt;0,"E","W")</f>
        <v>W</v>
      </c>
    </row>
    <row r="126" spans="1:16" x14ac:dyDescent="0.2">
      <c r="A126">
        <f>'Import OpenCPN'!W127</f>
        <v>0</v>
      </c>
      <c r="B126">
        <f>'Import OpenCPN'!X127</f>
        <v>0</v>
      </c>
      <c r="C126">
        <f t="shared" si="12"/>
        <v>0</v>
      </c>
      <c r="D126" t="str">
        <f t="shared" si="13"/>
        <v>00</v>
      </c>
      <c r="E126">
        <f t="shared" si="14"/>
        <v>0</v>
      </c>
      <c r="F126">
        <f t="shared" si="15"/>
        <v>0</v>
      </c>
      <c r="G126" s="23" t="str">
        <f t="shared" si="16"/>
        <v>00.000</v>
      </c>
      <c r="H126" s="1" t="str">
        <f t="shared" si="17"/>
        <v>0000.000</v>
      </c>
      <c r="I126">
        <f t="shared" si="18"/>
        <v>0</v>
      </c>
      <c r="J126" t="str">
        <f t="shared" si="19"/>
        <v>000</v>
      </c>
      <c r="K126">
        <f t="shared" si="20"/>
        <v>0</v>
      </c>
      <c r="L126">
        <f t="shared" si="21"/>
        <v>0</v>
      </c>
      <c r="M126" t="str">
        <f t="shared" si="22"/>
        <v>00.000</v>
      </c>
      <c r="N126" s="1" t="str">
        <f t="shared" si="23"/>
        <v>00000.000</v>
      </c>
      <c r="O126" t="str">
        <f>IF('Import OpenCPN'!W127&gt;0,"N","S")</f>
        <v>S</v>
      </c>
      <c r="P126" t="str">
        <f>IF('Import OpenCPN'!X127&gt;0,"E","W")</f>
        <v>W</v>
      </c>
    </row>
    <row r="127" spans="1:16" x14ac:dyDescent="0.2">
      <c r="A127">
        <f>'Import OpenCPN'!W128</f>
        <v>0</v>
      </c>
      <c r="B127">
        <f>'Import OpenCPN'!X128</f>
        <v>0</v>
      </c>
      <c r="C127">
        <f t="shared" si="12"/>
        <v>0</v>
      </c>
      <c r="D127" t="str">
        <f t="shared" si="13"/>
        <v>00</v>
      </c>
      <c r="E127">
        <f t="shared" si="14"/>
        <v>0</v>
      </c>
      <c r="F127">
        <f t="shared" si="15"/>
        <v>0</v>
      </c>
      <c r="G127" s="23" t="str">
        <f t="shared" si="16"/>
        <v>00.000</v>
      </c>
      <c r="H127" s="1" t="str">
        <f t="shared" si="17"/>
        <v>0000.000</v>
      </c>
      <c r="I127">
        <f t="shared" si="18"/>
        <v>0</v>
      </c>
      <c r="J127" t="str">
        <f t="shared" si="19"/>
        <v>000</v>
      </c>
      <c r="K127">
        <f t="shared" si="20"/>
        <v>0</v>
      </c>
      <c r="L127">
        <f t="shared" si="21"/>
        <v>0</v>
      </c>
      <c r="M127" t="str">
        <f t="shared" si="22"/>
        <v>00.000</v>
      </c>
      <c r="N127" s="1" t="str">
        <f t="shared" si="23"/>
        <v>00000.000</v>
      </c>
      <c r="O127" t="str">
        <f>IF('Import OpenCPN'!W128&gt;0,"N","S")</f>
        <v>S</v>
      </c>
      <c r="P127" t="str">
        <f>IF('Import OpenCPN'!X128&gt;0,"E","W")</f>
        <v>W</v>
      </c>
    </row>
    <row r="128" spans="1:16" x14ac:dyDescent="0.2">
      <c r="A128">
        <f>'Import OpenCPN'!W129</f>
        <v>0</v>
      </c>
      <c r="B128">
        <f>'Import OpenCPN'!X129</f>
        <v>0</v>
      </c>
      <c r="C128">
        <f t="shared" si="12"/>
        <v>0</v>
      </c>
      <c r="D128" t="str">
        <f t="shared" si="13"/>
        <v>00</v>
      </c>
      <c r="E128">
        <f t="shared" si="14"/>
        <v>0</v>
      </c>
      <c r="F128">
        <f t="shared" si="15"/>
        <v>0</v>
      </c>
      <c r="G128" s="23" t="str">
        <f t="shared" si="16"/>
        <v>00.000</v>
      </c>
      <c r="H128" s="1" t="str">
        <f t="shared" si="17"/>
        <v>0000.000</v>
      </c>
      <c r="I128">
        <f t="shared" si="18"/>
        <v>0</v>
      </c>
      <c r="J128" t="str">
        <f t="shared" si="19"/>
        <v>000</v>
      </c>
      <c r="K128">
        <f t="shared" si="20"/>
        <v>0</v>
      </c>
      <c r="L128">
        <f t="shared" si="21"/>
        <v>0</v>
      </c>
      <c r="M128" t="str">
        <f t="shared" si="22"/>
        <v>00.000</v>
      </c>
      <c r="N128" s="1" t="str">
        <f t="shared" si="23"/>
        <v>00000.000</v>
      </c>
      <c r="O128" t="str">
        <f>IF('Import OpenCPN'!W129&gt;0,"N","S")</f>
        <v>S</v>
      </c>
      <c r="P128" t="str">
        <f>IF('Import OpenCPN'!X129&gt;0,"E","W")</f>
        <v>W</v>
      </c>
    </row>
    <row r="129" spans="1:16" x14ac:dyDescent="0.2">
      <c r="A129">
        <f>'Import OpenCPN'!W130</f>
        <v>0</v>
      </c>
      <c r="B129">
        <f>'Import OpenCPN'!X130</f>
        <v>0</v>
      </c>
      <c r="C129">
        <f t="shared" si="12"/>
        <v>0</v>
      </c>
      <c r="D129" t="str">
        <f t="shared" si="13"/>
        <v>00</v>
      </c>
      <c r="E129">
        <f t="shared" si="14"/>
        <v>0</v>
      </c>
      <c r="F129">
        <f t="shared" si="15"/>
        <v>0</v>
      </c>
      <c r="G129" s="23" t="str">
        <f t="shared" si="16"/>
        <v>00.000</v>
      </c>
      <c r="H129" s="1" t="str">
        <f t="shared" si="17"/>
        <v>0000.000</v>
      </c>
      <c r="I129">
        <f t="shared" si="18"/>
        <v>0</v>
      </c>
      <c r="J129" t="str">
        <f t="shared" si="19"/>
        <v>000</v>
      </c>
      <c r="K129">
        <f t="shared" si="20"/>
        <v>0</v>
      </c>
      <c r="L129">
        <f t="shared" si="21"/>
        <v>0</v>
      </c>
      <c r="M129" t="str">
        <f t="shared" si="22"/>
        <v>00.000</v>
      </c>
      <c r="N129" s="1" t="str">
        <f t="shared" si="23"/>
        <v>00000.000</v>
      </c>
      <c r="O129" t="str">
        <f>IF('Import OpenCPN'!W130&gt;0,"N","S")</f>
        <v>S</v>
      </c>
      <c r="P129" t="str">
        <f>IF('Import OpenCPN'!X130&gt;0,"E","W")</f>
        <v>W</v>
      </c>
    </row>
    <row r="130" spans="1:16" x14ac:dyDescent="0.2">
      <c r="A130">
        <f>'Import OpenCPN'!W131</f>
        <v>0</v>
      </c>
      <c r="B130">
        <f>'Import OpenCPN'!X131</f>
        <v>0</v>
      </c>
      <c r="C130">
        <f t="shared" ref="C130:C193" si="24">ABS(TRUNC(A130,0))</f>
        <v>0</v>
      </c>
      <c r="D130" t="str">
        <f t="shared" ref="D130:D193" si="25">TEXT(C130,"00")</f>
        <v>00</v>
      </c>
      <c r="E130">
        <f t="shared" ref="E130:E193" si="26">ABS(A130)-C130</f>
        <v>0</v>
      </c>
      <c r="F130">
        <f t="shared" ref="F130:F193" si="27">E130*60</f>
        <v>0</v>
      </c>
      <c r="G130" s="23" t="str">
        <f t="shared" ref="G130:G193" si="28">TEXT(F130,"00.000")</f>
        <v>00.000</v>
      </c>
      <c r="H130" s="1" t="str">
        <f t="shared" ref="H130:H193" si="29">D130&amp;G130</f>
        <v>0000.000</v>
      </c>
      <c r="I130">
        <f t="shared" ref="I130:I193" si="30">ABS(TRUNC(B130,0))</f>
        <v>0</v>
      </c>
      <c r="J130" t="str">
        <f t="shared" ref="J130:J193" si="31">TEXT(I130,"000")</f>
        <v>000</v>
      </c>
      <c r="K130">
        <f t="shared" ref="K130:K193" si="32">ABS(B130)-I130</f>
        <v>0</v>
      </c>
      <c r="L130">
        <f t="shared" ref="L130:L193" si="33">K130*60</f>
        <v>0</v>
      </c>
      <c r="M130" t="str">
        <f t="shared" ref="M130:M193" si="34">TEXT(L130,"00.000")</f>
        <v>00.000</v>
      </c>
      <c r="N130" s="1" t="str">
        <f t="shared" ref="N130:N193" si="35">J130&amp;M130</f>
        <v>00000.000</v>
      </c>
      <c r="O130" t="str">
        <f>IF('Import OpenCPN'!W131&gt;0,"N","S")</f>
        <v>S</v>
      </c>
      <c r="P130" t="str">
        <f>IF('Import OpenCPN'!X131&gt;0,"E","W")</f>
        <v>W</v>
      </c>
    </row>
    <row r="131" spans="1:16" x14ac:dyDescent="0.2">
      <c r="A131">
        <f>'Import OpenCPN'!W132</f>
        <v>0</v>
      </c>
      <c r="B131">
        <f>'Import OpenCPN'!X132</f>
        <v>0</v>
      </c>
      <c r="C131">
        <f t="shared" si="24"/>
        <v>0</v>
      </c>
      <c r="D131" t="str">
        <f t="shared" si="25"/>
        <v>00</v>
      </c>
      <c r="E131">
        <f t="shared" si="26"/>
        <v>0</v>
      </c>
      <c r="F131">
        <f t="shared" si="27"/>
        <v>0</v>
      </c>
      <c r="G131" s="23" t="str">
        <f t="shared" si="28"/>
        <v>00.000</v>
      </c>
      <c r="H131" s="1" t="str">
        <f t="shared" si="29"/>
        <v>0000.000</v>
      </c>
      <c r="I131">
        <f t="shared" si="30"/>
        <v>0</v>
      </c>
      <c r="J131" t="str">
        <f t="shared" si="31"/>
        <v>000</v>
      </c>
      <c r="K131">
        <f t="shared" si="32"/>
        <v>0</v>
      </c>
      <c r="L131">
        <f t="shared" si="33"/>
        <v>0</v>
      </c>
      <c r="M131" t="str">
        <f t="shared" si="34"/>
        <v>00.000</v>
      </c>
      <c r="N131" s="1" t="str">
        <f t="shared" si="35"/>
        <v>00000.000</v>
      </c>
      <c r="O131" t="str">
        <f>IF('Import OpenCPN'!W132&gt;0,"N","S")</f>
        <v>S</v>
      </c>
      <c r="P131" t="str">
        <f>IF('Import OpenCPN'!X132&gt;0,"E","W")</f>
        <v>W</v>
      </c>
    </row>
    <row r="132" spans="1:16" x14ac:dyDescent="0.2">
      <c r="A132">
        <f>'Import OpenCPN'!W133</f>
        <v>0</v>
      </c>
      <c r="B132">
        <f>'Import OpenCPN'!X133</f>
        <v>0</v>
      </c>
      <c r="C132">
        <f t="shared" si="24"/>
        <v>0</v>
      </c>
      <c r="D132" t="str">
        <f t="shared" si="25"/>
        <v>00</v>
      </c>
      <c r="E132">
        <f t="shared" si="26"/>
        <v>0</v>
      </c>
      <c r="F132">
        <f t="shared" si="27"/>
        <v>0</v>
      </c>
      <c r="G132" s="23" t="str">
        <f t="shared" si="28"/>
        <v>00.000</v>
      </c>
      <c r="H132" s="1" t="str">
        <f t="shared" si="29"/>
        <v>0000.000</v>
      </c>
      <c r="I132">
        <f t="shared" si="30"/>
        <v>0</v>
      </c>
      <c r="J132" t="str">
        <f t="shared" si="31"/>
        <v>000</v>
      </c>
      <c r="K132">
        <f t="shared" si="32"/>
        <v>0</v>
      </c>
      <c r="L132">
        <f t="shared" si="33"/>
        <v>0</v>
      </c>
      <c r="M132" t="str">
        <f t="shared" si="34"/>
        <v>00.000</v>
      </c>
      <c r="N132" s="1" t="str">
        <f t="shared" si="35"/>
        <v>00000.000</v>
      </c>
      <c r="O132" t="str">
        <f>IF('Import OpenCPN'!W133&gt;0,"N","S")</f>
        <v>S</v>
      </c>
      <c r="P132" t="str">
        <f>IF('Import OpenCPN'!X133&gt;0,"E","W")</f>
        <v>W</v>
      </c>
    </row>
    <row r="133" spans="1:16" x14ac:dyDescent="0.2">
      <c r="A133">
        <f>'Import OpenCPN'!W134</f>
        <v>0</v>
      </c>
      <c r="B133">
        <f>'Import OpenCPN'!X134</f>
        <v>0</v>
      </c>
      <c r="C133">
        <f t="shared" si="24"/>
        <v>0</v>
      </c>
      <c r="D133" t="str">
        <f t="shared" si="25"/>
        <v>00</v>
      </c>
      <c r="E133">
        <f t="shared" si="26"/>
        <v>0</v>
      </c>
      <c r="F133">
        <f t="shared" si="27"/>
        <v>0</v>
      </c>
      <c r="G133" s="23" t="str">
        <f t="shared" si="28"/>
        <v>00.000</v>
      </c>
      <c r="H133" s="1" t="str">
        <f t="shared" si="29"/>
        <v>0000.000</v>
      </c>
      <c r="I133">
        <f t="shared" si="30"/>
        <v>0</v>
      </c>
      <c r="J133" t="str">
        <f t="shared" si="31"/>
        <v>000</v>
      </c>
      <c r="K133">
        <f t="shared" si="32"/>
        <v>0</v>
      </c>
      <c r="L133">
        <f t="shared" si="33"/>
        <v>0</v>
      </c>
      <c r="M133" t="str">
        <f t="shared" si="34"/>
        <v>00.000</v>
      </c>
      <c r="N133" s="1" t="str">
        <f t="shared" si="35"/>
        <v>00000.000</v>
      </c>
      <c r="O133" t="str">
        <f>IF('Import OpenCPN'!W134&gt;0,"N","S")</f>
        <v>S</v>
      </c>
      <c r="P133" t="str">
        <f>IF('Import OpenCPN'!X134&gt;0,"E","W")</f>
        <v>W</v>
      </c>
    </row>
    <row r="134" spans="1:16" x14ac:dyDescent="0.2">
      <c r="A134">
        <f>'Import OpenCPN'!W135</f>
        <v>0</v>
      </c>
      <c r="B134">
        <f>'Import OpenCPN'!X135</f>
        <v>0</v>
      </c>
      <c r="C134">
        <f t="shared" si="24"/>
        <v>0</v>
      </c>
      <c r="D134" t="str">
        <f t="shared" si="25"/>
        <v>00</v>
      </c>
      <c r="E134">
        <f t="shared" si="26"/>
        <v>0</v>
      </c>
      <c r="F134">
        <f t="shared" si="27"/>
        <v>0</v>
      </c>
      <c r="G134" s="23" t="str">
        <f t="shared" si="28"/>
        <v>00.000</v>
      </c>
      <c r="H134" s="1" t="str">
        <f t="shared" si="29"/>
        <v>0000.000</v>
      </c>
      <c r="I134">
        <f t="shared" si="30"/>
        <v>0</v>
      </c>
      <c r="J134" t="str">
        <f t="shared" si="31"/>
        <v>000</v>
      </c>
      <c r="K134">
        <f t="shared" si="32"/>
        <v>0</v>
      </c>
      <c r="L134">
        <f t="shared" si="33"/>
        <v>0</v>
      </c>
      <c r="M134" t="str">
        <f t="shared" si="34"/>
        <v>00.000</v>
      </c>
      <c r="N134" s="1" t="str">
        <f t="shared" si="35"/>
        <v>00000.000</v>
      </c>
      <c r="O134" t="str">
        <f>IF('Import OpenCPN'!W135&gt;0,"N","S")</f>
        <v>S</v>
      </c>
      <c r="P134" t="str">
        <f>IF('Import OpenCPN'!X135&gt;0,"E","W")</f>
        <v>W</v>
      </c>
    </row>
    <row r="135" spans="1:16" x14ac:dyDescent="0.2">
      <c r="A135">
        <f>'Import OpenCPN'!W136</f>
        <v>0</v>
      </c>
      <c r="B135">
        <f>'Import OpenCPN'!X136</f>
        <v>0</v>
      </c>
      <c r="C135">
        <f t="shared" si="24"/>
        <v>0</v>
      </c>
      <c r="D135" t="str">
        <f t="shared" si="25"/>
        <v>00</v>
      </c>
      <c r="E135">
        <f t="shared" si="26"/>
        <v>0</v>
      </c>
      <c r="F135">
        <f t="shared" si="27"/>
        <v>0</v>
      </c>
      <c r="G135" s="23" t="str">
        <f t="shared" si="28"/>
        <v>00.000</v>
      </c>
      <c r="H135" s="1" t="str">
        <f t="shared" si="29"/>
        <v>0000.000</v>
      </c>
      <c r="I135">
        <f t="shared" si="30"/>
        <v>0</v>
      </c>
      <c r="J135" t="str">
        <f t="shared" si="31"/>
        <v>000</v>
      </c>
      <c r="K135">
        <f t="shared" si="32"/>
        <v>0</v>
      </c>
      <c r="L135">
        <f t="shared" si="33"/>
        <v>0</v>
      </c>
      <c r="M135" t="str">
        <f t="shared" si="34"/>
        <v>00.000</v>
      </c>
      <c r="N135" s="1" t="str">
        <f t="shared" si="35"/>
        <v>00000.000</v>
      </c>
      <c r="O135" t="str">
        <f>IF('Import OpenCPN'!W136&gt;0,"N","S")</f>
        <v>S</v>
      </c>
      <c r="P135" t="str">
        <f>IF('Import OpenCPN'!X136&gt;0,"E","W")</f>
        <v>W</v>
      </c>
    </row>
    <row r="136" spans="1:16" x14ac:dyDescent="0.2">
      <c r="A136">
        <f>'Import OpenCPN'!W137</f>
        <v>0</v>
      </c>
      <c r="B136">
        <f>'Import OpenCPN'!X137</f>
        <v>0</v>
      </c>
      <c r="C136">
        <f t="shared" si="24"/>
        <v>0</v>
      </c>
      <c r="D136" t="str">
        <f t="shared" si="25"/>
        <v>00</v>
      </c>
      <c r="E136">
        <f t="shared" si="26"/>
        <v>0</v>
      </c>
      <c r="F136">
        <f t="shared" si="27"/>
        <v>0</v>
      </c>
      <c r="G136" s="23" t="str">
        <f t="shared" si="28"/>
        <v>00.000</v>
      </c>
      <c r="H136" s="1" t="str">
        <f t="shared" si="29"/>
        <v>0000.000</v>
      </c>
      <c r="I136">
        <f t="shared" si="30"/>
        <v>0</v>
      </c>
      <c r="J136" t="str">
        <f t="shared" si="31"/>
        <v>000</v>
      </c>
      <c r="K136">
        <f t="shared" si="32"/>
        <v>0</v>
      </c>
      <c r="L136">
        <f t="shared" si="33"/>
        <v>0</v>
      </c>
      <c r="M136" t="str">
        <f t="shared" si="34"/>
        <v>00.000</v>
      </c>
      <c r="N136" s="1" t="str">
        <f t="shared" si="35"/>
        <v>00000.000</v>
      </c>
      <c r="O136" t="str">
        <f>IF('Import OpenCPN'!W137&gt;0,"N","S")</f>
        <v>S</v>
      </c>
      <c r="P136" t="str">
        <f>IF('Import OpenCPN'!X137&gt;0,"E","W")</f>
        <v>W</v>
      </c>
    </row>
    <row r="137" spans="1:16" x14ac:dyDescent="0.2">
      <c r="A137">
        <f>'Import OpenCPN'!W138</f>
        <v>0</v>
      </c>
      <c r="B137">
        <f>'Import OpenCPN'!X138</f>
        <v>0</v>
      </c>
      <c r="C137">
        <f t="shared" si="24"/>
        <v>0</v>
      </c>
      <c r="D137" t="str">
        <f t="shared" si="25"/>
        <v>00</v>
      </c>
      <c r="E137">
        <f t="shared" si="26"/>
        <v>0</v>
      </c>
      <c r="F137">
        <f t="shared" si="27"/>
        <v>0</v>
      </c>
      <c r="G137" s="23" t="str">
        <f t="shared" si="28"/>
        <v>00.000</v>
      </c>
      <c r="H137" s="1" t="str">
        <f t="shared" si="29"/>
        <v>0000.000</v>
      </c>
      <c r="I137">
        <f t="shared" si="30"/>
        <v>0</v>
      </c>
      <c r="J137" t="str">
        <f t="shared" si="31"/>
        <v>000</v>
      </c>
      <c r="K137">
        <f t="shared" si="32"/>
        <v>0</v>
      </c>
      <c r="L137">
        <f t="shared" si="33"/>
        <v>0</v>
      </c>
      <c r="M137" t="str">
        <f t="shared" si="34"/>
        <v>00.000</v>
      </c>
      <c r="N137" s="1" t="str">
        <f t="shared" si="35"/>
        <v>00000.000</v>
      </c>
      <c r="O137" t="str">
        <f>IF('Import OpenCPN'!W138&gt;0,"N","S")</f>
        <v>S</v>
      </c>
      <c r="P137" t="str">
        <f>IF('Import OpenCPN'!X138&gt;0,"E","W")</f>
        <v>W</v>
      </c>
    </row>
    <row r="138" spans="1:16" x14ac:dyDescent="0.2">
      <c r="A138">
        <f>'Import OpenCPN'!W139</f>
        <v>0</v>
      </c>
      <c r="B138">
        <f>'Import OpenCPN'!X139</f>
        <v>0</v>
      </c>
      <c r="C138">
        <f t="shared" si="24"/>
        <v>0</v>
      </c>
      <c r="D138" t="str">
        <f t="shared" si="25"/>
        <v>00</v>
      </c>
      <c r="E138">
        <f t="shared" si="26"/>
        <v>0</v>
      </c>
      <c r="F138">
        <f t="shared" si="27"/>
        <v>0</v>
      </c>
      <c r="G138" s="23" t="str">
        <f t="shared" si="28"/>
        <v>00.000</v>
      </c>
      <c r="H138" s="1" t="str">
        <f t="shared" si="29"/>
        <v>0000.000</v>
      </c>
      <c r="I138">
        <f t="shared" si="30"/>
        <v>0</v>
      </c>
      <c r="J138" t="str">
        <f t="shared" si="31"/>
        <v>000</v>
      </c>
      <c r="K138">
        <f t="shared" si="32"/>
        <v>0</v>
      </c>
      <c r="L138">
        <f t="shared" si="33"/>
        <v>0</v>
      </c>
      <c r="M138" t="str">
        <f t="shared" si="34"/>
        <v>00.000</v>
      </c>
      <c r="N138" s="1" t="str">
        <f t="shared" si="35"/>
        <v>00000.000</v>
      </c>
      <c r="O138" t="str">
        <f>IF('Import OpenCPN'!W139&gt;0,"N","S")</f>
        <v>S</v>
      </c>
      <c r="P138" t="str">
        <f>IF('Import OpenCPN'!X139&gt;0,"E","W")</f>
        <v>W</v>
      </c>
    </row>
    <row r="139" spans="1:16" x14ac:dyDescent="0.2">
      <c r="A139">
        <f>'Import OpenCPN'!W140</f>
        <v>0</v>
      </c>
      <c r="B139">
        <f>'Import OpenCPN'!X140</f>
        <v>0</v>
      </c>
      <c r="C139">
        <f t="shared" si="24"/>
        <v>0</v>
      </c>
      <c r="D139" t="str">
        <f t="shared" si="25"/>
        <v>00</v>
      </c>
      <c r="E139">
        <f t="shared" si="26"/>
        <v>0</v>
      </c>
      <c r="F139">
        <f t="shared" si="27"/>
        <v>0</v>
      </c>
      <c r="G139" s="23" t="str">
        <f t="shared" si="28"/>
        <v>00.000</v>
      </c>
      <c r="H139" s="1" t="str">
        <f t="shared" si="29"/>
        <v>0000.000</v>
      </c>
      <c r="I139">
        <f t="shared" si="30"/>
        <v>0</v>
      </c>
      <c r="J139" t="str">
        <f t="shared" si="31"/>
        <v>000</v>
      </c>
      <c r="K139">
        <f t="shared" si="32"/>
        <v>0</v>
      </c>
      <c r="L139">
        <f t="shared" si="33"/>
        <v>0</v>
      </c>
      <c r="M139" t="str">
        <f t="shared" si="34"/>
        <v>00.000</v>
      </c>
      <c r="N139" s="1" t="str">
        <f t="shared" si="35"/>
        <v>00000.000</v>
      </c>
      <c r="O139" t="str">
        <f>IF('Import OpenCPN'!W140&gt;0,"N","S")</f>
        <v>S</v>
      </c>
      <c r="P139" t="str">
        <f>IF('Import OpenCPN'!X140&gt;0,"E","W")</f>
        <v>W</v>
      </c>
    </row>
    <row r="140" spans="1:16" x14ac:dyDescent="0.2">
      <c r="A140">
        <f>'Import OpenCPN'!W141</f>
        <v>0</v>
      </c>
      <c r="B140">
        <f>'Import OpenCPN'!X141</f>
        <v>0</v>
      </c>
      <c r="C140">
        <f t="shared" si="24"/>
        <v>0</v>
      </c>
      <c r="D140" t="str">
        <f t="shared" si="25"/>
        <v>00</v>
      </c>
      <c r="E140">
        <f t="shared" si="26"/>
        <v>0</v>
      </c>
      <c r="F140">
        <f t="shared" si="27"/>
        <v>0</v>
      </c>
      <c r="G140" s="23" t="str">
        <f t="shared" si="28"/>
        <v>00.000</v>
      </c>
      <c r="H140" s="1" t="str">
        <f t="shared" si="29"/>
        <v>0000.000</v>
      </c>
      <c r="I140">
        <f t="shared" si="30"/>
        <v>0</v>
      </c>
      <c r="J140" t="str">
        <f t="shared" si="31"/>
        <v>000</v>
      </c>
      <c r="K140">
        <f t="shared" si="32"/>
        <v>0</v>
      </c>
      <c r="L140">
        <f t="shared" si="33"/>
        <v>0</v>
      </c>
      <c r="M140" t="str">
        <f t="shared" si="34"/>
        <v>00.000</v>
      </c>
      <c r="N140" s="1" t="str">
        <f t="shared" si="35"/>
        <v>00000.000</v>
      </c>
      <c r="O140" t="str">
        <f>IF('Import OpenCPN'!W141&gt;0,"N","S")</f>
        <v>S</v>
      </c>
      <c r="P140" t="str">
        <f>IF('Import OpenCPN'!X141&gt;0,"E","W")</f>
        <v>W</v>
      </c>
    </row>
    <row r="141" spans="1:16" x14ac:dyDescent="0.2">
      <c r="A141">
        <f>'Import OpenCPN'!W142</f>
        <v>0</v>
      </c>
      <c r="B141">
        <f>'Import OpenCPN'!X142</f>
        <v>0</v>
      </c>
      <c r="C141">
        <f t="shared" si="24"/>
        <v>0</v>
      </c>
      <c r="D141" t="str">
        <f t="shared" si="25"/>
        <v>00</v>
      </c>
      <c r="E141">
        <f t="shared" si="26"/>
        <v>0</v>
      </c>
      <c r="F141">
        <f t="shared" si="27"/>
        <v>0</v>
      </c>
      <c r="G141" s="23" t="str">
        <f t="shared" si="28"/>
        <v>00.000</v>
      </c>
      <c r="H141" s="1" t="str">
        <f t="shared" si="29"/>
        <v>0000.000</v>
      </c>
      <c r="I141">
        <f t="shared" si="30"/>
        <v>0</v>
      </c>
      <c r="J141" t="str">
        <f t="shared" si="31"/>
        <v>000</v>
      </c>
      <c r="K141">
        <f t="shared" si="32"/>
        <v>0</v>
      </c>
      <c r="L141">
        <f t="shared" si="33"/>
        <v>0</v>
      </c>
      <c r="M141" t="str">
        <f t="shared" si="34"/>
        <v>00.000</v>
      </c>
      <c r="N141" s="1" t="str">
        <f t="shared" si="35"/>
        <v>00000.000</v>
      </c>
      <c r="O141" t="str">
        <f>IF('Import OpenCPN'!W142&gt;0,"N","S")</f>
        <v>S</v>
      </c>
      <c r="P141" t="str">
        <f>IF('Import OpenCPN'!X142&gt;0,"E","W")</f>
        <v>W</v>
      </c>
    </row>
    <row r="142" spans="1:16" x14ac:dyDescent="0.2">
      <c r="A142">
        <f>'Import OpenCPN'!W143</f>
        <v>0</v>
      </c>
      <c r="B142">
        <f>'Import OpenCPN'!X143</f>
        <v>0</v>
      </c>
      <c r="C142">
        <f t="shared" si="24"/>
        <v>0</v>
      </c>
      <c r="D142" t="str">
        <f t="shared" si="25"/>
        <v>00</v>
      </c>
      <c r="E142">
        <f t="shared" si="26"/>
        <v>0</v>
      </c>
      <c r="F142">
        <f t="shared" si="27"/>
        <v>0</v>
      </c>
      <c r="G142" s="23" t="str">
        <f t="shared" si="28"/>
        <v>00.000</v>
      </c>
      <c r="H142" s="1" t="str">
        <f t="shared" si="29"/>
        <v>0000.000</v>
      </c>
      <c r="I142">
        <f t="shared" si="30"/>
        <v>0</v>
      </c>
      <c r="J142" t="str">
        <f t="shared" si="31"/>
        <v>000</v>
      </c>
      <c r="K142">
        <f t="shared" si="32"/>
        <v>0</v>
      </c>
      <c r="L142">
        <f t="shared" si="33"/>
        <v>0</v>
      </c>
      <c r="M142" t="str">
        <f t="shared" si="34"/>
        <v>00.000</v>
      </c>
      <c r="N142" s="1" t="str">
        <f t="shared" si="35"/>
        <v>00000.000</v>
      </c>
      <c r="O142" t="str">
        <f>IF('Import OpenCPN'!W143&gt;0,"N","S")</f>
        <v>S</v>
      </c>
      <c r="P142" t="str">
        <f>IF('Import OpenCPN'!X143&gt;0,"E","W")</f>
        <v>W</v>
      </c>
    </row>
    <row r="143" spans="1:16" x14ac:dyDescent="0.2">
      <c r="A143">
        <f>'Import OpenCPN'!W144</f>
        <v>0</v>
      </c>
      <c r="B143">
        <f>'Import OpenCPN'!X144</f>
        <v>0</v>
      </c>
      <c r="C143">
        <f t="shared" si="24"/>
        <v>0</v>
      </c>
      <c r="D143" t="str">
        <f t="shared" si="25"/>
        <v>00</v>
      </c>
      <c r="E143">
        <f t="shared" si="26"/>
        <v>0</v>
      </c>
      <c r="F143">
        <f t="shared" si="27"/>
        <v>0</v>
      </c>
      <c r="G143" s="23" t="str">
        <f t="shared" si="28"/>
        <v>00.000</v>
      </c>
      <c r="H143" s="1" t="str">
        <f t="shared" si="29"/>
        <v>0000.000</v>
      </c>
      <c r="I143">
        <f t="shared" si="30"/>
        <v>0</v>
      </c>
      <c r="J143" t="str">
        <f t="shared" si="31"/>
        <v>000</v>
      </c>
      <c r="K143">
        <f t="shared" si="32"/>
        <v>0</v>
      </c>
      <c r="L143">
        <f t="shared" si="33"/>
        <v>0</v>
      </c>
      <c r="M143" t="str">
        <f t="shared" si="34"/>
        <v>00.000</v>
      </c>
      <c r="N143" s="1" t="str">
        <f t="shared" si="35"/>
        <v>00000.000</v>
      </c>
      <c r="O143" t="str">
        <f>IF('Import OpenCPN'!W144&gt;0,"N","S")</f>
        <v>S</v>
      </c>
      <c r="P143" t="str">
        <f>IF('Import OpenCPN'!X144&gt;0,"E","W")</f>
        <v>W</v>
      </c>
    </row>
    <row r="144" spans="1:16" x14ac:dyDescent="0.2">
      <c r="A144">
        <f>'Import OpenCPN'!W145</f>
        <v>0</v>
      </c>
      <c r="B144">
        <f>'Import OpenCPN'!X145</f>
        <v>0</v>
      </c>
      <c r="C144">
        <f t="shared" si="24"/>
        <v>0</v>
      </c>
      <c r="D144" t="str">
        <f t="shared" si="25"/>
        <v>00</v>
      </c>
      <c r="E144">
        <f t="shared" si="26"/>
        <v>0</v>
      </c>
      <c r="F144">
        <f t="shared" si="27"/>
        <v>0</v>
      </c>
      <c r="G144" s="23" t="str">
        <f t="shared" si="28"/>
        <v>00.000</v>
      </c>
      <c r="H144" s="1" t="str">
        <f t="shared" si="29"/>
        <v>0000.000</v>
      </c>
      <c r="I144">
        <f t="shared" si="30"/>
        <v>0</v>
      </c>
      <c r="J144" t="str">
        <f t="shared" si="31"/>
        <v>000</v>
      </c>
      <c r="K144">
        <f t="shared" si="32"/>
        <v>0</v>
      </c>
      <c r="L144">
        <f t="shared" si="33"/>
        <v>0</v>
      </c>
      <c r="M144" t="str">
        <f t="shared" si="34"/>
        <v>00.000</v>
      </c>
      <c r="N144" s="1" t="str">
        <f t="shared" si="35"/>
        <v>00000.000</v>
      </c>
      <c r="O144" t="str">
        <f>IF('Import OpenCPN'!W145&gt;0,"N","S")</f>
        <v>S</v>
      </c>
      <c r="P144" t="str">
        <f>IF('Import OpenCPN'!X145&gt;0,"E","W")</f>
        <v>W</v>
      </c>
    </row>
    <row r="145" spans="1:16" x14ac:dyDescent="0.2">
      <c r="A145">
        <f>'Import OpenCPN'!W146</f>
        <v>0</v>
      </c>
      <c r="B145">
        <f>'Import OpenCPN'!X146</f>
        <v>0</v>
      </c>
      <c r="C145">
        <f t="shared" si="24"/>
        <v>0</v>
      </c>
      <c r="D145" t="str">
        <f t="shared" si="25"/>
        <v>00</v>
      </c>
      <c r="E145">
        <f t="shared" si="26"/>
        <v>0</v>
      </c>
      <c r="F145">
        <f t="shared" si="27"/>
        <v>0</v>
      </c>
      <c r="G145" s="23" t="str">
        <f t="shared" si="28"/>
        <v>00.000</v>
      </c>
      <c r="H145" s="1" t="str">
        <f t="shared" si="29"/>
        <v>0000.000</v>
      </c>
      <c r="I145">
        <f t="shared" si="30"/>
        <v>0</v>
      </c>
      <c r="J145" t="str">
        <f t="shared" si="31"/>
        <v>000</v>
      </c>
      <c r="K145">
        <f t="shared" si="32"/>
        <v>0</v>
      </c>
      <c r="L145">
        <f t="shared" si="33"/>
        <v>0</v>
      </c>
      <c r="M145" t="str">
        <f t="shared" si="34"/>
        <v>00.000</v>
      </c>
      <c r="N145" s="1" t="str">
        <f t="shared" si="35"/>
        <v>00000.000</v>
      </c>
      <c r="O145" t="str">
        <f>IF('Import OpenCPN'!W146&gt;0,"N","S")</f>
        <v>S</v>
      </c>
      <c r="P145" t="str">
        <f>IF('Import OpenCPN'!X146&gt;0,"E","W")</f>
        <v>W</v>
      </c>
    </row>
    <row r="146" spans="1:16" x14ac:dyDescent="0.2">
      <c r="A146">
        <f>'Import OpenCPN'!W147</f>
        <v>0</v>
      </c>
      <c r="B146">
        <f>'Import OpenCPN'!X147</f>
        <v>0</v>
      </c>
      <c r="C146">
        <f t="shared" si="24"/>
        <v>0</v>
      </c>
      <c r="D146" t="str">
        <f t="shared" si="25"/>
        <v>00</v>
      </c>
      <c r="E146">
        <f t="shared" si="26"/>
        <v>0</v>
      </c>
      <c r="F146">
        <f t="shared" si="27"/>
        <v>0</v>
      </c>
      <c r="G146" s="23" t="str">
        <f t="shared" si="28"/>
        <v>00.000</v>
      </c>
      <c r="H146" s="1" t="str">
        <f t="shared" si="29"/>
        <v>0000.000</v>
      </c>
      <c r="I146">
        <f t="shared" si="30"/>
        <v>0</v>
      </c>
      <c r="J146" t="str">
        <f t="shared" si="31"/>
        <v>000</v>
      </c>
      <c r="K146">
        <f t="shared" si="32"/>
        <v>0</v>
      </c>
      <c r="L146">
        <f t="shared" si="33"/>
        <v>0</v>
      </c>
      <c r="M146" t="str">
        <f t="shared" si="34"/>
        <v>00.000</v>
      </c>
      <c r="N146" s="1" t="str">
        <f t="shared" si="35"/>
        <v>00000.000</v>
      </c>
      <c r="O146" t="str">
        <f>IF('Import OpenCPN'!W147&gt;0,"N","S")</f>
        <v>S</v>
      </c>
      <c r="P146" t="str">
        <f>IF('Import OpenCPN'!X147&gt;0,"E","W")</f>
        <v>W</v>
      </c>
    </row>
    <row r="147" spans="1:16" x14ac:dyDescent="0.2">
      <c r="A147">
        <f>'Import OpenCPN'!W148</f>
        <v>0</v>
      </c>
      <c r="B147">
        <f>'Import OpenCPN'!X148</f>
        <v>0</v>
      </c>
      <c r="C147">
        <f t="shared" si="24"/>
        <v>0</v>
      </c>
      <c r="D147" t="str">
        <f t="shared" si="25"/>
        <v>00</v>
      </c>
      <c r="E147">
        <f t="shared" si="26"/>
        <v>0</v>
      </c>
      <c r="F147">
        <f t="shared" si="27"/>
        <v>0</v>
      </c>
      <c r="G147" s="23" t="str">
        <f t="shared" si="28"/>
        <v>00.000</v>
      </c>
      <c r="H147" s="1" t="str">
        <f t="shared" si="29"/>
        <v>0000.000</v>
      </c>
      <c r="I147">
        <f t="shared" si="30"/>
        <v>0</v>
      </c>
      <c r="J147" t="str">
        <f t="shared" si="31"/>
        <v>000</v>
      </c>
      <c r="K147">
        <f t="shared" si="32"/>
        <v>0</v>
      </c>
      <c r="L147">
        <f t="shared" si="33"/>
        <v>0</v>
      </c>
      <c r="M147" t="str">
        <f t="shared" si="34"/>
        <v>00.000</v>
      </c>
      <c r="N147" s="1" t="str">
        <f t="shared" si="35"/>
        <v>00000.000</v>
      </c>
      <c r="O147" t="str">
        <f>IF('Import OpenCPN'!W148&gt;0,"N","S")</f>
        <v>S</v>
      </c>
      <c r="P147" t="str">
        <f>IF('Import OpenCPN'!X148&gt;0,"E","W")</f>
        <v>W</v>
      </c>
    </row>
    <row r="148" spans="1:16" x14ac:dyDescent="0.2">
      <c r="A148">
        <f>'Import OpenCPN'!W149</f>
        <v>0</v>
      </c>
      <c r="B148">
        <f>'Import OpenCPN'!X149</f>
        <v>0</v>
      </c>
      <c r="C148">
        <f t="shared" si="24"/>
        <v>0</v>
      </c>
      <c r="D148" t="str">
        <f t="shared" si="25"/>
        <v>00</v>
      </c>
      <c r="E148">
        <f t="shared" si="26"/>
        <v>0</v>
      </c>
      <c r="F148">
        <f t="shared" si="27"/>
        <v>0</v>
      </c>
      <c r="G148" s="23" t="str">
        <f t="shared" si="28"/>
        <v>00.000</v>
      </c>
      <c r="H148" s="1" t="str">
        <f t="shared" si="29"/>
        <v>0000.000</v>
      </c>
      <c r="I148">
        <f t="shared" si="30"/>
        <v>0</v>
      </c>
      <c r="J148" t="str">
        <f t="shared" si="31"/>
        <v>000</v>
      </c>
      <c r="K148">
        <f t="shared" si="32"/>
        <v>0</v>
      </c>
      <c r="L148">
        <f t="shared" si="33"/>
        <v>0</v>
      </c>
      <c r="M148" t="str">
        <f t="shared" si="34"/>
        <v>00.000</v>
      </c>
      <c r="N148" s="1" t="str">
        <f t="shared" si="35"/>
        <v>00000.000</v>
      </c>
      <c r="O148" t="str">
        <f>IF('Import OpenCPN'!W149&gt;0,"N","S")</f>
        <v>S</v>
      </c>
      <c r="P148" t="str">
        <f>IF('Import OpenCPN'!X149&gt;0,"E","W")</f>
        <v>W</v>
      </c>
    </row>
    <row r="149" spans="1:16" x14ac:dyDescent="0.2">
      <c r="A149">
        <f>'Import OpenCPN'!W150</f>
        <v>0</v>
      </c>
      <c r="B149">
        <f>'Import OpenCPN'!X150</f>
        <v>0</v>
      </c>
      <c r="C149">
        <f t="shared" si="24"/>
        <v>0</v>
      </c>
      <c r="D149" t="str">
        <f t="shared" si="25"/>
        <v>00</v>
      </c>
      <c r="E149">
        <f t="shared" si="26"/>
        <v>0</v>
      </c>
      <c r="F149">
        <f t="shared" si="27"/>
        <v>0</v>
      </c>
      <c r="G149" s="23" t="str">
        <f t="shared" si="28"/>
        <v>00.000</v>
      </c>
      <c r="H149" s="1" t="str">
        <f t="shared" si="29"/>
        <v>0000.000</v>
      </c>
      <c r="I149">
        <f t="shared" si="30"/>
        <v>0</v>
      </c>
      <c r="J149" t="str">
        <f t="shared" si="31"/>
        <v>000</v>
      </c>
      <c r="K149">
        <f t="shared" si="32"/>
        <v>0</v>
      </c>
      <c r="L149">
        <f t="shared" si="33"/>
        <v>0</v>
      </c>
      <c r="M149" t="str">
        <f t="shared" si="34"/>
        <v>00.000</v>
      </c>
      <c r="N149" s="1" t="str">
        <f t="shared" si="35"/>
        <v>00000.000</v>
      </c>
      <c r="O149" t="str">
        <f>IF('Import OpenCPN'!W150&gt;0,"N","S")</f>
        <v>S</v>
      </c>
      <c r="P149" t="str">
        <f>IF('Import OpenCPN'!X150&gt;0,"E","W")</f>
        <v>W</v>
      </c>
    </row>
    <row r="150" spans="1:16" x14ac:dyDescent="0.2">
      <c r="A150">
        <f>'Import OpenCPN'!W151</f>
        <v>0</v>
      </c>
      <c r="B150">
        <f>'Import OpenCPN'!X151</f>
        <v>0</v>
      </c>
      <c r="C150">
        <f t="shared" si="24"/>
        <v>0</v>
      </c>
      <c r="D150" t="str">
        <f t="shared" si="25"/>
        <v>00</v>
      </c>
      <c r="E150">
        <f t="shared" si="26"/>
        <v>0</v>
      </c>
      <c r="F150">
        <f t="shared" si="27"/>
        <v>0</v>
      </c>
      <c r="G150" s="23" t="str">
        <f t="shared" si="28"/>
        <v>00.000</v>
      </c>
      <c r="H150" s="1" t="str">
        <f t="shared" si="29"/>
        <v>0000.000</v>
      </c>
      <c r="I150">
        <f t="shared" si="30"/>
        <v>0</v>
      </c>
      <c r="J150" t="str">
        <f t="shared" si="31"/>
        <v>000</v>
      </c>
      <c r="K150">
        <f t="shared" si="32"/>
        <v>0</v>
      </c>
      <c r="L150">
        <f t="shared" si="33"/>
        <v>0</v>
      </c>
      <c r="M150" t="str">
        <f t="shared" si="34"/>
        <v>00.000</v>
      </c>
      <c r="N150" s="1" t="str">
        <f t="shared" si="35"/>
        <v>00000.000</v>
      </c>
      <c r="O150" t="str">
        <f>IF('Import OpenCPN'!W151&gt;0,"N","S")</f>
        <v>S</v>
      </c>
      <c r="P150" t="str">
        <f>IF('Import OpenCPN'!X151&gt;0,"E","W")</f>
        <v>W</v>
      </c>
    </row>
    <row r="151" spans="1:16" x14ac:dyDescent="0.2">
      <c r="A151">
        <f>'Import OpenCPN'!W152</f>
        <v>0</v>
      </c>
      <c r="B151">
        <f>'Import OpenCPN'!X152</f>
        <v>0</v>
      </c>
      <c r="C151">
        <f t="shared" si="24"/>
        <v>0</v>
      </c>
      <c r="D151" t="str">
        <f t="shared" si="25"/>
        <v>00</v>
      </c>
      <c r="E151">
        <f t="shared" si="26"/>
        <v>0</v>
      </c>
      <c r="F151">
        <f t="shared" si="27"/>
        <v>0</v>
      </c>
      <c r="G151" s="23" t="str">
        <f t="shared" si="28"/>
        <v>00.000</v>
      </c>
      <c r="H151" s="1" t="str">
        <f t="shared" si="29"/>
        <v>0000.000</v>
      </c>
      <c r="I151">
        <f t="shared" si="30"/>
        <v>0</v>
      </c>
      <c r="J151" t="str">
        <f t="shared" si="31"/>
        <v>000</v>
      </c>
      <c r="K151">
        <f t="shared" si="32"/>
        <v>0</v>
      </c>
      <c r="L151">
        <f t="shared" si="33"/>
        <v>0</v>
      </c>
      <c r="M151" t="str">
        <f t="shared" si="34"/>
        <v>00.000</v>
      </c>
      <c r="N151" s="1" t="str">
        <f t="shared" si="35"/>
        <v>00000.000</v>
      </c>
      <c r="O151" t="str">
        <f>IF('Import OpenCPN'!W152&gt;0,"N","S")</f>
        <v>S</v>
      </c>
      <c r="P151" t="str">
        <f>IF('Import OpenCPN'!X152&gt;0,"E","W")</f>
        <v>W</v>
      </c>
    </row>
    <row r="152" spans="1:16" x14ac:dyDescent="0.2">
      <c r="A152">
        <f>'Import OpenCPN'!W153</f>
        <v>0</v>
      </c>
      <c r="B152">
        <f>'Import OpenCPN'!X153</f>
        <v>0</v>
      </c>
      <c r="C152">
        <f t="shared" si="24"/>
        <v>0</v>
      </c>
      <c r="D152" t="str">
        <f t="shared" si="25"/>
        <v>00</v>
      </c>
      <c r="E152">
        <f t="shared" si="26"/>
        <v>0</v>
      </c>
      <c r="F152">
        <f t="shared" si="27"/>
        <v>0</v>
      </c>
      <c r="G152" s="23" t="str">
        <f t="shared" si="28"/>
        <v>00.000</v>
      </c>
      <c r="H152" s="1" t="str">
        <f t="shared" si="29"/>
        <v>0000.000</v>
      </c>
      <c r="I152">
        <f t="shared" si="30"/>
        <v>0</v>
      </c>
      <c r="J152" t="str">
        <f t="shared" si="31"/>
        <v>000</v>
      </c>
      <c r="K152">
        <f t="shared" si="32"/>
        <v>0</v>
      </c>
      <c r="L152">
        <f t="shared" si="33"/>
        <v>0</v>
      </c>
      <c r="M152" t="str">
        <f t="shared" si="34"/>
        <v>00.000</v>
      </c>
      <c r="N152" s="1" t="str">
        <f t="shared" si="35"/>
        <v>00000.000</v>
      </c>
      <c r="O152" t="str">
        <f>IF('Import OpenCPN'!W153&gt;0,"N","S")</f>
        <v>S</v>
      </c>
      <c r="P152" t="str">
        <f>IF('Import OpenCPN'!X153&gt;0,"E","W")</f>
        <v>W</v>
      </c>
    </row>
    <row r="153" spans="1:16" x14ac:dyDescent="0.2">
      <c r="A153">
        <f>'Import OpenCPN'!W154</f>
        <v>0</v>
      </c>
      <c r="B153">
        <f>'Import OpenCPN'!X154</f>
        <v>0</v>
      </c>
      <c r="C153">
        <f t="shared" si="24"/>
        <v>0</v>
      </c>
      <c r="D153" t="str">
        <f t="shared" si="25"/>
        <v>00</v>
      </c>
      <c r="E153">
        <f t="shared" si="26"/>
        <v>0</v>
      </c>
      <c r="F153">
        <f t="shared" si="27"/>
        <v>0</v>
      </c>
      <c r="G153" s="23" t="str">
        <f t="shared" si="28"/>
        <v>00.000</v>
      </c>
      <c r="H153" s="1" t="str">
        <f t="shared" si="29"/>
        <v>0000.000</v>
      </c>
      <c r="I153">
        <f t="shared" si="30"/>
        <v>0</v>
      </c>
      <c r="J153" t="str">
        <f t="shared" si="31"/>
        <v>000</v>
      </c>
      <c r="K153">
        <f t="shared" si="32"/>
        <v>0</v>
      </c>
      <c r="L153">
        <f t="shared" si="33"/>
        <v>0</v>
      </c>
      <c r="M153" t="str">
        <f t="shared" si="34"/>
        <v>00.000</v>
      </c>
      <c r="N153" s="1" t="str">
        <f t="shared" si="35"/>
        <v>00000.000</v>
      </c>
      <c r="O153" t="str">
        <f>IF('Import OpenCPN'!W154&gt;0,"N","S")</f>
        <v>S</v>
      </c>
      <c r="P153" t="str">
        <f>IF('Import OpenCPN'!X154&gt;0,"E","W")</f>
        <v>W</v>
      </c>
    </row>
    <row r="154" spans="1:16" x14ac:dyDescent="0.2">
      <c r="A154">
        <f>'Import OpenCPN'!W155</f>
        <v>0</v>
      </c>
      <c r="B154">
        <f>'Import OpenCPN'!X155</f>
        <v>0</v>
      </c>
      <c r="C154">
        <f t="shared" si="24"/>
        <v>0</v>
      </c>
      <c r="D154" t="str">
        <f t="shared" si="25"/>
        <v>00</v>
      </c>
      <c r="E154">
        <f t="shared" si="26"/>
        <v>0</v>
      </c>
      <c r="F154">
        <f t="shared" si="27"/>
        <v>0</v>
      </c>
      <c r="G154" s="23" t="str">
        <f t="shared" si="28"/>
        <v>00.000</v>
      </c>
      <c r="H154" s="1" t="str">
        <f t="shared" si="29"/>
        <v>0000.000</v>
      </c>
      <c r="I154">
        <f t="shared" si="30"/>
        <v>0</v>
      </c>
      <c r="J154" t="str">
        <f t="shared" si="31"/>
        <v>000</v>
      </c>
      <c r="K154">
        <f t="shared" si="32"/>
        <v>0</v>
      </c>
      <c r="L154">
        <f t="shared" si="33"/>
        <v>0</v>
      </c>
      <c r="M154" t="str">
        <f t="shared" si="34"/>
        <v>00.000</v>
      </c>
      <c r="N154" s="1" t="str">
        <f t="shared" si="35"/>
        <v>00000.000</v>
      </c>
      <c r="O154" t="str">
        <f>IF('Import OpenCPN'!W155&gt;0,"N","S")</f>
        <v>S</v>
      </c>
      <c r="P154" t="str">
        <f>IF('Import OpenCPN'!X155&gt;0,"E","W")</f>
        <v>W</v>
      </c>
    </row>
    <row r="155" spans="1:16" x14ac:dyDescent="0.2">
      <c r="A155">
        <f>'Import OpenCPN'!W156</f>
        <v>0</v>
      </c>
      <c r="B155">
        <f>'Import OpenCPN'!X156</f>
        <v>0</v>
      </c>
      <c r="C155">
        <f t="shared" si="24"/>
        <v>0</v>
      </c>
      <c r="D155" t="str">
        <f t="shared" si="25"/>
        <v>00</v>
      </c>
      <c r="E155">
        <f t="shared" si="26"/>
        <v>0</v>
      </c>
      <c r="F155">
        <f t="shared" si="27"/>
        <v>0</v>
      </c>
      <c r="G155" s="23" t="str">
        <f t="shared" si="28"/>
        <v>00.000</v>
      </c>
      <c r="H155" s="1" t="str">
        <f t="shared" si="29"/>
        <v>0000.000</v>
      </c>
      <c r="I155">
        <f t="shared" si="30"/>
        <v>0</v>
      </c>
      <c r="J155" t="str">
        <f t="shared" si="31"/>
        <v>000</v>
      </c>
      <c r="K155">
        <f t="shared" si="32"/>
        <v>0</v>
      </c>
      <c r="L155">
        <f t="shared" si="33"/>
        <v>0</v>
      </c>
      <c r="M155" t="str">
        <f t="shared" si="34"/>
        <v>00.000</v>
      </c>
      <c r="N155" s="1" t="str">
        <f t="shared" si="35"/>
        <v>00000.000</v>
      </c>
      <c r="O155" t="str">
        <f>IF('Import OpenCPN'!W156&gt;0,"N","S")</f>
        <v>S</v>
      </c>
      <c r="P155" t="str">
        <f>IF('Import OpenCPN'!X156&gt;0,"E","W")</f>
        <v>W</v>
      </c>
    </row>
    <row r="156" spans="1:16" x14ac:dyDescent="0.2">
      <c r="A156">
        <f>'Import OpenCPN'!W157</f>
        <v>0</v>
      </c>
      <c r="B156">
        <f>'Import OpenCPN'!X157</f>
        <v>0</v>
      </c>
      <c r="C156">
        <f t="shared" si="24"/>
        <v>0</v>
      </c>
      <c r="D156" t="str">
        <f t="shared" si="25"/>
        <v>00</v>
      </c>
      <c r="E156">
        <f t="shared" si="26"/>
        <v>0</v>
      </c>
      <c r="F156">
        <f t="shared" si="27"/>
        <v>0</v>
      </c>
      <c r="G156" s="23" t="str">
        <f t="shared" si="28"/>
        <v>00.000</v>
      </c>
      <c r="H156" s="1" t="str">
        <f t="shared" si="29"/>
        <v>0000.000</v>
      </c>
      <c r="I156">
        <f t="shared" si="30"/>
        <v>0</v>
      </c>
      <c r="J156" t="str">
        <f t="shared" si="31"/>
        <v>000</v>
      </c>
      <c r="K156">
        <f t="shared" si="32"/>
        <v>0</v>
      </c>
      <c r="L156">
        <f t="shared" si="33"/>
        <v>0</v>
      </c>
      <c r="M156" t="str">
        <f t="shared" si="34"/>
        <v>00.000</v>
      </c>
      <c r="N156" s="1" t="str">
        <f t="shared" si="35"/>
        <v>00000.000</v>
      </c>
      <c r="O156" t="str">
        <f>IF('Import OpenCPN'!W157&gt;0,"N","S")</f>
        <v>S</v>
      </c>
      <c r="P156" t="str">
        <f>IF('Import OpenCPN'!X157&gt;0,"E","W")</f>
        <v>W</v>
      </c>
    </row>
    <row r="157" spans="1:16" x14ac:dyDescent="0.2">
      <c r="A157">
        <f>'Import OpenCPN'!W158</f>
        <v>0</v>
      </c>
      <c r="B157">
        <f>'Import OpenCPN'!X158</f>
        <v>0</v>
      </c>
      <c r="C157">
        <f t="shared" si="24"/>
        <v>0</v>
      </c>
      <c r="D157" t="str">
        <f t="shared" si="25"/>
        <v>00</v>
      </c>
      <c r="E157">
        <f t="shared" si="26"/>
        <v>0</v>
      </c>
      <c r="F157">
        <f t="shared" si="27"/>
        <v>0</v>
      </c>
      <c r="G157" s="23" t="str">
        <f t="shared" si="28"/>
        <v>00.000</v>
      </c>
      <c r="H157" s="1" t="str">
        <f t="shared" si="29"/>
        <v>0000.000</v>
      </c>
      <c r="I157">
        <f t="shared" si="30"/>
        <v>0</v>
      </c>
      <c r="J157" t="str">
        <f t="shared" si="31"/>
        <v>000</v>
      </c>
      <c r="K157">
        <f t="shared" si="32"/>
        <v>0</v>
      </c>
      <c r="L157">
        <f t="shared" si="33"/>
        <v>0</v>
      </c>
      <c r="M157" t="str">
        <f t="shared" si="34"/>
        <v>00.000</v>
      </c>
      <c r="N157" s="1" t="str">
        <f t="shared" si="35"/>
        <v>00000.000</v>
      </c>
      <c r="O157" t="str">
        <f>IF('Import OpenCPN'!W158&gt;0,"N","S")</f>
        <v>S</v>
      </c>
      <c r="P157" t="str">
        <f>IF('Import OpenCPN'!X158&gt;0,"E","W")</f>
        <v>W</v>
      </c>
    </row>
    <row r="158" spans="1:16" x14ac:dyDescent="0.2">
      <c r="A158">
        <f>'Import OpenCPN'!W159</f>
        <v>0</v>
      </c>
      <c r="B158">
        <f>'Import OpenCPN'!X159</f>
        <v>0</v>
      </c>
      <c r="C158">
        <f t="shared" si="24"/>
        <v>0</v>
      </c>
      <c r="D158" t="str">
        <f t="shared" si="25"/>
        <v>00</v>
      </c>
      <c r="E158">
        <f t="shared" si="26"/>
        <v>0</v>
      </c>
      <c r="F158">
        <f t="shared" si="27"/>
        <v>0</v>
      </c>
      <c r="G158" s="23" t="str">
        <f t="shared" si="28"/>
        <v>00.000</v>
      </c>
      <c r="H158" s="1" t="str">
        <f t="shared" si="29"/>
        <v>0000.000</v>
      </c>
      <c r="I158">
        <f t="shared" si="30"/>
        <v>0</v>
      </c>
      <c r="J158" t="str">
        <f t="shared" si="31"/>
        <v>000</v>
      </c>
      <c r="K158">
        <f t="shared" si="32"/>
        <v>0</v>
      </c>
      <c r="L158">
        <f t="shared" si="33"/>
        <v>0</v>
      </c>
      <c r="M158" t="str">
        <f t="shared" si="34"/>
        <v>00.000</v>
      </c>
      <c r="N158" s="1" t="str">
        <f t="shared" si="35"/>
        <v>00000.000</v>
      </c>
      <c r="O158" t="str">
        <f>IF('Import OpenCPN'!W159&gt;0,"N","S")</f>
        <v>S</v>
      </c>
      <c r="P158" t="str">
        <f>IF('Import OpenCPN'!X159&gt;0,"E","W")</f>
        <v>W</v>
      </c>
    </row>
    <row r="159" spans="1:16" x14ac:dyDescent="0.2">
      <c r="A159">
        <f>'Import OpenCPN'!W160</f>
        <v>0</v>
      </c>
      <c r="B159">
        <f>'Import OpenCPN'!X160</f>
        <v>0</v>
      </c>
      <c r="C159">
        <f t="shared" si="24"/>
        <v>0</v>
      </c>
      <c r="D159" t="str">
        <f t="shared" si="25"/>
        <v>00</v>
      </c>
      <c r="E159">
        <f t="shared" si="26"/>
        <v>0</v>
      </c>
      <c r="F159">
        <f t="shared" si="27"/>
        <v>0</v>
      </c>
      <c r="G159" s="23" t="str">
        <f t="shared" si="28"/>
        <v>00.000</v>
      </c>
      <c r="H159" s="1" t="str">
        <f t="shared" si="29"/>
        <v>0000.000</v>
      </c>
      <c r="I159">
        <f t="shared" si="30"/>
        <v>0</v>
      </c>
      <c r="J159" t="str">
        <f t="shared" si="31"/>
        <v>000</v>
      </c>
      <c r="K159">
        <f t="shared" si="32"/>
        <v>0</v>
      </c>
      <c r="L159">
        <f t="shared" si="33"/>
        <v>0</v>
      </c>
      <c r="M159" t="str">
        <f t="shared" si="34"/>
        <v>00.000</v>
      </c>
      <c r="N159" s="1" t="str">
        <f t="shared" si="35"/>
        <v>00000.000</v>
      </c>
      <c r="O159" t="str">
        <f>IF('Import OpenCPN'!W160&gt;0,"N","S")</f>
        <v>S</v>
      </c>
      <c r="P159" t="str">
        <f>IF('Import OpenCPN'!X160&gt;0,"E","W")</f>
        <v>W</v>
      </c>
    </row>
    <row r="160" spans="1:16" x14ac:dyDescent="0.2">
      <c r="A160">
        <f>'Import OpenCPN'!W161</f>
        <v>0</v>
      </c>
      <c r="B160">
        <f>'Import OpenCPN'!X161</f>
        <v>0</v>
      </c>
      <c r="C160">
        <f t="shared" si="24"/>
        <v>0</v>
      </c>
      <c r="D160" t="str">
        <f t="shared" si="25"/>
        <v>00</v>
      </c>
      <c r="E160">
        <f t="shared" si="26"/>
        <v>0</v>
      </c>
      <c r="F160">
        <f t="shared" si="27"/>
        <v>0</v>
      </c>
      <c r="G160" s="23" t="str">
        <f t="shared" si="28"/>
        <v>00.000</v>
      </c>
      <c r="H160" s="1" t="str">
        <f t="shared" si="29"/>
        <v>0000.000</v>
      </c>
      <c r="I160">
        <f t="shared" si="30"/>
        <v>0</v>
      </c>
      <c r="J160" t="str">
        <f t="shared" si="31"/>
        <v>000</v>
      </c>
      <c r="K160">
        <f t="shared" si="32"/>
        <v>0</v>
      </c>
      <c r="L160">
        <f t="shared" si="33"/>
        <v>0</v>
      </c>
      <c r="M160" t="str">
        <f t="shared" si="34"/>
        <v>00.000</v>
      </c>
      <c r="N160" s="1" t="str">
        <f t="shared" si="35"/>
        <v>00000.000</v>
      </c>
      <c r="O160" t="str">
        <f>IF('Import OpenCPN'!W161&gt;0,"N","S")</f>
        <v>S</v>
      </c>
      <c r="P160" t="str">
        <f>IF('Import OpenCPN'!X161&gt;0,"E","W")</f>
        <v>W</v>
      </c>
    </row>
    <row r="161" spans="1:16" x14ac:dyDescent="0.2">
      <c r="A161">
        <f>'Import OpenCPN'!W162</f>
        <v>0</v>
      </c>
      <c r="B161">
        <f>'Import OpenCPN'!X162</f>
        <v>0</v>
      </c>
      <c r="C161">
        <f t="shared" si="24"/>
        <v>0</v>
      </c>
      <c r="D161" t="str">
        <f t="shared" si="25"/>
        <v>00</v>
      </c>
      <c r="E161">
        <f t="shared" si="26"/>
        <v>0</v>
      </c>
      <c r="F161">
        <f t="shared" si="27"/>
        <v>0</v>
      </c>
      <c r="G161" s="23" t="str">
        <f t="shared" si="28"/>
        <v>00.000</v>
      </c>
      <c r="H161" s="1" t="str">
        <f t="shared" si="29"/>
        <v>0000.000</v>
      </c>
      <c r="I161">
        <f t="shared" si="30"/>
        <v>0</v>
      </c>
      <c r="J161" t="str">
        <f t="shared" si="31"/>
        <v>000</v>
      </c>
      <c r="K161">
        <f t="shared" si="32"/>
        <v>0</v>
      </c>
      <c r="L161">
        <f t="shared" si="33"/>
        <v>0</v>
      </c>
      <c r="M161" t="str">
        <f t="shared" si="34"/>
        <v>00.000</v>
      </c>
      <c r="N161" s="1" t="str">
        <f t="shared" si="35"/>
        <v>00000.000</v>
      </c>
      <c r="O161" t="str">
        <f>IF('Import OpenCPN'!W162&gt;0,"N","S")</f>
        <v>S</v>
      </c>
      <c r="P161" t="str">
        <f>IF('Import OpenCPN'!X162&gt;0,"E","W")</f>
        <v>W</v>
      </c>
    </row>
    <row r="162" spans="1:16" x14ac:dyDescent="0.2">
      <c r="A162">
        <f>'Import OpenCPN'!W163</f>
        <v>0</v>
      </c>
      <c r="B162">
        <f>'Import OpenCPN'!X163</f>
        <v>0</v>
      </c>
      <c r="C162">
        <f t="shared" si="24"/>
        <v>0</v>
      </c>
      <c r="D162" t="str">
        <f t="shared" si="25"/>
        <v>00</v>
      </c>
      <c r="E162">
        <f t="shared" si="26"/>
        <v>0</v>
      </c>
      <c r="F162">
        <f t="shared" si="27"/>
        <v>0</v>
      </c>
      <c r="G162" s="23" t="str">
        <f t="shared" si="28"/>
        <v>00.000</v>
      </c>
      <c r="H162" s="1" t="str">
        <f t="shared" si="29"/>
        <v>0000.000</v>
      </c>
      <c r="I162">
        <f t="shared" si="30"/>
        <v>0</v>
      </c>
      <c r="J162" t="str">
        <f t="shared" si="31"/>
        <v>000</v>
      </c>
      <c r="K162">
        <f t="shared" si="32"/>
        <v>0</v>
      </c>
      <c r="L162">
        <f t="shared" si="33"/>
        <v>0</v>
      </c>
      <c r="M162" t="str">
        <f t="shared" si="34"/>
        <v>00.000</v>
      </c>
      <c r="N162" s="1" t="str">
        <f t="shared" si="35"/>
        <v>00000.000</v>
      </c>
      <c r="O162" t="str">
        <f>IF('Import OpenCPN'!W163&gt;0,"N","S")</f>
        <v>S</v>
      </c>
      <c r="P162" t="str">
        <f>IF('Import OpenCPN'!X163&gt;0,"E","W")</f>
        <v>W</v>
      </c>
    </row>
    <row r="163" spans="1:16" x14ac:dyDescent="0.2">
      <c r="A163">
        <f>'Import OpenCPN'!W164</f>
        <v>0</v>
      </c>
      <c r="B163">
        <f>'Import OpenCPN'!X164</f>
        <v>0</v>
      </c>
      <c r="C163">
        <f t="shared" si="24"/>
        <v>0</v>
      </c>
      <c r="D163" t="str">
        <f t="shared" si="25"/>
        <v>00</v>
      </c>
      <c r="E163">
        <f t="shared" si="26"/>
        <v>0</v>
      </c>
      <c r="F163">
        <f t="shared" si="27"/>
        <v>0</v>
      </c>
      <c r="G163" s="23" t="str">
        <f t="shared" si="28"/>
        <v>00.000</v>
      </c>
      <c r="H163" s="1" t="str">
        <f t="shared" si="29"/>
        <v>0000.000</v>
      </c>
      <c r="I163">
        <f t="shared" si="30"/>
        <v>0</v>
      </c>
      <c r="J163" t="str">
        <f t="shared" si="31"/>
        <v>000</v>
      </c>
      <c r="K163">
        <f t="shared" si="32"/>
        <v>0</v>
      </c>
      <c r="L163">
        <f t="shared" si="33"/>
        <v>0</v>
      </c>
      <c r="M163" t="str">
        <f t="shared" si="34"/>
        <v>00.000</v>
      </c>
      <c r="N163" s="1" t="str">
        <f t="shared" si="35"/>
        <v>00000.000</v>
      </c>
      <c r="O163" t="str">
        <f>IF('Import OpenCPN'!W164&gt;0,"N","S")</f>
        <v>S</v>
      </c>
      <c r="P163" t="str">
        <f>IF('Import OpenCPN'!X164&gt;0,"E","W")</f>
        <v>W</v>
      </c>
    </row>
    <row r="164" spans="1:16" x14ac:dyDescent="0.2">
      <c r="A164">
        <f>'Import OpenCPN'!W165</f>
        <v>0</v>
      </c>
      <c r="B164">
        <f>'Import OpenCPN'!X165</f>
        <v>0</v>
      </c>
      <c r="C164">
        <f t="shared" si="24"/>
        <v>0</v>
      </c>
      <c r="D164" t="str">
        <f t="shared" si="25"/>
        <v>00</v>
      </c>
      <c r="E164">
        <f t="shared" si="26"/>
        <v>0</v>
      </c>
      <c r="F164">
        <f t="shared" si="27"/>
        <v>0</v>
      </c>
      <c r="G164" s="23" t="str">
        <f t="shared" si="28"/>
        <v>00.000</v>
      </c>
      <c r="H164" s="1" t="str">
        <f t="shared" si="29"/>
        <v>0000.000</v>
      </c>
      <c r="I164">
        <f t="shared" si="30"/>
        <v>0</v>
      </c>
      <c r="J164" t="str">
        <f t="shared" si="31"/>
        <v>000</v>
      </c>
      <c r="K164">
        <f t="shared" si="32"/>
        <v>0</v>
      </c>
      <c r="L164">
        <f t="shared" si="33"/>
        <v>0</v>
      </c>
      <c r="M164" t="str">
        <f t="shared" si="34"/>
        <v>00.000</v>
      </c>
      <c r="N164" s="1" t="str">
        <f t="shared" si="35"/>
        <v>00000.000</v>
      </c>
      <c r="O164" t="str">
        <f>IF('Import OpenCPN'!W165&gt;0,"N","S")</f>
        <v>S</v>
      </c>
      <c r="P164" t="str">
        <f>IF('Import OpenCPN'!X165&gt;0,"E","W")</f>
        <v>W</v>
      </c>
    </row>
    <row r="165" spans="1:16" x14ac:dyDescent="0.2">
      <c r="A165">
        <f>'Import OpenCPN'!W166</f>
        <v>0</v>
      </c>
      <c r="B165">
        <f>'Import OpenCPN'!X166</f>
        <v>0</v>
      </c>
      <c r="C165">
        <f t="shared" si="24"/>
        <v>0</v>
      </c>
      <c r="D165" t="str">
        <f t="shared" si="25"/>
        <v>00</v>
      </c>
      <c r="E165">
        <f t="shared" si="26"/>
        <v>0</v>
      </c>
      <c r="F165">
        <f t="shared" si="27"/>
        <v>0</v>
      </c>
      <c r="G165" s="23" t="str">
        <f t="shared" si="28"/>
        <v>00.000</v>
      </c>
      <c r="H165" s="1" t="str">
        <f t="shared" si="29"/>
        <v>0000.000</v>
      </c>
      <c r="I165">
        <f t="shared" si="30"/>
        <v>0</v>
      </c>
      <c r="J165" t="str">
        <f t="shared" si="31"/>
        <v>000</v>
      </c>
      <c r="K165">
        <f t="shared" si="32"/>
        <v>0</v>
      </c>
      <c r="L165">
        <f t="shared" si="33"/>
        <v>0</v>
      </c>
      <c r="M165" t="str">
        <f t="shared" si="34"/>
        <v>00.000</v>
      </c>
      <c r="N165" s="1" t="str">
        <f t="shared" si="35"/>
        <v>00000.000</v>
      </c>
      <c r="O165" t="str">
        <f>IF('Import OpenCPN'!W166&gt;0,"N","S")</f>
        <v>S</v>
      </c>
      <c r="P165" t="str">
        <f>IF('Import OpenCPN'!X166&gt;0,"E","W")</f>
        <v>W</v>
      </c>
    </row>
    <row r="166" spans="1:16" x14ac:dyDescent="0.2">
      <c r="A166">
        <f>'Import OpenCPN'!W167</f>
        <v>0</v>
      </c>
      <c r="B166">
        <f>'Import OpenCPN'!X167</f>
        <v>0</v>
      </c>
      <c r="C166">
        <f t="shared" si="24"/>
        <v>0</v>
      </c>
      <c r="D166" t="str">
        <f t="shared" si="25"/>
        <v>00</v>
      </c>
      <c r="E166">
        <f t="shared" si="26"/>
        <v>0</v>
      </c>
      <c r="F166">
        <f t="shared" si="27"/>
        <v>0</v>
      </c>
      <c r="G166" s="23" t="str">
        <f t="shared" si="28"/>
        <v>00.000</v>
      </c>
      <c r="H166" s="1" t="str">
        <f t="shared" si="29"/>
        <v>0000.000</v>
      </c>
      <c r="I166">
        <f t="shared" si="30"/>
        <v>0</v>
      </c>
      <c r="J166" t="str">
        <f t="shared" si="31"/>
        <v>000</v>
      </c>
      <c r="K166">
        <f t="shared" si="32"/>
        <v>0</v>
      </c>
      <c r="L166">
        <f t="shared" si="33"/>
        <v>0</v>
      </c>
      <c r="M166" t="str">
        <f t="shared" si="34"/>
        <v>00.000</v>
      </c>
      <c r="N166" s="1" t="str">
        <f t="shared" si="35"/>
        <v>00000.000</v>
      </c>
      <c r="O166" t="str">
        <f>IF('Import OpenCPN'!W167&gt;0,"N","S")</f>
        <v>S</v>
      </c>
      <c r="P166" t="str">
        <f>IF('Import OpenCPN'!X167&gt;0,"E","W")</f>
        <v>W</v>
      </c>
    </row>
    <row r="167" spans="1:16" x14ac:dyDescent="0.2">
      <c r="A167">
        <f>'Import OpenCPN'!W168</f>
        <v>0</v>
      </c>
      <c r="B167">
        <f>'Import OpenCPN'!X168</f>
        <v>0</v>
      </c>
      <c r="C167">
        <f t="shared" si="24"/>
        <v>0</v>
      </c>
      <c r="D167" t="str">
        <f t="shared" si="25"/>
        <v>00</v>
      </c>
      <c r="E167">
        <f t="shared" si="26"/>
        <v>0</v>
      </c>
      <c r="F167">
        <f t="shared" si="27"/>
        <v>0</v>
      </c>
      <c r="G167" s="23" t="str">
        <f t="shared" si="28"/>
        <v>00.000</v>
      </c>
      <c r="H167" s="1" t="str">
        <f t="shared" si="29"/>
        <v>0000.000</v>
      </c>
      <c r="I167">
        <f t="shared" si="30"/>
        <v>0</v>
      </c>
      <c r="J167" t="str">
        <f t="shared" si="31"/>
        <v>000</v>
      </c>
      <c r="K167">
        <f t="shared" si="32"/>
        <v>0</v>
      </c>
      <c r="L167">
        <f t="shared" si="33"/>
        <v>0</v>
      </c>
      <c r="M167" t="str">
        <f t="shared" si="34"/>
        <v>00.000</v>
      </c>
      <c r="N167" s="1" t="str">
        <f t="shared" si="35"/>
        <v>00000.000</v>
      </c>
      <c r="O167" t="str">
        <f>IF('Import OpenCPN'!W168&gt;0,"N","S")</f>
        <v>S</v>
      </c>
      <c r="P167" t="str">
        <f>IF('Import OpenCPN'!X168&gt;0,"E","W")</f>
        <v>W</v>
      </c>
    </row>
    <row r="168" spans="1:16" x14ac:dyDescent="0.2">
      <c r="A168">
        <f>'Import OpenCPN'!W169</f>
        <v>0</v>
      </c>
      <c r="B168">
        <f>'Import OpenCPN'!X169</f>
        <v>0</v>
      </c>
      <c r="C168">
        <f t="shared" si="24"/>
        <v>0</v>
      </c>
      <c r="D168" t="str">
        <f t="shared" si="25"/>
        <v>00</v>
      </c>
      <c r="E168">
        <f t="shared" si="26"/>
        <v>0</v>
      </c>
      <c r="F168">
        <f t="shared" si="27"/>
        <v>0</v>
      </c>
      <c r="G168" s="23" t="str">
        <f t="shared" si="28"/>
        <v>00.000</v>
      </c>
      <c r="H168" s="1" t="str">
        <f t="shared" si="29"/>
        <v>0000.000</v>
      </c>
      <c r="I168">
        <f t="shared" si="30"/>
        <v>0</v>
      </c>
      <c r="J168" t="str">
        <f t="shared" si="31"/>
        <v>000</v>
      </c>
      <c r="K168">
        <f t="shared" si="32"/>
        <v>0</v>
      </c>
      <c r="L168">
        <f t="shared" si="33"/>
        <v>0</v>
      </c>
      <c r="M168" t="str">
        <f t="shared" si="34"/>
        <v>00.000</v>
      </c>
      <c r="N168" s="1" t="str">
        <f t="shared" si="35"/>
        <v>00000.000</v>
      </c>
      <c r="O168" t="str">
        <f>IF('Import OpenCPN'!W169&gt;0,"N","S")</f>
        <v>S</v>
      </c>
      <c r="P168" t="str">
        <f>IF('Import OpenCPN'!X169&gt;0,"E","W")</f>
        <v>W</v>
      </c>
    </row>
    <row r="169" spans="1:16" x14ac:dyDescent="0.2">
      <c r="A169">
        <f>'Import OpenCPN'!W170</f>
        <v>0</v>
      </c>
      <c r="B169">
        <f>'Import OpenCPN'!X170</f>
        <v>0</v>
      </c>
      <c r="C169">
        <f t="shared" si="24"/>
        <v>0</v>
      </c>
      <c r="D169" t="str">
        <f t="shared" si="25"/>
        <v>00</v>
      </c>
      <c r="E169">
        <f t="shared" si="26"/>
        <v>0</v>
      </c>
      <c r="F169">
        <f t="shared" si="27"/>
        <v>0</v>
      </c>
      <c r="G169" s="23" t="str">
        <f t="shared" si="28"/>
        <v>00.000</v>
      </c>
      <c r="H169" s="1" t="str">
        <f t="shared" si="29"/>
        <v>0000.000</v>
      </c>
      <c r="I169">
        <f t="shared" si="30"/>
        <v>0</v>
      </c>
      <c r="J169" t="str">
        <f t="shared" si="31"/>
        <v>000</v>
      </c>
      <c r="K169">
        <f t="shared" si="32"/>
        <v>0</v>
      </c>
      <c r="L169">
        <f t="shared" si="33"/>
        <v>0</v>
      </c>
      <c r="M169" t="str">
        <f t="shared" si="34"/>
        <v>00.000</v>
      </c>
      <c r="N169" s="1" t="str">
        <f t="shared" si="35"/>
        <v>00000.000</v>
      </c>
      <c r="O169" t="str">
        <f>IF('Import OpenCPN'!W170&gt;0,"N","S")</f>
        <v>S</v>
      </c>
      <c r="P169" t="str">
        <f>IF('Import OpenCPN'!X170&gt;0,"E","W")</f>
        <v>W</v>
      </c>
    </row>
    <row r="170" spans="1:16" x14ac:dyDescent="0.2">
      <c r="A170">
        <f>'Import OpenCPN'!W171</f>
        <v>0</v>
      </c>
      <c r="B170">
        <f>'Import OpenCPN'!X171</f>
        <v>0</v>
      </c>
      <c r="C170">
        <f t="shared" si="24"/>
        <v>0</v>
      </c>
      <c r="D170" t="str">
        <f t="shared" si="25"/>
        <v>00</v>
      </c>
      <c r="E170">
        <f t="shared" si="26"/>
        <v>0</v>
      </c>
      <c r="F170">
        <f t="shared" si="27"/>
        <v>0</v>
      </c>
      <c r="G170" s="23" t="str">
        <f t="shared" si="28"/>
        <v>00.000</v>
      </c>
      <c r="H170" s="1" t="str">
        <f t="shared" si="29"/>
        <v>0000.000</v>
      </c>
      <c r="I170">
        <f t="shared" si="30"/>
        <v>0</v>
      </c>
      <c r="J170" t="str">
        <f t="shared" si="31"/>
        <v>000</v>
      </c>
      <c r="K170">
        <f t="shared" si="32"/>
        <v>0</v>
      </c>
      <c r="L170">
        <f t="shared" si="33"/>
        <v>0</v>
      </c>
      <c r="M170" t="str">
        <f t="shared" si="34"/>
        <v>00.000</v>
      </c>
      <c r="N170" s="1" t="str">
        <f t="shared" si="35"/>
        <v>00000.000</v>
      </c>
      <c r="O170" t="str">
        <f>IF('Import OpenCPN'!W171&gt;0,"N","S")</f>
        <v>S</v>
      </c>
      <c r="P170" t="str">
        <f>IF('Import OpenCPN'!X171&gt;0,"E","W")</f>
        <v>W</v>
      </c>
    </row>
    <row r="171" spans="1:16" x14ac:dyDescent="0.2">
      <c r="A171">
        <f>'Import OpenCPN'!W172</f>
        <v>0</v>
      </c>
      <c r="B171">
        <f>'Import OpenCPN'!X172</f>
        <v>0</v>
      </c>
      <c r="C171">
        <f t="shared" si="24"/>
        <v>0</v>
      </c>
      <c r="D171" t="str">
        <f t="shared" si="25"/>
        <v>00</v>
      </c>
      <c r="E171">
        <f t="shared" si="26"/>
        <v>0</v>
      </c>
      <c r="F171">
        <f t="shared" si="27"/>
        <v>0</v>
      </c>
      <c r="G171" s="23" t="str">
        <f t="shared" si="28"/>
        <v>00.000</v>
      </c>
      <c r="H171" s="1" t="str">
        <f t="shared" si="29"/>
        <v>0000.000</v>
      </c>
      <c r="I171">
        <f t="shared" si="30"/>
        <v>0</v>
      </c>
      <c r="J171" t="str">
        <f t="shared" si="31"/>
        <v>000</v>
      </c>
      <c r="K171">
        <f t="shared" si="32"/>
        <v>0</v>
      </c>
      <c r="L171">
        <f t="shared" si="33"/>
        <v>0</v>
      </c>
      <c r="M171" t="str">
        <f t="shared" si="34"/>
        <v>00.000</v>
      </c>
      <c r="N171" s="1" t="str">
        <f t="shared" si="35"/>
        <v>00000.000</v>
      </c>
      <c r="O171" t="str">
        <f>IF('Import OpenCPN'!W172&gt;0,"N","S")</f>
        <v>S</v>
      </c>
      <c r="P171" t="str">
        <f>IF('Import OpenCPN'!X172&gt;0,"E","W")</f>
        <v>W</v>
      </c>
    </row>
    <row r="172" spans="1:16" x14ac:dyDescent="0.2">
      <c r="A172">
        <f>'Import OpenCPN'!W173</f>
        <v>0</v>
      </c>
      <c r="B172">
        <f>'Import OpenCPN'!X173</f>
        <v>0</v>
      </c>
      <c r="C172">
        <f t="shared" si="24"/>
        <v>0</v>
      </c>
      <c r="D172" t="str">
        <f t="shared" si="25"/>
        <v>00</v>
      </c>
      <c r="E172">
        <f t="shared" si="26"/>
        <v>0</v>
      </c>
      <c r="F172">
        <f t="shared" si="27"/>
        <v>0</v>
      </c>
      <c r="G172" s="23" t="str">
        <f t="shared" si="28"/>
        <v>00.000</v>
      </c>
      <c r="H172" s="1" t="str">
        <f t="shared" si="29"/>
        <v>0000.000</v>
      </c>
      <c r="I172">
        <f t="shared" si="30"/>
        <v>0</v>
      </c>
      <c r="J172" t="str">
        <f t="shared" si="31"/>
        <v>000</v>
      </c>
      <c r="K172">
        <f t="shared" si="32"/>
        <v>0</v>
      </c>
      <c r="L172">
        <f t="shared" si="33"/>
        <v>0</v>
      </c>
      <c r="M172" t="str">
        <f t="shared" si="34"/>
        <v>00.000</v>
      </c>
      <c r="N172" s="1" t="str">
        <f t="shared" si="35"/>
        <v>00000.000</v>
      </c>
      <c r="O172" t="str">
        <f>IF('Import OpenCPN'!W173&gt;0,"N","S")</f>
        <v>S</v>
      </c>
      <c r="P172" t="str">
        <f>IF('Import OpenCPN'!X173&gt;0,"E","W")</f>
        <v>W</v>
      </c>
    </row>
    <row r="173" spans="1:16" x14ac:dyDescent="0.2">
      <c r="A173">
        <f>'Import OpenCPN'!W174</f>
        <v>0</v>
      </c>
      <c r="B173">
        <f>'Import OpenCPN'!X174</f>
        <v>0</v>
      </c>
      <c r="C173">
        <f t="shared" si="24"/>
        <v>0</v>
      </c>
      <c r="D173" t="str">
        <f t="shared" si="25"/>
        <v>00</v>
      </c>
      <c r="E173">
        <f t="shared" si="26"/>
        <v>0</v>
      </c>
      <c r="F173">
        <f t="shared" si="27"/>
        <v>0</v>
      </c>
      <c r="G173" s="23" t="str">
        <f t="shared" si="28"/>
        <v>00.000</v>
      </c>
      <c r="H173" s="1" t="str">
        <f t="shared" si="29"/>
        <v>0000.000</v>
      </c>
      <c r="I173">
        <f t="shared" si="30"/>
        <v>0</v>
      </c>
      <c r="J173" t="str">
        <f t="shared" si="31"/>
        <v>000</v>
      </c>
      <c r="K173">
        <f t="shared" si="32"/>
        <v>0</v>
      </c>
      <c r="L173">
        <f t="shared" si="33"/>
        <v>0</v>
      </c>
      <c r="M173" t="str">
        <f t="shared" si="34"/>
        <v>00.000</v>
      </c>
      <c r="N173" s="1" t="str">
        <f t="shared" si="35"/>
        <v>00000.000</v>
      </c>
      <c r="O173" t="str">
        <f>IF('Import OpenCPN'!W174&gt;0,"N","S")</f>
        <v>S</v>
      </c>
      <c r="P173" t="str">
        <f>IF('Import OpenCPN'!X174&gt;0,"E","W")</f>
        <v>W</v>
      </c>
    </row>
    <row r="174" spans="1:16" x14ac:dyDescent="0.2">
      <c r="A174">
        <f>'Import OpenCPN'!W175</f>
        <v>0</v>
      </c>
      <c r="B174">
        <f>'Import OpenCPN'!X175</f>
        <v>0</v>
      </c>
      <c r="C174">
        <f t="shared" si="24"/>
        <v>0</v>
      </c>
      <c r="D174" t="str">
        <f t="shared" si="25"/>
        <v>00</v>
      </c>
      <c r="E174">
        <f t="shared" si="26"/>
        <v>0</v>
      </c>
      <c r="F174">
        <f t="shared" si="27"/>
        <v>0</v>
      </c>
      <c r="G174" s="23" t="str">
        <f t="shared" si="28"/>
        <v>00.000</v>
      </c>
      <c r="H174" s="1" t="str">
        <f t="shared" si="29"/>
        <v>0000.000</v>
      </c>
      <c r="I174">
        <f t="shared" si="30"/>
        <v>0</v>
      </c>
      <c r="J174" t="str">
        <f t="shared" si="31"/>
        <v>000</v>
      </c>
      <c r="K174">
        <f t="shared" si="32"/>
        <v>0</v>
      </c>
      <c r="L174">
        <f t="shared" si="33"/>
        <v>0</v>
      </c>
      <c r="M174" t="str">
        <f t="shared" si="34"/>
        <v>00.000</v>
      </c>
      <c r="N174" s="1" t="str">
        <f t="shared" si="35"/>
        <v>00000.000</v>
      </c>
      <c r="O174" t="str">
        <f>IF('Import OpenCPN'!W175&gt;0,"N","S")</f>
        <v>S</v>
      </c>
      <c r="P174" t="str">
        <f>IF('Import OpenCPN'!X175&gt;0,"E","W")</f>
        <v>W</v>
      </c>
    </row>
    <row r="175" spans="1:16" x14ac:dyDescent="0.2">
      <c r="A175">
        <f>'Import OpenCPN'!W176</f>
        <v>0</v>
      </c>
      <c r="B175">
        <f>'Import OpenCPN'!X176</f>
        <v>0</v>
      </c>
      <c r="C175">
        <f t="shared" si="24"/>
        <v>0</v>
      </c>
      <c r="D175" t="str">
        <f t="shared" si="25"/>
        <v>00</v>
      </c>
      <c r="E175">
        <f t="shared" si="26"/>
        <v>0</v>
      </c>
      <c r="F175">
        <f t="shared" si="27"/>
        <v>0</v>
      </c>
      <c r="G175" s="23" t="str">
        <f t="shared" si="28"/>
        <v>00.000</v>
      </c>
      <c r="H175" s="1" t="str">
        <f t="shared" si="29"/>
        <v>0000.000</v>
      </c>
      <c r="I175">
        <f t="shared" si="30"/>
        <v>0</v>
      </c>
      <c r="J175" t="str">
        <f t="shared" si="31"/>
        <v>000</v>
      </c>
      <c r="K175">
        <f t="shared" si="32"/>
        <v>0</v>
      </c>
      <c r="L175">
        <f t="shared" si="33"/>
        <v>0</v>
      </c>
      <c r="M175" t="str">
        <f t="shared" si="34"/>
        <v>00.000</v>
      </c>
      <c r="N175" s="1" t="str">
        <f t="shared" si="35"/>
        <v>00000.000</v>
      </c>
      <c r="O175" t="str">
        <f>IF('Import OpenCPN'!W176&gt;0,"N","S")</f>
        <v>S</v>
      </c>
      <c r="P175" t="str">
        <f>IF('Import OpenCPN'!X176&gt;0,"E","W")</f>
        <v>W</v>
      </c>
    </row>
    <row r="176" spans="1:16" x14ac:dyDescent="0.2">
      <c r="A176">
        <f>'Import OpenCPN'!W177</f>
        <v>0</v>
      </c>
      <c r="B176">
        <f>'Import OpenCPN'!X177</f>
        <v>0</v>
      </c>
      <c r="C176">
        <f t="shared" si="24"/>
        <v>0</v>
      </c>
      <c r="D176" t="str">
        <f t="shared" si="25"/>
        <v>00</v>
      </c>
      <c r="E176">
        <f t="shared" si="26"/>
        <v>0</v>
      </c>
      <c r="F176">
        <f t="shared" si="27"/>
        <v>0</v>
      </c>
      <c r="G176" s="23" t="str">
        <f t="shared" si="28"/>
        <v>00.000</v>
      </c>
      <c r="H176" s="1" t="str">
        <f t="shared" si="29"/>
        <v>0000.000</v>
      </c>
      <c r="I176">
        <f t="shared" si="30"/>
        <v>0</v>
      </c>
      <c r="J176" t="str">
        <f t="shared" si="31"/>
        <v>000</v>
      </c>
      <c r="K176">
        <f t="shared" si="32"/>
        <v>0</v>
      </c>
      <c r="L176">
        <f t="shared" si="33"/>
        <v>0</v>
      </c>
      <c r="M176" t="str">
        <f t="shared" si="34"/>
        <v>00.000</v>
      </c>
      <c r="N176" s="1" t="str">
        <f t="shared" si="35"/>
        <v>00000.000</v>
      </c>
      <c r="O176" t="str">
        <f>IF('Import OpenCPN'!W177&gt;0,"N","S")</f>
        <v>S</v>
      </c>
      <c r="P176" t="str">
        <f>IF('Import OpenCPN'!X177&gt;0,"E","W")</f>
        <v>W</v>
      </c>
    </row>
    <row r="177" spans="1:16" x14ac:dyDescent="0.2">
      <c r="A177">
        <f>'Import OpenCPN'!W178</f>
        <v>0</v>
      </c>
      <c r="B177">
        <f>'Import OpenCPN'!X178</f>
        <v>0</v>
      </c>
      <c r="C177">
        <f t="shared" si="24"/>
        <v>0</v>
      </c>
      <c r="D177" t="str">
        <f t="shared" si="25"/>
        <v>00</v>
      </c>
      <c r="E177">
        <f t="shared" si="26"/>
        <v>0</v>
      </c>
      <c r="F177">
        <f t="shared" si="27"/>
        <v>0</v>
      </c>
      <c r="G177" s="23" t="str">
        <f t="shared" si="28"/>
        <v>00.000</v>
      </c>
      <c r="H177" s="1" t="str">
        <f t="shared" si="29"/>
        <v>0000.000</v>
      </c>
      <c r="I177">
        <f t="shared" si="30"/>
        <v>0</v>
      </c>
      <c r="J177" t="str">
        <f t="shared" si="31"/>
        <v>000</v>
      </c>
      <c r="K177">
        <f t="shared" si="32"/>
        <v>0</v>
      </c>
      <c r="L177">
        <f t="shared" si="33"/>
        <v>0</v>
      </c>
      <c r="M177" t="str">
        <f t="shared" si="34"/>
        <v>00.000</v>
      </c>
      <c r="N177" s="1" t="str">
        <f t="shared" si="35"/>
        <v>00000.000</v>
      </c>
      <c r="O177" t="str">
        <f>IF('Import OpenCPN'!W178&gt;0,"N","S")</f>
        <v>S</v>
      </c>
      <c r="P177" t="str">
        <f>IF('Import OpenCPN'!X178&gt;0,"E","W")</f>
        <v>W</v>
      </c>
    </row>
    <row r="178" spans="1:16" x14ac:dyDescent="0.2">
      <c r="A178">
        <f>'Import OpenCPN'!W179</f>
        <v>0</v>
      </c>
      <c r="B178">
        <f>'Import OpenCPN'!X179</f>
        <v>0</v>
      </c>
      <c r="C178">
        <f t="shared" si="24"/>
        <v>0</v>
      </c>
      <c r="D178" t="str">
        <f t="shared" si="25"/>
        <v>00</v>
      </c>
      <c r="E178">
        <f t="shared" si="26"/>
        <v>0</v>
      </c>
      <c r="F178">
        <f t="shared" si="27"/>
        <v>0</v>
      </c>
      <c r="G178" s="23" t="str">
        <f t="shared" si="28"/>
        <v>00.000</v>
      </c>
      <c r="H178" s="1" t="str">
        <f t="shared" si="29"/>
        <v>0000.000</v>
      </c>
      <c r="I178">
        <f t="shared" si="30"/>
        <v>0</v>
      </c>
      <c r="J178" t="str">
        <f t="shared" si="31"/>
        <v>000</v>
      </c>
      <c r="K178">
        <f t="shared" si="32"/>
        <v>0</v>
      </c>
      <c r="L178">
        <f t="shared" si="33"/>
        <v>0</v>
      </c>
      <c r="M178" t="str">
        <f t="shared" si="34"/>
        <v>00.000</v>
      </c>
      <c r="N178" s="1" t="str">
        <f t="shared" si="35"/>
        <v>00000.000</v>
      </c>
      <c r="O178" t="str">
        <f>IF('Import OpenCPN'!W179&gt;0,"N","S")</f>
        <v>S</v>
      </c>
      <c r="P178" t="str">
        <f>IF('Import OpenCPN'!X179&gt;0,"E","W")</f>
        <v>W</v>
      </c>
    </row>
    <row r="179" spans="1:16" x14ac:dyDescent="0.2">
      <c r="A179">
        <f>'Import OpenCPN'!W180</f>
        <v>0</v>
      </c>
      <c r="B179">
        <f>'Import OpenCPN'!X180</f>
        <v>0</v>
      </c>
      <c r="C179">
        <f t="shared" si="24"/>
        <v>0</v>
      </c>
      <c r="D179" t="str">
        <f t="shared" si="25"/>
        <v>00</v>
      </c>
      <c r="E179">
        <f t="shared" si="26"/>
        <v>0</v>
      </c>
      <c r="F179">
        <f t="shared" si="27"/>
        <v>0</v>
      </c>
      <c r="G179" s="23" t="str">
        <f t="shared" si="28"/>
        <v>00.000</v>
      </c>
      <c r="H179" s="1" t="str">
        <f t="shared" si="29"/>
        <v>0000.000</v>
      </c>
      <c r="I179">
        <f t="shared" si="30"/>
        <v>0</v>
      </c>
      <c r="J179" t="str">
        <f t="shared" si="31"/>
        <v>000</v>
      </c>
      <c r="K179">
        <f t="shared" si="32"/>
        <v>0</v>
      </c>
      <c r="L179">
        <f t="shared" si="33"/>
        <v>0</v>
      </c>
      <c r="M179" t="str">
        <f t="shared" si="34"/>
        <v>00.000</v>
      </c>
      <c r="N179" s="1" t="str">
        <f t="shared" si="35"/>
        <v>00000.000</v>
      </c>
      <c r="O179" t="str">
        <f>IF('Import OpenCPN'!W180&gt;0,"N","S")</f>
        <v>S</v>
      </c>
      <c r="P179" t="str">
        <f>IF('Import OpenCPN'!X180&gt;0,"E","W")</f>
        <v>W</v>
      </c>
    </row>
    <row r="180" spans="1:16" x14ac:dyDescent="0.2">
      <c r="A180">
        <f>'Import OpenCPN'!W181</f>
        <v>0</v>
      </c>
      <c r="B180">
        <f>'Import OpenCPN'!X181</f>
        <v>0</v>
      </c>
      <c r="C180">
        <f t="shared" si="24"/>
        <v>0</v>
      </c>
      <c r="D180" t="str">
        <f t="shared" si="25"/>
        <v>00</v>
      </c>
      <c r="E180">
        <f t="shared" si="26"/>
        <v>0</v>
      </c>
      <c r="F180">
        <f t="shared" si="27"/>
        <v>0</v>
      </c>
      <c r="G180" s="23" t="str">
        <f t="shared" si="28"/>
        <v>00.000</v>
      </c>
      <c r="H180" s="1" t="str">
        <f t="shared" si="29"/>
        <v>0000.000</v>
      </c>
      <c r="I180">
        <f t="shared" si="30"/>
        <v>0</v>
      </c>
      <c r="J180" t="str">
        <f t="shared" si="31"/>
        <v>000</v>
      </c>
      <c r="K180">
        <f t="shared" si="32"/>
        <v>0</v>
      </c>
      <c r="L180">
        <f t="shared" si="33"/>
        <v>0</v>
      </c>
      <c r="M180" t="str">
        <f t="shared" si="34"/>
        <v>00.000</v>
      </c>
      <c r="N180" s="1" t="str">
        <f t="shared" si="35"/>
        <v>00000.000</v>
      </c>
      <c r="O180" t="str">
        <f>IF('Import OpenCPN'!W181&gt;0,"N","S")</f>
        <v>S</v>
      </c>
      <c r="P180" t="str">
        <f>IF('Import OpenCPN'!X181&gt;0,"E","W")</f>
        <v>W</v>
      </c>
    </row>
    <row r="181" spans="1:16" x14ac:dyDescent="0.2">
      <c r="A181">
        <f>'Import OpenCPN'!W182</f>
        <v>0</v>
      </c>
      <c r="B181">
        <f>'Import OpenCPN'!X182</f>
        <v>0</v>
      </c>
      <c r="C181">
        <f t="shared" si="24"/>
        <v>0</v>
      </c>
      <c r="D181" t="str">
        <f t="shared" si="25"/>
        <v>00</v>
      </c>
      <c r="E181">
        <f t="shared" si="26"/>
        <v>0</v>
      </c>
      <c r="F181">
        <f t="shared" si="27"/>
        <v>0</v>
      </c>
      <c r="G181" s="23" t="str">
        <f t="shared" si="28"/>
        <v>00.000</v>
      </c>
      <c r="H181" s="1" t="str">
        <f t="shared" si="29"/>
        <v>0000.000</v>
      </c>
      <c r="I181">
        <f t="shared" si="30"/>
        <v>0</v>
      </c>
      <c r="J181" t="str">
        <f t="shared" si="31"/>
        <v>000</v>
      </c>
      <c r="K181">
        <f t="shared" si="32"/>
        <v>0</v>
      </c>
      <c r="L181">
        <f t="shared" si="33"/>
        <v>0</v>
      </c>
      <c r="M181" t="str">
        <f t="shared" si="34"/>
        <v>00.000</v>
      </c>
      <c r="N181" s="1" t="str">
        <f t="shared" si="35"/>
        <v>00000.000</v>
      </c>
      <c r="O181" t="str">
        <f>IF('Import OpenCPN'!W182&gt;0,"N","S")</f>
        <v>S</v>
      </c>
      <c r="P181" t="str">
        <f>IF('Import OpenCPN'!X182&gt;0,"E","W")</f>
        <v>W</v>
      </c>
    </row>
    <row r="182" spans="1:16" x14ac:dyDescent="0.2">
      <c r="A182">
        <f>'Import OpenCPN'!W183</f>
        <v>0</v>
      </c>
      <c r="B182">
        <f>'Import OpenCPN'!X183</f>
        <v>0</v>
      </c>
      <c r="C182">
        <f t="shared" si="24"/>
        <v>0</v>
      </c>
      <c r="D182" t="str">
        <f t="shared" si="25"/>
        <v>00</v>
      </c>
      <c r="E182">
        <f t="shared" si="26"/>
        <v>0</v>
      </c>
      <c r="F182">
        <f t="shared" si="27"/>
        <v>0</v>
      </c>
      <c r="G182" s="23" t="str">
        <f t="shared" si="28"/>
        <v>00.000</v>
      </c>
      <c r="H182" s="1" t="str">
        <f t="shared" si="29"/>
        <v>0000.000</v>
      </c>
      <c r="I182">
        <f t="shared" si="30"/>
        <v>0</v>
      </c>
      <c r="J182" t="str">
        <f t="shared" si="31"/>
        <v>000</v>
      </c>
      <c r="K182">
        <f t="shared" si="32"/>
        <v>0</v>
      </c>
      <c r="L182">
        <f t="shared" si="33"/>
        <v>0</v>
      </c>
      <c r="M182" t="str">
        <f t="shared" si="34"/>
        <v>00.000</v>
      </c>
      <c r="N182" s="1" t="str">
        <f t="shared" si="35"/>
        <v>00000.000</v>
      </c>
      <c r="O182" t="str">
        <f>IF('Import OpenCPN'!W183&gt;0,"N","S")</f>
        <v>S</v>
      </c>
      <c r="P182" t="str">
        <f>IF('Import OpenCPN'!X183&gt;0,"E","W")</f>
        <v>W</v>
      </c>
    </row>
    <row r="183" spans="1:16" x14ac:dyDescent="0.2">
      <c r="A183">
        <f>'Import OpenCPN'!W184</f>
        <v>0</v>
      </c>
      <c r="B183">
        <f>'Import OpenCPN'!X184</f>
        <v>0</v>
      </c>
      <c r="C183">
        <f t="shared" si="24"/>
        <v>0</v>
      </c>
      <c r="D183" t="str">
        <f t="shared" si="25"/>
        <v>00</v>
      </c>
      <c r="E183">
        <f t="shared" si="26"/>
        <v>0</v>
      </c>
      <c r="F183">
        <f t="shared" si="27"/>
        <v>0</v>
      </c>
      <c r="G183" s="23" t="str">
        <f t="shared" si="28"/>
        <v>00.000</v>
      </c>
      <c r="H183" s="1" t="str">
        <f t="shared" si="29"/>
        <v>0000.000</v>
      </c>
      <c r="I183">
        <f t="shared" si="30"/>
        <v>0</v>
      </c>
      <c r="J183" t="str">
        <f t="shared" si="31"/>
        <v>000</v>
      </c>
      <c r="K183">
        <f t="shared" si="32"/>
        <v>0</v>
      </c>
      <c r="L183">
        <f t="shared" si="33"/>
        <v>0</v>
      </c>
      <c r="M183" t="str">
        <f t="shared" si="34"/>
        <v>00.000</v>
      </c>
      <c r="N183" s="1" t="str">
        <f t="shared" si="35"/>
        <v>00000.000</v>
      </c>
      <c r="O183" t="str">
        <f>IF('Import OpenCPN'!W184&gt;0,"N","S")</f>
        <v>S</v>
      </c>
      <c r="P183" t="str">
        <f>IF('Import OpenCPN'!X184&gt;0,"E","W")</f>
        <v>W</v>
      </c>
    </row>
    <row r="184" spans="1:16" x14ac:dyDescent="0.2">
      <c r="A184">
        <f>'Import OpenCPN'!W185</f>
        <v>0</v>
      </c>
      <c r="B184">
        <f>'Import OpenCPN'!X185</f>
        <v>0</v>
      </c>
      <c r="C184">
        <f t="shared" si="24"/>
        <v>0</v>
      </c>
      <c r="D184" t="str">
        <f t="shared" si="25"/>
        <v>00</v>
      </c>
      <c r="E184">
        <f t="shared" si="26"/>
        <v>0</v>
      </c>
      <c r="F184">
        <f t="shared" si="27"/>
        <v>0</v>
      </c>
      <c r="G184" s="23" t="str">
        <f t="shared" si="28"/>
        <v>00.000</v>
      </c>
      <c r="H184" s="1" t="str">
        <f t="shared" si="29"/>
        <v>0000.000</v>
      </c>
      <c r="I184">
        <f t="shared" si="30"/>
        <v>0</v>
      </c>
      <c r="J184" t="str">
        <f t="shared" si="31"/>
        <v>000</v>
      </c>
      <c r="K184">
        <f t="shared" si="32"/>
        <v>0</v>
      </c>
      <c r="L184">
        <f t="shared" si="33"/>
        <v>0</v>
      </c>
      <c r="M184" t="str">
        <f t="shared" si="34"/>
        <v>00.000</v>
      </c>
      <c r="N184" s="1" t="str">
        <f t="shared" si="35"/>
        <v>00000.000</v>
      </c>
      <c r="O184" t="str">
        <f>IF('Import OpenCPN'!W185&gt;0,"N","S")</f>
        <v>S</v>
      </c>
      <c r="P184" t="str">
        <f>IF('Import OpenCPN'!X185&gt;0,"E","W")</f>
        <v>W</v>
      </c>
    </row>
    <row r="185" spans="1:16" x14ac:dyDescent="0.2">
      <c r="A185">
        <f>'Import OpenCPN'!W186</f>
        <v>0</v>
      </c>
      <c r="B185">
        <f>'Import OpenCPN'!X186</f>
        <v>0</v>
      </c>
      <c r="C185">
        <f t="shared" si="24"/>
        <v>0</v>
      </c>
      <c r="D185" t="str">
        <f t="shared" si="25"/>
        <v>00</v>
      </c>
      <c r="E185">
        <f t="shared" si="26"/>
        <v>0</v>
      </c>
      <c r="F185">
        <f t="shared" si="27"/>
        <v>0</v>
      </c>
      <c r="G185" s="23" t="str">
        <f t="shared" si="28"/>
        <v>00.000</v>
      </c>
      <c r="H185" s="1" t="str">
        <f t="shared" si="29"/>
        <v>0000.000</v>
      </c>
      <c r="I185">
        <f t="shared" si="30"/>
        <v>0</v>
      </c>
      <c r="J185" t="str">
        <f t="shared" si="31"/>
        <v>000</v>
      </c>
      <c r="K185">
        <f t="shared" si="32"/>
        <v>0</v>
      </c>
      <c r="L185">
        <f t="shared" si="33"/>
        <v>0</v>
      </c>
      <c r="M185" t="str">
        <f t="shared" si="34"/>
        <v>00.000</v>
      </c>
      <c r="N185" s="1" t="str">
        <f t="shared" si="35"/>
        <v>00000.000</v>
      </c>
      <c r="O185" t="str">
        <f>IF('Import OpenCPN'!W186&gt;0,"N","S")</f>
        <v>S</v>
      </c>
      <c r="P185" t="str">
        <f>IF('Import OpenCPN'!X186&gt;0,"E","W")</f>
        <v>W</v>
      </c>
    </row>
    <row r="186" spans="1:16" x14ac:dyDescent="0.2">
      <c r="A186">
        <f>'Import OpenCPN'!W187</f>
        <v>0</v>
      </c>
      <c r="B186">
        <f>'Import OpenCPN'!X187</f>
        <v>0</v>
      </c>
      <c r="C186">
        <f t="shared" si="24"/>
        <v>0</v>
      </c>
      <c r="D186" t="str">
        <f t="shared" si="25"/>
        <v>00</v>
      </c>
      <c r="E186">
        <f t="shared" si="26"/>
        <v>0</v>
      </c>
      <c r="F186">
        <f t="shared" si="27"/>
        <v>0</v>
      </c>
      <c r="G186" s="23" t="str">
        <f t="shared" si="28"/>
        <v>00.000</v>
      </c>
      <c r="H186" s="1" t="str">
        <f t="shared" si="29"/>
        <v>0000.000</v>
      </c>
      <c r="I186">
        <f t="shared" si="30"/>
        <v>0</v>
      </c>
      <c r="J186" t="str">
        <f t="shared" si="31"/>
        <v>000</v>
      </c>
      <c r="K186">
        <f t="shared" si="32"/>
        <v>0</v>
      </c>
      <c r="L186">
        <f t="shared" si="33"/>
        <v>0</v>
      </c>
      <c r="M186" t="str">
        <f t="shared" si="34"/>
        <v>00.000</v>
      </c>
      <c r="N186" s="1" t="str">
        <f t="shared" si="35"/>
        <v>00000.000</v>
      </c>
      <c r="O186" t="str">
        <f>IF('Import OpenCPN'!W187&gt;0,"N","S")</f>
        <v>S</v>
      </c>
      <c r="P186" t="str">
        <f>IF('Import OpenCPN'!X187&gt;0,"E","W")</f>
        <v>W</v>
      </c>
    </row>
    <row r="187" spans="1:16" x14ac:dyDescent="0.2">
      <c r="A187">
        <f>'Import OpenCPN'!W188</f>
        <v>0</v>
      </c>
      <c r="B187">
        <f>'Import OpenCPN'!X188</f>
        <v>0</v>
      </c>
      <c r="C187">
        <f t="shared" si="24"/>
        <v>0</v>
      </c>
      <c r="D187" t="str">
        <f t="shared" si="25"/>
        <v>00</v>
      </c>
      <c r="E187">
        <f t="shared" si="26"/>
        <v>0</v>
      </c>
      <c r="F187">
        <f t="shared" si="27"/>
        <v>0</v>
      </c>
      <c r="G187" s="23" t="str">
        <f t="shared" si="28"/>
        <v>00.000</v>
      </c>
      <c r="H187" s="1" t="str">
        <f t="shared" si="29"/>
        <v>0000.000</v>
      </c>
      <c r="I187">
        <f t="shared" si="30"/>
        <v>0</v>
      </c>
      <c r="J187" t="str">
        <f t="shared" si="31"/>
        <v>000</v>
      </c>
      <c r="K187">
        <f t="shared" si="32"/>
        <v>0</v>
      </c>
      <c r="L187">
        <f t="shared" si="33"/>
        <v>0</v>
      </c>
      <c r="M187" t="str">
        <f t="shared" si="34"/>
        <v>00.000</v>
      </c>
      <c r="N187" s="1" t="str">
        <f t="shared" si="35"/>
        <v>00000.000</v>
      </c>
      <c r="O187" t="str">
        <f>IF('Import OpenCPN'!W188&gt;0,"N","S")</f>
        <v>S</v>
      </c>
      <c r="P187" t="str">
        <f>IF('Import OpenCPN'!X188&gt;0,"E","W")</f>
        <v>W</v>
      </c>
    </row>
    <row r="188" spans="1:16" x14ac:dyDescent="0.2">
      <c r="A188">
        <f>'Import OpenCPN'!W189</f>
        <v>0</v>
      </c>
      <c r="B188">
        <f>'Import OpenCPN'!X189</f>
        <v>0</v>
      </c>
      <c r="C188">
        <f t="shared" si="24"/>
        <v>0</v>
      </c>
      <c r="D188" t="str">
        <f t="shared" si="25"/>
        <v>00</v>
      </c>
      <c r="E188">
        <f t="shared" si="26"/>
        <v>0</v>
      </c>
      <c r="F188">
        <f t="shared" si="27"/>
        <v>0</v>
      </c>
      <c r="G188" s="23" t="str">
        <f t="shared" si="28"/>
        <v>00.000</v>
      </c>
      <c r="H188" s="1" t="str">
        <f t="shared" si="29"/>
        <v>0000.000</v>
      </c>
      <c r="I188">
        <f t="shared" si="30"/>
        <v>0</v>
      </c>
      <c r="J188" t="str">
        <f t="shared" si="31"/>
        <v>000</v>
      </c>
      <c r="K188">
        <f t="shared" si="32"/>
        <v>0</v>
      </c>
      <c r="L188">
        <f t="shared" si="33"/>
        <v>0</v>
      </c>
      <c r="M188" t="str">
        <f t="shared" si="34"/>
        <v>00.000</v>
      </c>
      <c r="N188" s="1" t="str">
        <f t="shared" si="35"/>
        <v>00000.000</v>
      </c>
      <c r="O188" t="str">
        <f>IF('Import OpenCPN'!W189&gt;0,"N","S")</f>
        <v>S</v>
      </c>
      <c r="P188" t="str">
        <f>IF('Import OpenCPN'!X189&gt;0,"E","W")</f>
        <v>W</v>
      </c>
    </row>
    <row r="189" spans="1:16" x14ac:dyDescent="0.2">
      <c r="A189">
        <f>'Import OpenCPN'!W190</f>
        <v>0</v>
      </c>
      <c r="B189">
        <f>'Import OpenCPN'!X190</f>
        <v>0</v>
      </c>
      <c r="C189">
        <f t="shared" si="24"/>
        <v>0</v>
      </c>
      <c r="D189" t="str">
        <f t="shared" si="25"/>
        <v>00</v>
      </c>
      <c r="E189">
        <f t="shared" si="26"/>
        <v>0</v>
      </c>
      <c r="F189">
        <f t="shared" si="27"/>
        <v>0</v>
      </c>
      <c r="G189" s="23" t="str">
        <f t="shared" si="28"/>
        <v>00.000</v>
      </c>
      <c r="H189" s="1" t="str">
        <f t="shared" si="29"/>
        <v>0000.000</v>
      </c>
      <c r="I189">
        <f t="shared" si="30"/>
        <v>0</v>
      </c>
      <c r="J189" t="str">
        <f t="shared" si="31"/>
        <v>000</v>
      </c>
      <c r="K189">
        <f t="shared" si="32"/>
        <v>0</v>
      </c>
      <c r="L189">
        <f t="shared" si="33"/>
        <v>0</v>
      </c>
      <c r="M189" t="str">
        <f t="shared" si="34"/>
        <v>00.000</v>
      </c>
      <c r="N189" s="1" t="str">
        <f t="shared" si="35"/>
        <v>00000.000</v>
      </c>
      <c r="O189" t="str">
        <f>IF('Import OpenCPN'!W190&gt;0,"N","S")</f>
        <v>S</v>
      </c>
      <c r="P189" t="str">
        <f>IF('Import OpenCPN'!X190&gt;0,"E","W")</f>
        <v>W</v>
      </c>
    </row>
    <row r="190" spans="1:16" x14ac:dyDescent="0.2">
      <c r="A190">
        <f>'Import OpenCPN'!W191</f>
        <v>0</v>
      </c>
      <c r="B190">
        <f>'Import OpenCPN'!X191</f>
        <v>0</v>
      </c>
      <c r="C190">
        <f t="shared" si="24"/>
        <v>0</v>
      </c>
      <c r="D190" t="str">
        <f t="shared" si="25"/>
        <v>00</v>
      </c>
      <c r="E190">
        <f t="shared" si="26"/>
        <v>0</v>
      </c>
      <c r="F190">
        <f t="shared" si="27"/>
        <v>0</v>
      </c>
      <c r="G190" s="23" t="str">
        <f t="shared" si="28"/>
        <v>00.000</v>
      </c>
      <c r="H190" s="1" t="str">
        <f t="shared" si="29"/>
        <v>0000.000</v>
      </c>
      <c r="I190">
        <f t="shared" si="30"/>
        <v>0</v>
      </c>
      <c r="J190" t="str">
        <f t="shared" si="31"/>
        <v>000</v>
      </c>
      <c r="K190">
        <f t="shared" si="32"/>
        <v>0</v>
      </c>
      <c r="L190">
        <f t="shared" si="33"/>
        <v>0</v>
      </c>
      <c r="M190" t="str">
        <f t="shared" si="34"/>
        <v>00.000</v>
      </c>
      <c r="N190" s="1" t="str">
        <f t="shared" si="35"/>
        <v>00000.000</v>
      </c>
      <c r="O190" t="str">
        <f>IF('Import OpenCPN'!W191&gt;0,"N","S")</f>
        <v>S</v>
      </c>
      <c r="P190" t="str">
        <f>IF('Import OpenCPN'!X191&gt;0,"E","W")</f>
        <v>W</v>
      </c>
    </row>
    <row r="191" spans="1:16" x14ac:dyDescent="0.2">
      <c r="A191">
        <f>'Import OpenCPN'!W192</f>
        <v>0</v>
      </c>
      <c r="B191">
        <f>'Import OpenCPN'!X192</f>
        <v>0</v>
      </c>
      <c r="C191">
        <f t="shared" si="24"/>
        <v>0</v>
      </c>
      <c r="D191" t="str">
        <f t="shared" si="25"/>
        <v>00</v>
      </c>
      <c r="E191">
        <f t="shared" si="26"/>
        <v>0</v>
      </c>
      <c r="F191">
        <f t="shared" si="27"/>
        <v>0</v>
      </c>
      <c r="G191" s="23" t="str">
        <f t="shared" si="28"/>
        <v>00.000</v>
      </c>
      <c r="H191" s="1" t="str">
        <f t="shared" si="29"/>
        <v>0000.000</v>
      </c>
      <c r="I191">
        <f t="shared" si="30"/>
        <v>0</v>
      </c>
      <c r="J191" t="str">
        <f t="shared" si="31"/>
        <v>000</v>
      </c>
      <c r="K191">
        <f t="shared" si="32"/>
        <v>0</v>
      </c>
      <c r="L191">
        <f t="shared" si="33"/>
        <v>0</v>
      </c>
      <c r="M191" t="str">
        <f t="shared" si="34"/>
        <v>00.000</v>
      </c>
      <c r="N191" s="1" t="str">
        <f t="shared" si="35"/>
        <v>00000.000</v>
      </c>
      <c r="O191" t="str">
        <f>IF('Import OpenCPN'!W192&gt;0,"N","S")</f>
        <v>S</v>
      </c>
      <c r="P191" t="str">
        <f>IF('Import OpenCPN'!X192&gt;0,"E","W")</f>
        <v>W</v>
      </c>
    </row>
    <row r="192" spans="1:16" x14ac:dyDescent="0.2">
      <c r="A192">
        <f>'Import OpenCPN'!W193</f>
        <v>0</v>
      </c>
      <c r="B192">
        <f>'Import OpenCPN'!X193</f>
        <v>0</v>
      </c>
      <c r="C192">
        <f t="shared" si="24"/>
        <v>0</v>
      </c>
      <c r="D192" t="str">
        <f t="shared" si="25"/>
        <v>00</v>
      </c>
      <c r="E192">
        <f t="shared" si="26"/>
        <v>0</v>
      </c>
      <c r="F192">
        <f t="shared" si="27"/>
        <v>0</v>
      </c>
      <c r="G192" s="23" t="str">
        <f t="shared" si="28"/>
        <v>00.000</v>
      </c>
      <c r="H192" s="1" t="str">
        <f t="shared" si="29"/>
        <v>0000.000</v>
      </c>
      <c r="I192">
        <f t="shared" si="30"/>
        <v>0</v>
      </c>
      <c r="J192" t="str">
        <f t="shared" si="31"/>
        <v>000</v>
      </c>
      <c r="K192">
        <f t="shared" si="32"/>
        <v>0</v>
      </c>
      <c r="L192">
        <f t="shared" si="33"/>
        <v>0</v>
      </c>
      <c r="M192" t="str">
        <f t="shared" si="34"/>
        <v>00.000</v>
      </c>
      <c r="N192" s="1" t="str">
        <f t="shared" si="35"/>
        <v>00000.000</v>
      </c>
      <c r="O192" t="str">
        <f>IF('Import OpenCPN'!W193&gt;0,"N","S")</f>
        <v>S</v>
      </c>
      <c r="P192" t="str">
        <f>IF('Import OpenCPN'!X193&gt;0,"E","W")</f>
        <v>W</v>
      </c>
    </row>
    <row r="193" spans="1:16" x14ac:dyDescent="0.2">
      <c r="A193">
        <f>'Import OpenCPN'!W194</f>
        <v>0</v>
      </c>
      <c r="B193">
        <f>'Import OpenCPN'!X194</f>
        <v>0</v>
      </c>
      <c r="C193">
        <f t="shared" si="24"/>
        <v>0</v>
      </c>
      <c r="D193" t="str">
        <f t="shared" si="25"/>
        <v>00</v>
      </c>
      <c r="E193">
        <f t="shared" si="26"/>
        <v>0</v>
      </c>
      <c r="F193">
        <f t="shared" si="27"/>
        <v>0</v>
      </c>
      <c r="G193" s="23" t="str">
        <f t="shared" si="28"/>
        <v>00.000</v>
      </c>
      <c r="H193" s="1" t="str">
        <f t="shared" si="29"/>
        <v>0000.000</v>
      </c>
      <c r="I193">
        <f t="shared" si="30"/>
        <v>0</v>
      </c>
      <c r="J193" t="str">
        <f t="shared" si="31"/>
        <v>000</v>
      </c>
      <c r="K193">
        <f t="shared" si="32"/>
        <v>0</v>
      </c>
      <c r="L193">
        <f t="shared" si="33"/>
        <v>0</v>
      </c>
      <c r="M193" t="str">
        <f t="shared" si="34"/>
        <v>00.000</v>
      </c>
      <c r="N193" s="1" t="str">
        <f t="shared" si="35"/>
        <v>00000.000</v>
      </c>
      <c r="O193" t="str">
        <f>IF('Import OpenCPN'!W194&gt;0,"N","S")</f>
        <v>S</v>
      </c>
      <c r="P193" t="str">
        <f>IF('Import OpenCPN'!X194&gt;0,"E","W")</f>
        <v>W</v>
      </c>
    </row>
    <row r="194" spans="1:16" x14ac:dyDescent="0.2">
      <c r="A194">
        <f>'Import OpenCPN'!W195</f>
        <v>0</v>
      </c>
      <c r="B194">
        <f>'Import OpenCPN'!X195</f>
        <v>0</v>
      </c>
      <c r="C194">
        <f t="shared" ref="C194:C257" si="36">ABS(TRUNC(A194,0))</f>
        <v>0</v>
      </c>
      <c r="D194" t="str">
        <f t="shared" ref="D194:D257" si="37">TEXT(C194,"00")</f>
        <v>00</v>
      </c>
      <c r="E194">
        <f t="shared" ref="E194:E257" si="38">ABS(A194)-C194</f>
        <v>0</v>
      </c>
      <c r="F194">
        <f t="shared" ref="F194:F257" si="39">E194*60</f>
        <v>0</v>
      </c>
      <c r="G194" s="23" t="str">
        <f t="shared" ref="G194:G257" si="40">TEXT(F194,"00.000")</f>
        <v>00.000</v>
      </c>
      <c r="H194" s="1" t="str">
        <f t="shared" ref="H194:H257" si="41">D194&amp;G194</f>
        <v>0000.000</v>
      </c>
      <c r="I194">
        <f t="shared" ref="I194:I257" si="42">ABS(TRUNC(B194,0))</f>
        <v>0</v>
      </c>
      <c r="J194" t="str">
        <f t="shared" ref="J194:J257" si="43">TEXT(I194,"000")</f>
        <v>000</v>
      </c>
      <c r="K194">
        <f t="shared" ref="K194:K257" si="44">ABS(B194)-I194</f>
        <v>0</v>
      </c>
      <c r="L194">
        <f t="shared" ref="L194:L257" si="45">K194*60</f>
        <v>0</v>
      </c>
      <c r="M194" t="str">
        <f t="shared" ref="M194:M257" si="46">TEXT(L194,"00.000")</f>
        <v>00.000</v>
      </c>
      <c r="N194" s="1" t="str">
        <f t="shared" ref="N194:N257" si="47">J194&amp;M194</f>
        <v>00000.000</v>
      </c>
      <c r="O194" t="str">
        <f>IF('Import OpenCPN'!W195&gt;0,"N","S")</f>
        <v>S</v>
      </c>
      <c r="P194" t="str">
        <f>IF('Import OpenCPN'!X195&gt;0,"E","W")</f>
        <v>W</v>
      </c>
    </row>
    <row r="195" spans="1:16" x14ac:dyDescent="0.2">
      <c r="A195">
        <f>'Import OpenCPN'!W196</f>
        <v>0</v>
      </c>
      <c r="B195">
        <f>'Import OpenCPN'!X196</f>
        <v>0</v>
      </c>
      <c r="C195">
        <f t="shared" si="36"/>
        <v>0</v>
      </c>
      <c r="D195" t="str">
        <f t="shared" si="37"/>
        <v>00</v>
      </c>
      <c r="E195">
        <f t="shared" si="38"/>
        <v>0</v>
      </c>
      <c r="F195">
        <f t="shared" si="39"/>
        <v>0</v>
      </c>
      <c r="G195" s="23" t="str">
        <f t="shared" si="40"/>
        <v>00.000</v>
      </c>
      <c r="H195" s="1" t="str">
        <f t="shared" si="41"/>
        <v>0000.000</v>
      </c>
      <c r="I195">
        <f t="shared" si="42"/>
        <v>0</v>
      </c>
      <c r="J195" t="str">
        <f t="shared" si="43"/>
        <v>000</v>
      </c>
      <c r="K195">
        <f t="shared" si="44"/>
        <v>0</v>
      </c>
      <c r="L195">
        <f t="shared" si="45"/>
        <v>0</v>
      </c>
      <c r="M195" t="str">
        <f t="shared" si="46"/>
        <v>00.000</v>
      </c>
      <c r="N195" s="1" t="str">
        <f t="shared" si="47"/>
        <v>00000.000</v>
      </c>
      <c r="O195" t="str">
        <f>IF('Import OpenCPN'!W196&gt;0,"N","S")</f>
        <v>S</v>
      </c>
      <c r="P195" t="str">
        <f>IF('Import OpenCPN'!X196&gt;0,"E","W")</f>
        <v>W</v>
      </c>
    </row>
    <row r="196" spans="1:16" x14ac:dyDescent="0.2">
      <c r="A196">
        <f>'Import OpenCPN'!W197</f>
        <v>0</v>
      </c>
      <c r="B196">
        <f>'Import OpenCPN'!X197</f>
        <v>0</v>
      </c>
      <c r="C196">
        <f t="shared" si="36"/>
        <v>0</v>
      </c>
      <c r="D196" t="str">
        <f t="shared" si="37"/>
        <v>00</v>
      </c>
      <c r="E196">
        <f t="shared" si="38"/>
        <v>0</v>
      </c>
      <c r="F196">
        <f t="shared" si="39"/>
        <v>0</v>
      </c>
      <c r="G196" s="23" t="str">
        <f t="shared" si="40"/>
        <v>00.000</v>
      </c>
      <c r="H196" s="1" t="str">
        <f t="shared" si="41"/>
        <v>0000.000</v>
      </c>
      <c r="I196">
        <f t="shared" si="42"/>
        <v>0</v>
      </c>
      <c r="J196" t="str">
        <f t="shared" si="43"/>
        <v>000</v>
      </c>
      <c r="K196">
        <f t="shared" si="44"/>
        <v>0</v>
      </c>
      <c r="L196">
        <f t="shared" si="45"/>
        <v>0</v>
      </c>
      <c r="M196" t="str">
        <f t="shared" si="46"/>
        <v>00.000</v>
      </c>
      <c r="N196" s="1" t="str">
        <f t="shared" si="47"/>
        <v>00000.000</v>
      </c>
      <c r="O196" t="str">
        <f>IF('Import OpenCPN'!W197&gt;0,"N","S")</f>
        <v>S</v>
      </c>
      <c r="P196" t="str">
        <f>IF('Import OpenCPN'!X197&gt;0,"E","W")</f>
        <v>W</v>
      </c>
    </row>
    <row r="197" spans="1:16" x14ac:dyDescent="0.2">
      <c r="A197">
        <f>'Import OpenCPN'!W198</f>
        <v>0</v>
      </c>
      <c r="B197">
        <f>'Import OpenCPN'!X198</f>
        <v>0</v>
      </c>
      <c r="C197">
        <f t="shared" si="36"/>
        <v>0</v>
      </c>
      <c r="D197" t="str">
        <f t="shared" si="37"/>
        <v>00</v>
      </c>
      <c r="E197">
        <f t="shared" si="38"/>
        <v>0</v>
      </c>
      <c r="F197">
        <f t="shared" si="39"/>
        <v>0</v>
      </c>
      <c r="G197" s="23" t="str">
        <f t="shared" si="40"/>
        <v>00.000</v>
      </c>
      <c r="H197" s="1" t="str">
        <f t="shared" si="41"/>
        <v>0000.000</v>
      </c>
      <c r="I197">
        <f t="shared" si="42"/>
        <v>0</v>
      </c>
      <c r="J197" t="str">
        <f t="shared" si="43"/>
        <v>000</v>
      </c>
      <c r="K197">
        <f t="shared" si="44"/>
        <v>0</v>
      </c>
      <c r="L197">
        <f t="shared" si="45"/>
        <v>0</v>
      </c>
      <c r="M197" t="str">
        <f t="shared" si="46"/>
        <v>00.000</v>
      </c>
      <c r="N197" s="1" t="str">
        <f t="shared" si="47"/>
        <v>00000.000</v>
      </c>
      <c r="O197" t="str">
        <f>IF('Import OpenCPN'!W198&gt;0,"N","S")</f>
        <v>S</v>
      </c>
      <c r="P197" t="str">
        <f>IF('Import OpenCPN'!X198&gt;0,"E","W")</f>
        <v>W</v>
      </c>
    </row>
    <row r="198" spans="1:16" x14ac:dyDescent="0.2">
      <c r="A198">
        <f>'Import OpenCPN'!W199</f>
        <v>0</v>
      </c>
      <c r="B198">
        <f>'Import OpenCPN'!X199</f>
        <v>0</v>
      </c>
      <c r="C198">
        <f t="shared" si="36"/>
        <v>0</v>
      </c>
      <c r="D198" t="str">
        <f t="shared" si="37"/>
        <v>00</v>
      </c>
      <c r="E198">
        <f t="shared" si="38"/>
        <v>0</v>
      </c>
      <c r="F198">
        <f t="shared" si="39"/>
        <v>0</v>
      </c>
      <c r="G198" s="23" t="str">
        <f t="shared" si="40"/>
        <v>00.000</v>
      </c>
      <c r="H198" s="1" t="str">
        <f t="shared" si="41"/>
        <v>0000.000</v>
      </c>
      <c r="I198">
        <f t="shared" si="42"/>
        <v>0</v>
      </c>
      <c r="J198" t="str">
        <f t="shared" si="43"/>
        <v>000</v>
      </c>
      <c r="K198">
        <f t="shared" si="44"/>
        <v>0</v>
      </c>
      <c r="L198">
        <f t="shared" si="45"/>
        <v>0</v>
      </c>
      <c r="M198" t="str">
        <f t="shared" si="46"/>
        <v>00.000</v>
      </c>
      <c r="N198" s="1" t="str">
        <f t="shared" si="47"/>
        <v>00000.000</v>
      </c>
      <c r="O198" t="str">
        <f>IF('Import OpenCPN'!W199&gt;0,"N","S")</f>
        <v>S</v>
      </c>
      <c r="P198" t="str">
        <f>IF('Import OpenCPN'!X199&gt;0,"E","W")</f>
        <v>W</v>
      </c>
    </row>
    <row r="199" spans="1:16" x14ac:dyDescent="0.2">
      <c r="A199">
        <f>'Import OpenCPN'!W200</f>
        <v>0</v>
      </c>
      <c r="B199">
        <f>'Import OpenCPN'!X200</f>
        <v>0</v>
      </c>
      <c r="C199">
        <f t="shared" si="36"/>
        <v>0</v>
      </c>
      <c r="D199" t="str">
        <f t="shared" si="37"/>
        <v>00</v>
      </c>
      <c r="E199">
        <f t="shared" si="38"/>
        <v>0</v>
      </c>
      <c r="F199">
        <f t="shared" si="39"/>
        <v>0</v>
      </c>
      <c r="G199" s="23" t="str">
        <f t="shared" si="40"/>
        <v>00.000</v>
      </c>
      <c r="H199" s="1" t="str">
        <f t="shared" si="41"/>
        <v>0000.000</v>
      </c>
      <c r="I199">
        <f t="shared" si="42"/>
        <v>0</v>
      </c>
      <c r="J199" t="str">
        <f t="shared" si="43"/>
        <v>000</v>
      </c>
      <c r="K199">
        <f t="shared" si="44"/>
        <v>0</v>
      </c>
      <c r="L199">
        <f t="shared" si="45"/>
        <v>0</v>
      </c>
      <c r="M199" t="str">
        <f t="shared" si="46"/>
        <v>00.000</v>
      </c>
      <c r="N199" s="1" t="str">
        <f t="shared" si="47"/>
        <v>00000.000</v>
      </c>
      <c r="O199" t="str">
        <f>IF('Import OpenCPN'!W200&gt;0,"N","S")</f>
        <v>S</v>
      </c>
      <c r="P199" t="str">
        <f>IF('Import OpenCPN'!X200&gt;0,"E","W")</f>
        <v>W</v>
      </c>
    </row>
    <row r="200" spans="1:16" x14ac:dyDescent="0.2">
      <c r="A200">
        <f>'Import OpenCPN'!W201</f>
        <v>0</v>
      </c>
      <c r="B200">
        <f>'Import OpenCPN'!X201</f>
        <v>0</v>
      </c>
      <c r="C200">
        <f t="shared" si="36"/>
        <v>0</v>
      </c>
      <c r="D200" t="str">
        <f t="shared" si="37"/>
        <v>00</v>
      </c>
      <c r="E200">
        <f t="shared" si="38"/>
        <v>0</v>
      </c>
      <c r="F200">
        <f t="shared" si="39"/>
        <v>0</v>
      </c>
      <c r="G200" s="23" t="str">
        <f t="shared" si="40"/>
        <v>00.000</v>
      </c>
      <c r="H200" s="1" t="str">
        <f t="shared" si="41"/>
        <v>0000.000</v>
      </c>
      <c r="I200">
        <f t="shared" si="42"/>
        <v>0</v>
      </c>
      <c r="J200" t="str">
        <f t="shared" si="43"/>
        <v>000</v>
      </c>
      <c r="K200">
        <f t="shared" si="44"/>
        <v>0</v>
      </c>
      <c r="L200">
        <f t="shared" si="45"/>
        <v>0</v>
      </c>
      <c r="M200" t="str">
        <f t="shared" si="46"/>
        <v>00.000</v>
      </c>
      <c r="N200" s="1" t="str">
        <f t="shared" si="47"/>
        <v>00000.000</v>
      </c>
      <c r="O200" t="str">
        <f>IF('Import OpenCPN'!W201&gt;0,"N","S")</f>
        <v>S</v>
      </c>
      <c r="P200" t="str">
        <f>IF('Import OpenCPN'!X201&gt;0,"E","W")</f>
        <v>W</v>
      </c>
    </row>
    <row r="201" spans="1:16" x14ac:dyDescent="0.2">
      <c r="A201">
        <f>'Import OpenCPN'!W202</f>
        <v>0</v>
      </c>
      <c r="B201">
        <f>'Import OpenCPN'!X202</f>
        <v>0</v>
      </c>
      <c r="C201">
        <f t="shared" si="36"/>
        <v>0</v>
      </c>
      <c r="D201" t="str">
        <f t="shared" si="37"/>
        <v>00</v>
      </c>
      <c r="E201">
        <f t="shared" si="38"/>
        <v>0</v>
      </c>
      <c r="F201">
        <f t="shared" si="39"/>
        <v>0</v>
      </c>
      <c r="G201" s="23" t="str">
        <f t="shared" si="40"/>
        <v>00.000</v>
      </c>
      <c r="H201" s="1" t="str">
        <f t="shared" si="41"/>
        <v>0000.000</v>
      </c>
      <c r="I201">
        <f t="shared" si="42"/>
        <v>0</v>
      </c>
      <c r="J201" t="str">
        <f t="shared" si="43"/>
        <v>000</v>
      </c>
      <c r="K201">
        <f t="shared" si="44"/>
        <v>0</v>
      </c>
      <c r="L201">
        <f t="shared" si="45"/>
        <v>0</v>
      </c>
      <c r="M201" t="str">
        <f t="shared" si="46"/>
        <v>00.000</v>
      </c>
      <c r="N201" s="1" t="str">
        <f t="shared" si="47"/>
        <v>00000.000</v>
      </c>
      <c r="O201" t="str">
        <f>IF('Import OpenCPN'!W202&gt;0,"N","S")</f>
        <v>S</v>
      </c>
      <c r="P201" t="str">
        <f>IF('Import OpenCPN'!X202&gt;0,"E","W")</f>
        <v>W</v>
      </c>
    </row>
    <row r="202" spans="1:16" x14ac:dyDescent="0.2">
      <c r="A202">
        <f>'Import OpenCPN'!W203</f>
        <v>0</v>
      </c>
      <c r="B202">
        <f>'Import OpenCPN'!X203</f>
        <v>0</v>
      </c>
      <c r="C202">
        <f t="shared" si="36"/>
        <v>0</v>
      </c>
      <c r="D202" t="str">
        <f t="shared" si="37"/>
        <v>00</v>
      </c>
      <c r="E202">
        <f t="shared" si="38"/>
        <v>0</v>
      </c>
      <c r="F202">
        <f t="shared" si="39"/>
        <v>0</v>
      </c>
      <c r="G202" s="23" t="str">
        <f t="shared" si="40"/>
        <v>00.000</v>
      </c>
      <c r="H202" s="1" t="str">
        <f t="shared" si="41"/>
        <v>0000.000</v>
      </c>
      <c r="I202">
        <f t="shared" si="42"/>
        <v>0</v>
      </c>
      <c r="J202" t="str">
        <f t="shared" si="43"/>
        <v>000</v>
      </c>
      <c r="K202">
        <f t="shared" si="44"/>
        <v>0</v>
      </c>
      <c r="L202">
        <f t="shared" si="45"/>
        <v>0</v>
      </c>
      <c r="M202" t="str">
        <f t="shared" si="46"/>
        <v>00.000</v>
      </c>
      <c r="N202" s="1" t="str">
        <f t="shared" si="47"/>
        <v>00000.000</v>
      </c>
      <c r="O202" t="str">
        <f>IF('Import OpenCPN'!W203&gt;0,"N","S")</f>
        <v>S</v>
      </c>
      <c r="P202" t="str">
        <f>IF('Import OpenCPN'!X203&gt;0,"E","W")</f>
        <v>W</v>
      </c>
    </row>
    <row r="203" spans="1:16" x14ac:dyDescent="0.2">
      <c r="A203">
        <f>'Import OpenCPN'!W204</f>
        <v>0</v>
      </c>
      <c r="B203">
        <f>'Import OpenCPN'!X204</f>
        <v>0</v>
      </c>
      <c r="C203">
        <f t="shared" si="36"/>
        <v>0</v>
      </c>
      <c r="D203" t="str">
        <f t="shared" si="37"/>
        <v>00</v>
      </c>
      <c r="E203">
        <f t="shared" si="38"/>
        <v>0</v>
      </c>
      <c r="F203">
        <f t="shared" si="39"/>
        <v>0</v>
      </c>
      <c r="G203" s="23" t="str">
        <f t="shared" si="40"/>
        <v>00.000</v>
      </c>
      <c r="H203" s="1" t="str">
        <f t="shared" si="41"/>
        <v>0000.000</v>
      </c>
      <c r="I203">
        <f t="shared" si="42"/>
        <v>0</v>
      </c>
      <c r="J203" t="str">
        <f t="shared" si="43"/>
        <v>000</v>
      </c>
      <c r="K203">
        <f t="shared" si="44"/>
        <v>0</v>
      </c>
      <c r="L203">
        <f t="shared" si="45"/>
        <v>0</v>
      </c>
      <c r="M203" t="str">
        <f t="shared" si="46"/>
        <v>00.000</v>
      </c>
      <c r="N203" s="1" t="str">
        <f t="shared" si="47"/>
        <v>00000.000</v>
      </c>
      <c r="O203" t="str">
        <f>IF('Import OpenCPN'!W204&gt;0,"N","S")</f>
        <v>S</v>
      </c>
      <c r="P203" t="str">
        <f>IF('Import OpenCPN'!X204&gt;0,"E","W")</f>
        <v>W</v>
      </c>
    </row>
    <row r="204" spans="1:16" x14ac:dyDescent="0.2">
      <c r="A204">
        <f>'Import OpenCPN'!W205</f>
        <v>0</v>
      </c>
      <c r="B204">
        <f>'Import OpenCPN'!X205</f>
        <v>0</v>
      </c>
      <c r="C204">
        <f t="shared" si="36"/>
        <v>0</v>
      </c>
      <c r="D204" t="str">
        <f t="shared" si="37"/>
        <v>00</v>
      </c>
      <c r="E204">
        <f t="shared" si="38"/>
        <v>0</v>
      </c>
      <c r="F204">
        <f t="shared" si="39"/>
        <v>0</v>
      </c>
      <c r="G204" s="23" t="str">
        <f t="shared" si="40"/>
        <v>00.000</v>
      </c>
      <c r="H204" s="1" t="str">
        <f t="shared" si="41"/>
        <v>0000.000</v>
      </c>
      <c r="I204">
        <f t="shared" si="42"/>
        <v>0</v>
      </c>
      <c r="J204" t="str">
        <f t="shared" si="43"/>
        <v>000</v>
      </c>
      <c r="K204">
        <f t="shared" si="44"/>
        <v>0</v>
      </c>
      <c r="L204">
        <f t="shared" si="45"/>
        <v>0</v>
      </c>
      <c r="M204" t="str">
        <f t="shared" si="46"/>
        <v>00.000</v>
      </c>
      <c r="N204" s="1" t="str">
        <f t="shared" si="47"/>
        <v>00000.000</v>
      </c>
      <c r="O204" t="str">
        <f>IF('Import OpenCPN'!W205&gt;0,"N","S")</f>
        <v>S</v>
      </c>
      <c r="P204" t="str">
        <f>IF('Import OpenCPN'!X205&gt;0,"E","W")</f>
        <v>W</v>
      </c>
    </row>
    <row r="205" spans="1:16" x14ac:dyDescent="0.2">
      <c r="A205">
        <f>'Import OpenCPN'!W206</f>
        <v>0</v>
      </c>
      <c r="B205">
        <f>'Import OpenCPN'!X206</f>
        <v>0</v>
      </c>
      <c r="C205">
        <f t="shared" si="36"/>
        <v>0</v>
      </c>
      <c r="D205" t="str">
        <f t="shared" si="37"/>
        <v>00</v>
      </c>
      <c r="E205">
        <f t="shared" si="38"/>
        <v>0</v>
      </c>
      <c r="F205">
        <f t="shared" si="39"/>
        <v>0</v>
      </c>
      <c r="G205" s="23" t="str">
        <f t="shared" si="40"/>
        <v>00.000</v>
      </c>
      <c r="H205" s="1" t="str">
        <f t="shared" si="41"/>
        <v>0000.000</v>
      </c>
      <c r="I205">
        <f t="shared" si="42"/>
        <v>0</v>
      </c>
      <c r="J205" t="str">
        <f t="shared" si="43"/>
        <v>000</v>
      </c>
      <c r="K205">
        <f t="shared" si="44"/>
        <v>0</v>
      </c>
      <c r="L205">
        <f t="shared" si="45"/>
        <v>0</v>
      </c>
      <c r="M205" t="str">
        <f t="shared" si="46"/>
        <v>00.000</v>
      </c>
      <c r="N205" s="1" t="str">
        <f t="shared" si="47"/>
        <v>00000.000</v>
      </c>
      <c r="O205" t="str">
        <f>IF('Import OpenCPN'!W206&gt;0,"N","S")</f>
        <v>S</v>
      </c>
      <c r="P205" t="str">
        <f>IF('Import OpenCPN'!X206&gt;0,"E","W")</f>
        <v>W</v>
      </c>
    </row>
    <row r="206" spans="1:16" x14ac:dyDescent="0.2">
      <c r="A206">
        <f>'Import OpenCPN'!W207</f>
        <v>0</v>
      </c>
      <c r="B206">
        <f>'Import OpenCPN'!X207</f>
        <v>0</v>
      </c>
      <c r="C206">
        <f t="shared" si="36"/>
        <v>0</v>
      </c>
      <c r="D206" t="str">
        <f t="shared" si="37"/>
        <v>00</v>
      </c>
      <c r="E206">
        <f t="shared" si="38"/>
        <v>0</v>
      </c>
      <c r="F206">
        <f t="shared" si="39"/>
        <v>0</v>
      </c>
      <c r="G206" s="23" t="str">
        <f t="shared" si="40"/>
        <v>00.000</v>
      </c>
      <c r="H206" s="1" t="str">
        <f t="shared" si="41"/>
        <v>0000.000</v>
      </c>
      <c r="I206">
        <f t="shared" si="42"/>
        <v>0</v>
      </c>
      <c r="J206" t="str">
        <f t="shared" si="43"/>
        <v>000</v>
      </c>
      <c r="K206">
        <f t="shared" si="44"/>
        <v>0</v>
      </c>
      <c r="L206">
        <f t="shared" si="45"/>
        <v>0</v>
      </c>
      <c r="M206" t="str">
        <f t="shared" si="46"/>
        <v>00.000</v>
      </c>
      <c r="N206" s="1" t="str">
        <f t="shared" si="47"/>
        <v>00000.000</v>
      </c>
      <c r="O206" t="str">
        <f>IF('Import OpenCPN'!W207&gt;0,"N","S")</f>
        <v>S</v>
      </c>
      <c r="P206" t="str">
        <f>IF('Import OpenCPN'!X207&gt;0,"E","W")</f>
        <v>W</v>
      </c>
    </row>
    <row r="207" spans="1:16" x14ac:dyDescent="0.2">
      <c r="A207">
        <f>'Import OpenCPN'!W208</f>
        <v>0</v>
      </c>
      <c r="B207">
        <f>'Import OpenCPN'!X208</f>
        <v>0</v>
      </c>
      <c r="C207">
        <f t="shared" si="36"/>
        <v>0</v>
      </c>
      <c r="D207" t="str">
        <f t="shared" si="37"/>
        <v>00</v>
      </c>
      <c r="E207">
        <f t="shared" si="38"/>
        <v>0</v>
      </c>
      <c r="F207">
        <f t="shared" si="39"/>
        <v>0</v>
      </c>
      <c r="G207" s="23" t="str">
        <f t="shared" si="40"/>
        <v>00.000</v>
      </c>
      <c r="H207" s="1" t="str">
        <f t="shared" si="41"/>
        <v>0000.000</v>
      </c>
      <c r="I207">
        <f t="shared" si="42"/>
        <v>0</v>
      </c>
      <c r="J207" t="str">
        <f t="shared" si="43"/>
        <v>000</v>
      </c>
      <c r="K207">
        <f t="shared" si="44"/>
        <v>0</v>
      </c>
      <c r="L207">
        <f t="shared" si="45"/>
        <v>0</v>
      </c>
      <c r="M207" t="str">
        <f t="shared" si="46"/>
        <v>00.000</v>
      </c>
      <c r="N207" s="1" t="str">
        <f t="shared" si="47"/>
        <v>00000.000</v>
      </c>
      <c r="O207" t="str">
        <f>IF('Import OpenCPN'!W208&gt;0,"N","S")</f>
        <v>S</v>
      </c>
      <c r="P207" t="str">
        <f>IF('Import OpenCPN'!X208&gt;0,"E","W")</f>
        <v>W</v>
      </c>
    </row>
    <row r="208" spans="1:16" x14ac:dyDescent="0.2">
      <c r="A208">
        <f>'Import OpenCPN'!W209</f>
        <v>0</v>
      </c>
      <c r="B208">
        <f>'Import OpenCPN'!X209</f>
        <v>0</v>
      </c>
      <c r="C208">
        <f t="shared" si="36"/>
        <v>0</v>
      </c>
      <c r="D208" t="str">
        <f t="shared" si="37"/>
        <v>00</v>
      </c>
      <c r="E208">
        <f t="shared" si="38"/>
        <v>0</v>
      </c>
      <c r="F208">
        <f t="shared" si="39"/>
        <v>0</v>
      </c>
      <c r="G208" s="23" t="str">
        <f t="shared" si="40"/>
        <v>00.000</v>
      </c>
      <c r="H208" s="1" t="str">
        <f t="shared" si="41"/>
        <v>0000.000</v>
      </c>
      <c r="I208">
        <f t="shared" si="42"/>
        <v>0</v>
      </c>
      <c r="J208" t="str">
        <f t="shared" si="43"/>
        <v>000</v>
      </c>
      <c r="K208">
        <f t="shared" si="44"/>
        <v>0</v>
      </c>
      <c r="L208">
        <f t="shared" si="45"/>
        <v>0</v>
      </c>
      <c r="M208" t="str">
        <f t="shared" si="46"/>
        <v>00.000</v>
      </c>
      <c r="N208" s="1" t="str">
        <f t="shared" si="47"/>
        <v>00000.000</v>
      </c>
      <c r="O208" t="str">
        <f>IF('Import OpenCPN'!W209&gt;0,"N","S")</f>
        <v>S</v>
      </c>
      <c r="P208" t="str">
        <f>IF('Import OpenCPN'!X209&gt;0,"E","W")</f>
        <v>W</v>
      </c>
    </row>
    <row r="209" spans="1:16" x14ac:dyDescent="0.2">
      <c r="A209">
        <f>'Import OpenCPN'!W210</f>
        <v>0</v>
      </c>
      <c r="B209">
        <f>'Import OpenCPN'!X210</f>
        <v>0</v>
      </c>
      <c r="C209">
        <f t="shared" si="36"/>
        <v>0</v>
      </c>
      <c r="D209" t="str">
        <f t="shared" si="37"/>
        <v>00</v>
      </c>
      <c r="E209">
        <f t="shared" si="38"/>
        <v>0</v>
      </c>
      <c r="F209">
        <f t="shared" si="39"/>
        <v>0</v>
      </c>
      <c r="G209" s="23" t="str">
        <f t="shared" si="40"/>
        <v>00.000</v>
      </c>
      <c r="H209" s="1" t="str">
        <f t="shared" si="41"/>
        <v>0000.000</v>
      </c>
      <c r="I209">
        <f t="shared" si="42"/>
        <v>0</v>
      </c>
      <c r="J209" t="str">
        <f t="shared" si="43"/>
        <v>000</v>
      </c>
      <c r="K209">
        <f t="shared" si="44"/>
        <v>0</v>
      </c>
      <c r="L209">
        <f t="shared" si="45"/>
        <v>0</v>
      </c>
      <c r="M209" t="str">
        <f t="shared" si="46"/>
        <v>00.000</v>
      </c>
      <c r="N209" s="1" t="str">
        <f t="shared" si="47"/>
        <v>00000.000</v>
      </c>
      <c r="O209" t="str">
        <f>IF('Import OpenCPN'!W210&gt;0,"N","S")</f>
        <v>S</v>
      </c>
      <c r="P209" t="str">
        <f>IF('Import OpenCPN'!X210&gt;0,"E","W")</f>
        <v>W</v>
      </c>
    </row>
    <row r="210" spans="1:16" x14ac:dyDescent="0.2">
      <c r="A210">
        <f>'Import OpenCPN'!W211</f>
        <v>0</v>
      </c>
      <c r="B210">
        <f>'Import OpenCPN'!X211</f>
        <v>0</v>
      </c>
      <c r="C210">
        <f t="shared" si="36"/>
        <v>0</v>
      </c>
      <c r="D210" t="str">
        <f t="shared" si="37"/>
        <v>00</v>
      </c>
      <c r="E210">
        <f t="shared" si="38"/>
        <v>0</v>
      </c>
      <c r="F210">
        <f t="shared" si="39"/>
        <v>0</v>
      </c>
      <c r="G210" s="23" t="str">
        <f t="shared" si="40"/>
        <v>00.000</v>
      </c>
      <c r="H210" s="1" t="str">
        <f t="shared" si="41"/>
        <v>0000.000</v>
      </c>
      <c r="I210">
        <f t="shared" si="42"/>
        <v>0</v>
      </c>
      <c r="J210" t="str">
        <f t="shared" si="43"/>
        <v>000</v>
      </c>
      <c r="K210">
        <f t="shared" si="44"/>
        <v>0</v>
      </c>
      <c r="L210">
        <f t="shared" si="45"/>
        <v>0</v>
      </c>
      <c r="M210" t="str">
        <f t="shared" si="46"/>
        <v>00.000</v>
      </c>
      <c r="N210" s="1" t="str">
        <f t="shared" si="47"/>
        <v>00000.000</v>
      </c>
      <c r="O210" t="str">
        <f>IF('Import OpenCPN'!W211&gt;0,"N","S")</f>
        <v>S</v>
      </c>
      <c r="P210" t="str">
        <f>IF('Import OpenCPN'!X211&gt;0,"E","W")</f>
        <v>W</v>
      </c>
    </row>
    <row r="211" spans="1:16" x14ac:dyDescent="0.2">
      <c r="A211">
        <f>'Import OpenCPN'!W212</f>
        <v>0</v>
      </c>
      <c r="B211">
        <f>'Import OpenCPN'!X212</f>
        <v>0</v>
      </c>
      <c r="C211">
        <f t="shared" si="36"/>
        <v>0</v>
      </c>
      <c r="D211" t="str">
        <f t="shared" si="37"/>
        <v>00</v>
      </c>
      <c r="E211">
        <f t="shared" si="38"/>
        <v>0</v>
      </c>
      <c r="F211">
        <f t="shared" si="39"/>
        <v>0</v>
      </c>
      <c r="G211" s="23" t="str">
        <f t="shared" si="40"/>
        <v>00.000</v>
      </c>
      <c r="H211" s="1" t="str">
        <f t="shared" si="41"/>
        <v>0000.000</v>
      </c>
      <c r="I211">
        <f t="shared" si="42"/>
        <v>0</v>
      </c>
      <c r="J211" t="str">
        <f t="shared" si="43"/>
        <v>000</v>
      </c>
      <c r="K211">
        <f t="shared" si="44"/>
        <v>0</v>
      </c>
      <c r="L211">
        <f t="shared" si="45"/>
        <v>0</v>
      </c>
      <c r="M211" t="str">
        <f t="shared" si="46"/>
        <v>00.000</v>
      </c>
      <c r="N211" s="1" t="str">
        <f t="shared" si="47"/>
        <v>00000.000</v>
      </c>
      <c r="O211" t="str">
        <f>IF('Import OpenCPN'!W212&gt;0,"N","S")</f>
        <v>S</v>
      </c>
      <c r="P211" t="str">
        <f>IF('Import OpenCPN'!X212&gt;0,"E","W")</f>
        <v>W</v>
      </c>
    </row>
    <row r="212" spans="1:16" x14ac:dyDescent="0.2">
      <c r="A212">
        <f>'Import OpenCPN'!W213</f>
        <v>0</v>
      </c>
      <c r="B212">
        <f>'Import OpenCPN'!X213</f>
        <v>0</v>
      </c>
      <c r="C212">
        <f t="shared" si="36"/>
        <v>0</v>
      </c>
      <c r="D212" t="str">
        <f t="shared" si="37"/>
        <v>00</v>
      </c>
      <c r="E212">
        <f t="shared" si="38"/>
        <v>0</v>
      </c>
      <c r="F212">
        <f t="shared" si="39"/>
        <v>0</v>
      </c>
      <c r="G212" s="23" t="str">
        <f t="shared" si="40"/>
        <v>00.000</v>
      </c>
      <c r="H212" s="1" t="str">
        <f t="shared" si="41"/>
        <v>0000.000</v>
      </c>
      <c r="I212">
        <f t="shared" si="42"/>
        <v>0</v>
      </c>
      <c r="J212" t="str">
        <f t="shared" si="43"/>
        <v>000</v>
      </c>
      <c r="K212">
        <f t="shared" si="44"/>
        <v>0</v>
      </c>
      <c r="L212">
        <f t="shared" si="45"/>
        <v>0</v>
      </c>
      <c r="M212" t="str">
        <f t="shared" si="46"/>
        <v>00.000</v>
      </c>
      <c r="N212" s="1" t="str">
        <f t="shared" si="47"/>
        <v>00000.000</v>
      </c>
      <c r="O212" t="str">
        <f>IF('Import OpenCPN'!W213&gt;0,"N","S")</f>
        <v>S</v>
      </c>
      <c r="P212" t="str">
        <f>IF('Import OpenCPN'!X213&gt;0,"E","W")</f>
        <v>W</v>
      </c>
    </row>
    <row r="213" spans="1:16" x14ac:dyDescent="0.2">
      <c r="A213">
        <f>'Import OpenCPN'!W214</f>
        <v>0</v>
      </c>
      <c r="B213">
        <f>'Import OpenCPN'!X214</f>
        <v>0</v>
      </c>
      <c r="C213">
        <f t="shared" si="36"/>
        <v>0</v>
      </c>
      <c r="D213" t="str">
        <f t="shared" si="37"/>
        <v>00</v>
      </c>
      <c r="E213">
        <f t="shared" si="38"/>
        <v>0</v>
      </c>
      <c r="F213">
        <f t="shared" si="39"/>
        <v>0</v>
      </c>
      <c r="G213" s="23" t="str">
        <f t="shared" si="40"/>
        <v>00.000</v>
      </c>
      <c r="H213" s="1" t="str">
        <f t="shared" si="41"/>
        <v>0000.000</v>
      </c>
      <c r="I213">
        <f t="shared" si="42"/>
        <v>0</v>
      </c>
      <c r="J213" t="str">
        <f t="shared" si="43"/>
        <v>000</v>
      </c>
      <c r="K213">
        <f t="shared" si="44"/>
        <v>0</v>
      </c>
      <c r="L213">
        <f t="shared" si="45"/>
        <v>0</v>
      </c>
      <c r="M213" t="str">
        <f t="shared" si="46"/>
        <v>00.000</v>
      </c>
      <c r="N213" s="1" t="str">
        <f t="shared" si="47"/>
        <v>00000.000</v>
      </c>
      <c r="O213" t="str">
        <f>IF('Import OpenCPN'!W214&gt;0,"N","S")</f>
        <v>S</v>
      </c>
      <c r="P213" t="str">
        <f>IF('Import OpenCPN'!X214&gt;0,"E","W")</f>
        <v>W</v>
      </c>
    </row>
    <row r="214" spans="1:16" x14ac:dyDescent="0.2">
      <c r="A214">
        <f>'Import OpenCPN'!W215</f>
        <v>0</v>
      </c>
      <c r="B214">
        <f>'Import OpenCPN'!X215</f>
        <v>0</v>
      </c>
      <c r="C214">
        <f t="shared" si="36"/>
        <v>0</v>
      </c>
      <c r="D214" t="str">
        <f t="shared" si="37"/>
        <v>00</v>
      </c>
      <c r="E214">
        <f t="shared" si="38"/>
        <v>0</v>
      </c>
      <c r="F214">
        <f t="shared" si="39"/>
        <v>0</v>
      </c>
      <c r="G214" s="23" t="str">
        <f t="shared" si="40"/>
        <v>00.000</v>
      </c>
      <c r="H214" s="1" t="str">
        <f t="shared" si="41"/>
        <v>0000.000</v>
      </c>
      <c r="I214">
        <f t="shared" si="42"/>
        <v>0</v>
      </c>
      <c r="J214" t="str">
        <f t="shared" si="43"/>
        <v>000</v>
      </c>
      <c r="K214">
        <f t="shared" si="44"/>
        <v>0</v>
      </c>
      <c r="L214">
        <f t="shared" si="45"/>
        <v>0</v>
      </c>
      <c r="M214" t="str">
        <f t="shared" si="46"/>
        <v>00.000</v>
      </c>
      <c r="N214" s="1" t="str">
        <f t="shared" si="47"/>
        <v>00000.000</v>
      </c>
      <c r="O214" t="str">
        <f>IF('Import OpenCPN'!W215&gt;0,"N","S")</f>
        <v>S</v>
      </c>
      <c r="P214" t="str">
        <f>IF('Import OpenCPN'!X215&gt;0,"E","W")</f>
        <v>W</v>
      </c>
    </row>
    <row r="215" spans="1:16" x14ac:dyDescent="0.2">
      <c r="A215">
        <f>'Import OpenCPN'!W216</f>
        <v>0</v>
      </c>
      <c r="B215">
        <f>'Import OpenCPN'!X216</f>
        <v>0</v>
      </c>
      <c r="C215">
        <f t="shared" si="36"/>
        <v>0</v>
      </c>
      <c r="D215" t="str">
        <f t="shared" si="37"/>
        <v>00</v>
      </c>
      <c r="E215">
        <f t="shared" si="38"/>
        <v>0</v>
      </c>
      <c r="F215">
        <f t="shared" si="39"/>
        <v>0</v>
      </c>
      <c r="G215" s="23" t="str">
        <f t="shared" si="40"/>
        <v>00.000</v>
      </c>
      <c r="H215" s="1" t="str">
        <f t="shared" si="41"/>
        <v>0000.000</v>
      </c>
      <c r="I215">
        <f t="shared" si="42"/>
        <v>0</v>
      </c>
      <c r="J215" t="str">
        <f t="shared" si="43"/>
        <v>000</v>
      </c>
      <c r="K215">
        <f t="shared" si="44"/>
        <v>0</v>
      </c>
      <c r="L215">
        <f t="shared" si="45"/>
        <v>0</v>
      </c>
      <c r="M215" t="str">
        <f t="shared" si="46"/>
        <v>00.000</v>
      </c>
      <c r="N215" s="1" t="str">
        <f t="shared" si="47"/>
        <v>00000.000</v>
      </c>
      <c r="O215" t="str">
        <f>IF('Import OpenCPN'!W216&gt;0,"N","S")</f>
        <v>S</v>
      </c>
      <c r="P215" t="str">
        <f>IF('Import OpenCPN'!X216&gt;0,"E","W")</f>
        <v>W</v>
      </c>
    </row>
    <row r="216" spans="1:16" x14ac:dyDescent="0.2">
      <c r="A216">
        <f>'Import OpenCPN'!W217</f>
        <v>0</v>
      </c>
      <c r="B216">
        <f>'Import OpenCPN'!X217</f>
        <v>0</v>
      </c>
      <c r="C216">
        <f t="shared" si="36"/>
        <v>0</v>
      </c>
      <c r="D216" t="str">
        <f t="shared" si="37"/>
        <v>00</v>
      </c>
      <c r="E216">
        <f t="shared" si="38"/>
        <v>0</v>
      </c>
      <c r="F216">
        <f t="shared" si="39"/>
        <v>0</v>
      </c>
      <c r="G216" s="23" t="str">
        <f t="shared" si="40"/>
        <v>00.000</v>
      </c>
      <c r="H216" s="1" t="str">
        <f t="shared" si="41"/>
        <v>0000.000</v>
      </c>
      <c r="I216">
        <f t="shared" si="42"/>
        <v>0</v>
      </c>
      <c r="J216" t="str">
        <f t="shared" si="43"/>
        <v>000</v>
      </c>
      <c r="K216">
        <f t="shared" si="44"/>
        <v>0</v>
      </c>
      <c r="L216">
        <f t="shared" si="45"/>
        <v>0</v>
      </c>
      <c r="M216" t="str">
        <f t="shared" si="46"/>
        <v>00.000</v>
      </c>
      <c r="N216" s="1" t="str">
        <f t="shared" si="47"/>
        <v>00000.000</v>
      </c>
      <c r="O216" t="str">
        <f>IF('Import OpenCPN'!W217&gt;0,"N","S")</f>
        <v>S</v>
      </c>
      <c r="P216" t="str">
        <f>IF('Import OpenCPN'!X217&gt;0,"E","W")</f>
        <v>W</v>
      </c>
    </row>
    <row r="217" spans="1:16" x14ac:dyDescent="0.2">
      <c r="A217">
        <f>'Import OpenCPN'!W218</f>
        <v>0</v>
      </c>
      <c r="B217">
        <f>'Import OpenCPN'!X218</f>
        <v>0</v>
      </c>
      <c r="C217">
        <f t="shared" si="36"/>
        <v>0</v>
      </c>
      <c r="D217" t="str">
        <f t="shared" si="37"/>
        <v>00</v>
      </c>
      <c r="E217">
        <f t="shared" si="38"/>
        <v>0</v>
      </c>
      <c r="F217">
        <f t="shared" si="39"/>
        <v>0</v>
      </c>
      <c r="G217" s="23" t="str">
        <f t="shared" si="40"/>
        <v>00.000</v>
      </c>
      <c r="H217" s="1" t="str">
        <f t="shared" si="41"/>
        <v>0000.000</v>
      </c>
      <c r="I217">
        <f t="shared" si="42"/>
        <v>0</v>
      </c>
      <c r="J217" t="str">
        <f t="shared" si="43"/>
        <v>000</v>
      </c>
      <c r="K217">
        <f t="shared" si="44"/>
        <v>0</v>
      </c>
      <c r="L217">
        <f t="shared" si="45"/>
        <v>0</v>
      </c>
      <c r="M217" t="str">
        <f t="shared" si="46"/>
        <v>00.000</v>
      </c>
      <c r="N217" s="1" t="str">
        <f t="shared" si="47"/>
        <v>00000.000</v>
      </c>
      <c r="O217" t="str">
        <f>IF('Import OpenCPN'!W218&gt;0,"N","S")</f>
        <v>S</v>
      </c>
      <c r="P217" t="str">
        <f>IF('Import OpenCPN'!X218&gt;0,"E","W")</f>
        <v>W</v>
      </c>
    </row>
    <row r="218" spans="1:16" x14ac:dyDescent="0.2">
      <c r="A218">
        <f>'Import OpenCPN'!W219</f>
        <v>0</v>
      </c>
      <c r="B218">
        <f>'Import OpenCPN'!X219</f>
        <v>0</v>
      </c>
      <c r="C218">
        <f t="shared" si="36"/>
        <v>0</v>
      </c>
      <c r="D218" t="str">
        <f t="shared" si="37"/>
        <v>00</v>
      </c>
      <c r="E218">
        <f t="shared" si="38"/>
        <v>0</v>
      </c>
      <c r="F218">
        <f t="shared" si="39"/>
        <v>0</v>
      </c>
      <c r="G218" s="23" t="str">
        <f t="shared" si="40"/>
        <v>00.000</v>
      </c>
      <c r="H218" s="1" t="str">
        <f t="shared" si="41"/>
        <v>0000.000</v>
      </c>
      <c r="I218">
        <f t="shared" si="42"/>
        <v>0</v>
      </c>
      <c r="J218" t="str">
        <f t="shared" si="43"/>
        <v>000</v>
      </c>
      <c r="K218">
        <f t="shared" si="44"/>
        <v>0</v>
      </c>
      <c r="L218">
        <f t="shared" si="45"/>
        <v>0</v>
      </c>
      <c r="M218" t="str">
        <f t="shared" si="46"/>
        <v>00.000</v>
      </c>
      <c r="N218" s="1" t="str">
        <f t="shared" si="47"/>
        <v>00000.000</v>
      </c>
      <c r="O218" t="str">
        <f>IF('Import OpenCPN'!W219&gt;0,"N","S")</f>
        <v>S</v>
      </c>
      <c r="P218" t="str">
        <f>IF('Import OpenCPN'!X219&gt;0,"E","W")</f>
        <v>W</v>
      </c>
    </row>
    <row r="219" spans="1:16" x14ac:dyDescent="0.2">
      <c r="A219">
        <f>'Import OpenCPN'!W220</f>
        <v>0</v>
      </c>
      <c r="B219">
        <f>'Import OpenCPN'!X220</f>
        <v>0</v>
      </c>
      <c r="C219">
        <f t="shared" si="36"/>
        <v>0</v>
      </c>
      <c r="D219" t="str">
        <f t="shared" si="37"/>
        <v>00</v>
      </c>
      <c r="E219">
        <f t="shared" si="38"/>
        <v>0</v>
      </c>
      <c r="F219">
        <f t="shared" si="39"/>
        <v>0</v>
      </c>
      <c r="G219" s="23" t="str">
        <f t="shared" si="40"/>
        <v>00.000</v>
      </c>
      <c r="H219" s="1" t="str">
        <f t="shared" si="41"/>
        <v>0000.000</v>
      </c>
      <c r="I219">
        <f t="shared" si="42"/>
        <v>0</v>
      </c>
      <c r="J219" t="str">
        <f t="shared" si="43"/>
        <v>000</v>
      </c>
      <c r="K219">
        <f t="shared" si="44"/>
        <v>0</v>
      </c>
      <c r="L219">
        <f t="shared" si="45"/>
        <v>0</v>
      </c>
      <c r="M219" t="str">
        <f t="shared" si="46"/>
        <v>00.000</v>
      </c>
      <c r="N219" s="1" t="str">
        <f t="shared" si="47"/>
        <v>00000.000</v>
      </c>
      <c r="O219" t="str">
        <f>IF('Import OpenCPN'!W220&gt;0,"N","S")</f>
        <v>S</v>
      </c>
      <c r="P219" t="str">
        <f>IF('Import OpenCPN'!X220&gt;0,"E","W")</f>
        <v>W</v>
      </c>
    </row>
    <row r="220" spans="1:16" x14ac:dyDescent="0.2">
      <c r="A220">
        <f>'Import OpenCPN'!W221</f>
        <v>0</v>
      </c>
      <c r="B220">
        <f>'Import OpenCPN'!X221</f>
        <v>0</v>
      </c>
      <c r="C220">
        <f t="shared" si="36"/>
        <v>0</v>
      </c>
      <c r="D220" t="str">
        <f t="shared" si="37"/>
        <v>00</v>
      </c>
      <c r="E220">
        <f t="shared" si="38"/>
        <v>0</v>
      </c>
      <c r="F220">
        <f t="shared" si="39"/>
        <v>0</v>
      </c>
      <c r="G220" s="23" t="str">
        <f t="shared" si="40"/>
        <v>00.000</v>
      </c>
      <c r="H220" s="1" t="str">
        <f t="shared" si="41"/>
        <v>0000.000</v>
      </c>
      <c r="I220">
        <f t="shared" si="42"/>
        <v>0</v>
      </c>
      <c r="J220" t="str">
        <f t="shared" si="43"/>
        <v>000</v>
      </c>
      <c r="K220">
        <f t="shared" si="44"/>
        <v>0</v>
      </c>
      <c r="L220">
        <f t="shared" si="45"/>
        <v>0</v>
      </c>
      <c r="M220" t="str">
        <f t="shared" si="46"/>
        <v>00.000</v>
      </c>
      <c r="N220" s="1" t="str">
        <f t="shared" si="47"/>
        <v>00000.000</v>
      </c>
      <c r="O220" t="str">
        <f>IF('Import OpenCPN'!W221&gt;0,"N","S")</f>
        <v>S</v>
      </c>
      <c r="P220" t="str">
        <f>IF('Import OpenCPN'!X221&gt;0,"E","W")</f>
        <v>W</v>
      </c>
    </row>
    <row r="221" spans="1:16" x14ac:dyDescent="0.2">
      <c r="A221">
        <f>'Import OpenCPN'!W222</f>
        <v>0</v>
      </c>
      <c r="B221">
        <f>'Import OpenCPN'!X222</f>
        <v>0</v>
      </c>
      <c r="C221">
        <f t="shared" si="36"/>
        <v>0</v>
      </c>
      <c r="D221" t="str">
        <f t="shared" si="37"/>
        <v>00</v>
      </c>
      <c r="E221">
        <f t="shared" si="38"/>
        <v>0</v>
      </c>
      <c r="F221">
        <f t="shared" si="39"/>
        <v>0</v>
      </c>
      <c r="G221" s="23" t="str">
        <f t="shared" si="40"/>
        <v>00.000</v>
      </c>
      <c r="H221" s="1" t="str">
        <f t="shared" si="41"/>
        <v>0000.000</v>
      </c>
      <c r="I221">
        <f t="shared" si="42"/>
        <v>0</v>
      </c>
      <c r="J221" t="str">
        <f t="shared" si="43"/>
        <v>000</v>
      </c>
      <c r="K221">
        <f t="shared" si="44"/>
        <v>0</v>
      </c>
      <c r="L221">
        <f t="shared" si="45"/>
        <v>0</v>
      </c>
      <c r="M221" t="str">
        <f t="shared" si="46"/>
        <v>00.000</v>
      </c>
      <c r="N221" s="1" t="str">
        <f t="shared" si="47"/>
        <v>00000.000</v>
      </c>
      <c r="O221" t="str">
        <f>IF('Import OpenCPN'!W222&gt;0,"N","S")</f>
        <v>S</v>
      </c>
      <c r="P221" t="str">
        <f>IF('Import OpenCPN'!X222&gt;0,"E","W")</f>
        <v>W</v>
      </c>
    </row>
    <row r="222" spans="1:16" x14ac:dyDescent="0.2">
      <c r="A222">
        <f>'Import OpenCPN'!W223</f>
        <v>0</v>
      </c>
      <c r="B222">
        <f>'Import OpenCPN'!X223</f>
        <v>0</v>
      </c>
      <c r="C222">
        <f t="shared" si="36"/>
        <v>0</v>
      </c>
      <c r="D222" t="str">
        <f t="shared" si="37"/>
        <v>00</v>
      </c>
      <c r="E222">
        <f t="shared" si="38"/>
        <v>0</v>
      </c>
      <c r="F222">
        <f t="shared" si="39"/>
        <v>0</v>
      </c>
      <c r="G222" s="23" t="str">
        <f t="shared" si="40"/>
        <v>00.000</v>
      </c>
      <c r="H222" s="1" t="str">
        <f t="shared" si="41"/>
        <v>0000.000</v>
      </c>
      <c r="I222">
        <f t="shared" si="42"/>
        <v>0</v>
      </c>
      <c r="J222" t="str">
        <f t="shared" si="43"/>
        <v>000</v>
      </c>
      <c r="K222">
        <f t="shared" si="44"/>
        <v>0</v>
      </c>
      <c r="L222">
        <f t="shared" si="45"/>
        <v>0</v>
      </c>
      <c r="M222" t="str">
        <f t="shared" si="46"/>
        <v>00.000</v>
      </c>
      <c r="N222" s="1" t="str">
        <f t="shared" si="47"/>
        <v>00000.000</v>
      </c>
      <c r="O222" t="str">
        <f>IF('Import OpenCPN'!W223&gt;0,"N","S")</f>
        <v>S</v>
      </c>
      <c r="P222" t="str">
        <f>IF('Import OpenCPN'!X223&gt;0,"E","W")</f>
        <v>W</v>
      </c>
    </row>
    <row r="223" spans="1:16" x14ac:dyDescent="0.2">
      <c r="A223">
        <f>'Import OpenCPN'!W224</f>
        <v>0</v>
      </c>
      <c r="B223">
        <f>'Import OpenCPN'!X224</f>
        <v>0</v>
      </c>
      <c r="C223">
        <f t="shared" si="36"/>
        <v>0</v>
      </c>
      <c r="D223" t="str">
        <f t="shared" si="37"/>
        <v>00</v>
      </c>
      <c r="E223">
        <f t="shared" si="38"/>
        <v>0</v>
      </c>
      <c r="F223">
        <f t="shared" si="39"/>
        <v>0</v>
      </c>
      <c r="G223" s="23" t="str">
        <f t="shared" si="40"/>
        <v>00.000</v>
      </c>
      <c r="H223" s="1" t="str">
        <f t="shared" si="41"/>
        <v>0000.000</v>
      </c>
      <c r="I223">
        <f t="shared" si="42"/>
        <v>0</v>
      </c>
      <c r="J223" t="str">
        <f t="shared" si="43"/>
        <v>000</v>
      </c>
      <c r="K223">
        <f t="shared" si="44"/>
        <v>0</v>
      </c>
      <c r="L223">
        <f t="shared" si="45"/>
        <v>0</v>
      </c>
      <c r="M223" t="str">
        <f t="shared" si="46"/>
        <v>00.000</v>
      </c>
      <c r="N223" s="1" t="str">
        <f t="shared" si="47"/>
        <v>00000.000</v>
      </c>
      <c r="O223" t="str">
        <f>IF('Import OpenCPN'!W224&gt;0,"N","S")</f>
        <v>S</v>
      </c>
      <c r="P223" t="str">
        <f>IF('Import OpenCPN'!X224&gt;0,"E","W")</f>
        <v>W</v>
      </c>
    </row>
    <row r="224" spans="1:16" x14ac:dyDescent="0.2">
      <c r="A224">
        <f>'Import OpenCPN'!W225</f>
        <v>0</v>
      </c>
      <c r="B224">
        <f>'Import OpenCPN'!X225</f>
        <v>0</v>
      </c>
      <c r="C224">
        <f t="shared" si="36"/>
        <v>0</v>
      </c>
      <c r="D224" t="str">
        <f t="shared" si="37"/>
        <v>00</v>
      </c>
      <c r="E224">
        <f t="shared" si="38"/>
        <v>0</v>
      </c>
      <c r="F224">
        <f t="shared" si="39"/>
        <v>0</v>
      </c>
      <c r="G224" s="23" t="str">
        <f t="shared" si="40"/>
        <v>00.000</v>
      </c>
      <c r="H224" s="1" t="str">
        <f t="shared" si="41"/>
        <v>0000.000</v>
      </c>
      <c r="I224">
        <f t="shared" si="42"/>
        <v>0</v>
      </c>
      <c r="J224" t="str">
        <f t="shared" si="43"/>
        <v>000</v>
      </c>
      <c r="K224">
        <f t="shared" si="44"/>
        <v>0</v>
      </c>
      <c r="L224">
        <f t="shared" si="45"/>
        <v>0</v>
      </c>
      <c r="M224" t="str">
        <f t="shared" si="46"/>
        <v>00.000</v>
      </c>
      <c r="N224" s="1" t="str">
        <f t="shared" si="47"/>
        <v>00000.000</v>
      </c>
      <c r="O224" t="str">
        <f>IF('Import OpenCPN'!W225&gt;0,"N","S")</f>
        <v>S</v>
      </c>
      <c r="P224" t="str">
        <f>IF('Import OpenCPN'!X225&gt;0,"E","W")</f>
        <v>W</v>
      </c>
    </row>
    <row r="225" spans="1:16" x14ac:dyDescent="0.2">
      <c r="A225">
        <f>'Import OpenCPN'!W226</f>
        <v>0</v>
      </c>
      <c r="B225">
        <f>'Import OpenCPN'!X226</f>
        <v>0</v>
      </c>
      <c r="C225">
        <f t="shared" si="36"/>
        <v>0</v>
      </c>
      <c r="D225" t="str">
        <f t="shared" si="37"/>
        <v>00</v>
      </c>
      <c r="E225">
        <f t="shared" si="38"/>
        <v>0</v>
      </c>
      <c r="F225">
        <f t="shared" si="39"/>
        <v>0</v>
      </c>
      <c r="G225" s="23" t="str">
        <f t="shared" si="40"/>
        <v>00.000</v>
      </c>
      <c r="H225" s="1" t="str">
        <f t="shared" si="41"/>
        <v>0000.000</v>
      </c>
      <c r="I225">
        <f t="shared" si="42"/>
        <v>0</v>
      </c>
      <c r="J225" t="str">
        <f t="shared" si="43"/>
        <v>000</v>
      </c>
      <c r="K225">
        <f t="shared" si="44"/>
        <v>0</v>
      </c>
      <c r="L225">
        <f t="shared" si="45"/>
        <v>0</v>
      </c>
      <c r="M225" t="str">
        <f t="shared" si="46"/>
        <v>00.000</v>
      </c>
      <c r="N225" s="1" t="str">
        <f t="shared" si="47"/>
        <v>00000.000</v>
      </c>
      <c r="O225" t="str">
        <f>IF('Import OpenCPN'!W226&gt;0,"N","S")</f>
        <v>S</v>
      </c>
      <c r="P225" t="str">
        <f>IF('Import OpenCPN'!X226&gt;0,"E","W")</f>
        <v>W</v>
      </c>
    </row>
    <row r="226" spans="1:16" x14ac:dyDescent="0.2">
      <c r="A226">
        <f>'Import OpenCPN'!W227</f>
        <v>0</v>
      </c>
      <c r="B226">
        <f>'Import OpenCPN'!X227</f>
        <v>0</v>
      </c>
      <c r="C226">
        <f t="shared" si="36"/>
        <v>0</v>
      </c>
      <c r="D226" t="str">
        <f t="shared" si="37"/>
        <v>00</v>
      </c>
      <c r="E226">
        <f t="shared" si="38"/>
        <v>0</v>
      </c>
      <c r="F226">
        <f t="shared" si="39"/>
        <v>0</v>
      </c>
      <c r="G226" s="23" t="str">
        <f t="shared" si="40"/>
        <v>00.000</v>
      </c>
      <c r="H226" s="1" t="str">
        <f t="shared" si="41"/>
        <v>0000.000</v>
      </c>
      <c r="I226">
        <f t="shared" si="42"/>
        <v>0</v>
      </c>
      <c r="J226" t="str">
        <f t="shared" si="43"/>
        <v>000</v>
      </c>
      <c r="K226">
        <f t="shared" si="44"/>
        <v>0</v>
      </c>
      <c r="L226">
        <f t="shared" si="45"/>
        <v>0</v>
      </c>
      <c r="M226" t="str">
        <f t="shared" si="46"/>
        <v>00.000</v>
      </c>
      <c r="N226" s="1" t="str">
        <f t="shared" si="47"/>
        <v>00000.000</v>
      </c>
      <c r="O226" t="str">
        <f>IF('Import OpenCPN'!W227&gt;0,"N","S")</f>
        <v>S</v>
      </c>
      <c r="P226" t="str">
        <f>IF('Import OpenCPN'!X227&gt;0,"E","W")</f>
        <v>W</v>
      </c>
    </row>
    <row r="227" spans="1:16" x14ac:dyDescent="0.2">
      <c r="A227">
        <f>'Import OpenCPN'!W228</f>
        <v>0</v>
      </c>
      <c r="B227">
        <f>'Import OpenCPN'!X228</f>
        <v>0</v>
      </c>
      <c r="C227">
        <f t="shared" si="36"/>
        <v>0</v>
      </c>
      <c r="D227" t="str">
        <f t="shared" si="37"/>
        <v>00</v>
      </c>
      <c r="E227">
        <f t="shared" si="38"/>
        <v>0</v>
      </c>
      <c r="F227">
        <f t="shared" si="39"/>
        <v>0</v>
      </c>
      <c r="G227" s="23" t="str">
        <f t="shared" si="40"/>
        <v>00.000</v>
      </c>
      <c r="H227" s="1" t="str">
        <f t="shared" si="41"/>
        <v>0000.000</v>
      </c>
      <c r="I227">
        <f t="shared" si="42"/>
        <v>0</v>
      </c>
      <c r="J227" t="str">
        <f t="shared" si="43"/>
        <v>000</v>
      </c>
      <c r="K227">
        <f t="shared" si="44"/>
        <v>0</v>
      </c>
      <c r="L227">
        <f t="shared" si="45"/>
        <v>0</v>
      </c>
      <c r="M227" t="str">
        <f t="shared" si="46"/>
        <v>00.000</v>
      </c>
      <c r="N227" s="1" t="str">
        <f t="shared" si="47"/>
        <v>00000.000</v>
      </c>
      <c r="O227" t="str">
        <f>IF('Import OpenCPN'!W228&gt;0,"N","S")</f>
        <v>S</v>
      </c>
      <c r="P227" t="str">
        <f>IF('Import OpenCPN'!X228&gt;0,"E","W")</f>
        <v>W</v>
      </c>
    </row>
    <row r="228" spans="1:16" x14ac:dyDescent="0.2">
      <c r="A228">
        <f>'Import OpenCPN'!W229</f>
        <v>0</v>
      </c>
      <c r="B228">
        <f>'Import OpenCPN'!X229</f>
        <v>0</v>
      </c>
      <c r="C228">
        <f t="shared" si="36"/>
        <v>0</v>
      </c>
      <c r="D228" t="str">
        <f t="shared" si="37"/>
        <v>00</v>
      </c>
      <c r="E228">
        <f t="shared" si="38"/>
        <v>0</v>
      </c>
      <c r="F228">
        <f t="shared" si="39"/>
        <v>0</v>
      </c>
      <c r="G228" s="23" t="str">
        <f t="shared" si="40"/>
        <v>00.000</v>
      </c>
      <c r="H228" s="1" t="str">
        <f t="shared" si="41"/>
        <v>0000.000</v>
      </c>
      <c r="I228">
        <f t="shared" si="42"/>
        <v>0</v>
      </c>
      <c r="J228" t="str">
        <f t="shared" si="43"/>
        <v>000</v>
      </c>
      <c r="K228">
        <f t="shared" si="44"/>
        <v>0</v>
      </c>
      <c r="L228">
        <f t="shared" si="45"/>
        <v>0</v>
      </c>
      <c r="M228" t="str">
        <f t="shared" si="46"/>
        <v>00.000</v>
      </c>
      <c r="N228" s="1" t="str">
        <f t="shared" si="47"/>
        <v>00000.000</v>
      </c>
      <c r="O228" t="str">
        <f>IF('Import OpenCPN'!W229&gt;0,"N","S")</f>
        <v>S</v>
      </c>
      <c r="P228" t="str">
        <f>IF('Import OpenCPN'!X229&gt;0,"E","W")</f>
        <v>W</v>
      </c>
    </row>
    <row r="229" spans="1:16" x14ac:dyDescent="0.2">
      <c r="A229">
        <f>'Import OpenCPN'!W230</f>
        <v>0</v>
      </c>
      <c r="B229">
        <f>'Import OpenCPN'!X230</f>
        <v>0</v>
      </c>
      <c r="C229">
        <f t="shared" si="36"/>
        <v>0</v>
      </c>
      <c r="D229" t="str">
        <f t="shared" si="37"/>
        <v>00</v>
      </c>
      <c r="E229">
        <f t="shared" si="38"/>
        <v>0</v>
      </c>
      <c r="F229">
        <f t="shared" si="39"/>
        <v>0</v>
      </c>
      <c r="G229" s="23" t="str">
        <f t="shared" si="40"/>
        <v>00.000</v>
      </c>
      <c r="H229" s="1" t="str">
        <f t="shared" si="41"/>
        <v>0000.000</v>
      </c>
      <c r="I229">
        <f t="shared" si="42"/>
        <v>0</v>
      </c>
      <c r="J229" t="str">
        <f t="shared" si="43"/>
        <v>000</v>
      </c>
      <c r="K229">
        <f t="shared" si="44"/>
        <v>0</v>
      </c>
      <c r="L229">
        <f t="shared" si="45"/>
        <v>0</v>
      </c>
      <c r="M229" t="str">
        <f t="shared" si="46"/>
        <v>00.000</v>
      </c>
      <c r="N229" s="1" t="str">
        <f t="shared" si="47"/>
        <v>00000.000</v>
      </c>
      <c r="O229" t="str">
        <f>IF('Import OpenCPN'!W230&gt;0,"N","S")</f>
        <v>S</v>
      </c>
      <c r="P229" t="str">
        <f>IF('Import OpenCPN'!X230&gt;0,"E","W")</f>
        <v>W</v>
      </c>
    </row>
    <row r="230" spans="1:16" x14ac:dyDescent="0.2">
      <c r="A230">
        <f>'Import OpenCPN'!W231</f>
        <v>0</v>
      </c>
      <c r="B230">
        <f>'Import OpenCPN'!X231</f>
        <v>0</v>
      </c>
      <c r="C230">
        <f t="shared" si="36"/>
        <v>0</v>
      </c>
      <c r="D230" t="str">
        <f t="shared" si="37"/>
        <v>00</v>
      </c>
      <c r="E230">
        <f t="shared" si="38"/>
        <v>0</v>
      </c>
      <c r="F230">
        <f t="shared" si="39"/>
        <v>0</v>
      </c>
      <c r="G230" s="23" t="str">
        <f t="shared" si="40"/>
        <v>00.000</v>
      </c>
      <c r="H230" s="1" t="str">
        <f t="shared" si="41"/>
        <v>0000.000</v>
      </c>
      <c r="I230">
        <f t="shared" si="42"/>
        <v>0</v>
      </c>
      <c r="J230" t="str">
        <f t="shared" si="43"/>
        <v>000</v>
      </c>
      <c r="K230">
        <f t="shared" si="44"/>
        <v>0</v>
      </c>
      <c r="L230">
        <f t="shared" si="45"/>
        <v>0</v>
      </c>
      <c r="M230" t="str">
        <f t="shared" si="46"/>
        <v>00.000</v>
      </c>
      <c r="N230" s="1" t="str">
        <f t="shared" si="47"/>
        <v>00000.000</v>
      </c>
      <c r="O230" t="str">
        <f>IF('Import OpenCPN'!W231&gt;0,"N","S")</f>
        <v>S</v>
      </c>
      <c r="P230" t="str">
        <f>IF('Import OpenCPN'!X231&gt;0,"E","W")</f>
        <v>W</v>
      </c>
    </row>
    <row r="231" spans="1:16" x14ac:dyDescent="0.2">
      <c r="A231">
        <f>'Import OpenCPN'!W232</f>
        <v>0</v>
      </c>
      <c r="B231">
        <f>'Import OpenCPN'!X232</f>
        <v>0</v>
      </c>
      <c r="C231">
        <f t="shared" si="36"/>
        <v>0</v>
      </c>
      <c r="D231" t="str">
        <f t="shared" si="37"/>
        <v>00</v>
      </c>
      <c r="E231">
        <f t="shared" si="38"/>
        <v>0</v>
      </c>
      <c r="F231">
        <f t="shared" si="39"/>
        <v>0</v>
      </c>
      <c r="G231" s="23" t="str">
        <f t="shared" si="40"/>
        <v>00.000</v>
      </c>
      <c r="H231" s="1" t="str">
        <f t="shared" si="41"/>
        <v>0000.000</v>
      </c>
      <c r="I231">
        <f t="shared" si="42"/>
        <v>0</v>
      </c>
      <c r="J231" t="str">
        <f t="shared" si="43"/>
        <v>000</v>
      </c>
      <c r="K231">
        <f t="shared" si="44"/>
        <v>0</v>
      </c>
      <c r="L231">
        <f t="shared" si="45"/>
        <v>0</v>
      </c>
      <c r="M231" t="str">
        <f t="shared" si="46"/>
        <v>00.000</v>
      </c>
      <c r="N231" s="1" t="str">
        <f t="shared" si="47"/>
        <v>00000.000</v>
      </c>
      <c r="O231" t="str">
        <f>IF('Import OpenCPN'!W232&gt;0,"N","S")</f>
        <v>S</v>
      </c>
      <c r="P231" t="str">
        <f>IF('Import OpenCPN'!X232&gt;0,"E","W")</f>
        <v>W</v>
      </c>
    </row>
    <row r="232" spans="1:16" x14ac:dyDescent="0.2">
      <c r="A232">
        <f>'Import OpenCPN'!W233</f>
        <v>0</v>
      </c>
      <c r="B232">
        <f>'Import OpenCPN'!X233</f>
        <v>0</v>
      </c>
      <c r="C232">
        <f t="shared" si="36"/>
        <v>0</v>
      </c>
      <c r="D232" t="str">
        <f t="shared" si="37"/>
        <v>00</v>
      </c>
      <c r="E232">
        <f t="shared" si="38"/>
        <v>0</v>
      </c>
      <c r="F232">
        <f t="shared" si="39"/>
        <v>0</v>
      </c>
      <c r="G232" s="23" t="str">
        <f t="shared" si="40"/>
        <v>00.000</v>
      </c>
      <c r="H232" s="1" t="str">
        <f t="shared" si="41"/>
        <v>0000.000</v>
      </c>
      <c r="I232">
        <f t="shared" si="42"/>
        <v>0</v>
      </c>
      <c r="J232" t="str">
        <f t="shared" si="43"/>
        <v>000</v>
      </c>
      <c r="K232">
        <f t="shared" si="44"/>
        <v>0</v>
      </c>
      <c r="L232">
        <f t="shared" si="45"/>
        <v>0</v>
      </c>
      <c r="M232" t="str">
        <f t="shared" si="46"/>
        <v>00.000</v>
      </c>
      <c r="N232" s="1" t="str">
        <f t="shared" si="47"/>
        <v>00000.000</v>
      </c>
      <c r="O232" t="str">
        <f>IF('Import OpenCPN'!W233&gt;0,"N","S")</f>
        <v>S</v>
      </c>
      <c r="P232" t="str">
        <f>IF('Import OpenCPN'!X233&gt;0,"E","W")</f>
        <v>W</v>
      </c>
    </row>
    <row r="233" spans="1:16" x14ac:dyDescent="0.2">
      <c r="A233">
        <f>'Import OpenCPN'!W234</f>
        <v>0</v>
      </c>
      <c r="B233">
        <f>'Import OpenCPN'!X234</f>
        <v>0</v>
      </c>
      <c r="C233">
        <f t="shared" si="36"/>
        <v>0</v>
      </c>
      <c r="D233" t="str">
        <f t="shared" si="37"/>
        <v>00</v>
      </c>
      <c r="E233">
        <f t="shared" si="38"/>
        <v>0</v>
      </c>
      <c r="F233">
        <f t="shared" si="39"/>
        <v>0</v>
      </c>
      <c r="G233" s="23" t="str">
        <f t="shared" si="40"/>
        <v>00.000</v>
      </c>
      <c r="H233" s="1" t="str">
        <f t="shared" si="41"/>
        <v>0000.000</v>
      </c>
      <c r="I233">
        <f t="shared" si="42"/>
        <v>0</v>
      </c>
      <c r="J233" t="str">
        <f t="shared" si="43"/>
        <v>000</v>
      </c>
      <c r="K233">
        <f t="shared" si="44"/>
        <v>0</v>
      </c>
      <c r="L233">
        <f t="shared" si="45"/>
        <v>0</v>
      </c>
      <c r="M233" t="str">
        <f t="shared" si="46"/>
        <v>00.000</v>
      </c>
      <c r="N233" s="1" t="str">
        <f t="shared" si="47"/>
        <v>00000.000</v>
      </c>
      <c r="O233" t="str">
        <f>IF('Import OpenCPN'!W234&gt;0,"N","S")</f>
        <v>S</v>
      </c>
      <c r="P233" t="str">
        <f>IF('Import OpenCPN'!X234&gt;0,"E","W")</f>
        <v>W</v>
      </c>
    </row>
    <row r="234" spans="1:16" x14ac:dyDescent="0.2">
      <c r="A234">
        <f>'Import OpenCPN'!W235</f>
        <v>0</v>
      </c>
      <c r="B234">
        <f>'Import OpenCPN'!X235</f>
        <v>0</v>
      </c>
      <c r="C234">
        <f t="shared" si="36"/>
        <v>0</v>
      </c>
      <c r="D234" t="str">
        <f t="shared" si="37"/>
        <v>00</v>
      </c>
      <c r="E234">
        <f t="shared" si="38"/>
        <v>0</v>
      </c>
      <c r="F234">
        <f t="shared" si="39"/>
        <v>0</v>
      </c>
      <c r="G234" s="23" t="str">
        <f t="shared" si="40"/>
        <v>00.000</v>
      </c>
      <c r="H234" s="1" t="str">
        <f t="shared" si="41"/>
        <v>0000.000</v>
      </c>
      <c r="I234">
        <f t="shared" si="42"/>
        <v>0</v>
      </c>
      <c r="J234" t="str">
        <f t="shared" si="43"/>
        <v>000</v>
      </c>
      <c r="K234">
        <f t="shared" si="44"/>
        <v>0</v>
      </c>
      <c r="L234">
        <f t="shared" si="45"/>
        <v>0</v>
      </c>
      <c r="M234" t="str">
        <f t="shared" si="46"/>
        <v>00.000</v>
      </c>
      <c r="N234" s="1" t="str">
        <f t="shared" si="47"/>
        <v>00000.000</v>
      </c>
      <c r="O234" t="str">
        <f>IF('Import OpenCPN'!W235&gt;0,"N","S")</f>
        <v>S</v>
      </c>
      <c r="P234" t="str">
        <f>IF('Import OpenCPN'!X235&gt;0,"E","W")</f>
        <v>W</v>
      </c>
    </row>
    <row r="235" spans="1:16" x14ac:dyDescent="0.2">
      <c r="A235">
        <f>'Import OpenCPN'!W236</f>
        <v>0</v>
      </c>
      <c r="B235">
        <f>'Import OpenCPN'!X236</f>
        <v>0</v>
      </c>
      <c r="C235">
        <f t="shared" si="36"/>
        <v>0</v>
      </c>
      <c r="D235" t="str">
        <f t="shared" si="37"/>
        <v>00</v>
      </c>
      <c r="E235">
        <f t="shared" si="38"/>
        <v>0</v>
      </c>
      <c r="F235">
        <f t="shared" si="39"/>
        <v>0</v>
      </c>
      <c r="G235" s="23" t="str">
        <f t="shared" si="40"/>
        <v>00.000</v>
      </c>
      <c r="H235" s="1" t="str">
        <f t="shared" si="41"/>
        <v>0000.000</v>
      </c>
      <c r="I235">
        <f t="shared" si="42"/>
        <v>0</v>
      </c>
      <c r="J235" t="str">
        <f t="shared" si="43"/>
        <v>000</v>
      </c>
      <c r="K235">
        <f t="shared" si="44"/>
        <v>0</v>
      </c>
      <c r="L235">
        <f t="shared" si="45"/>
        <v>0</v>
      </c>
      <c r="M235" t="str">
        <f t="shared" si="46"/>
        <v>00.000</v>
      </c>
      <c r="N235" s="1" t="str">
        <f t="shared" si="47"/>
        <v>00000.000</v>
      </c>
      <c r="O235" t="str">
        <f>IF('Import OpenCPN'!W236&gt;0,"N","S")</f>
        <v>S</v>
      </c>
      <c r="P235" t="str">
        <f>IF('Import OpenCPN'!X236&gt;0,"E","W")</f>
        <v>W</v>
      </c>
    </row>
    <row r="236" spans="1:16" x14ac:dyDescent="0.2">
      <c r="A236">
        <f>'Import OpenCPN'!W237</f>
        <v>0</v>
      </c>
      <c r="B236">
        <f>'Import OpenCPN'!X237</f>
        <v>0</v>
      </c>
      <c r="C236">
        <f t="shared" si="36"/>
        <v>0</v>
      </c>
      <c r="D236" t="str">
        <f t="shared" si="37"/>
        <v>00</v>
      </c>
      <c r="E236">
        <f t="shared" si="38"/>
        <v>0</v>
      </c>
      <c r="F236">
        <f t="shared" si="39"/>
        <v>0</v>
      </c>
      <c r="G236" s="23" t="str">
        <f t="shared" si="40"/>
        <v>00.000</v>
      </c>
      <c r="H236" s="1" t="str">
        <f t="shared" si="41"/>
        <v>0000.000</v>
      </c>
      <c r="I236">
        <f t="shared" si="42"/>
        <v>0</v>
      </c>
      <c r="J236" t="str">
        <f t="shared" si="43"/>
        <v>000</v>
      </c>
      <c r="K236">
        <f t="shared" si="44"/>
        <v>0</v>
      </c>
      <c r="L236">
        <f t="shared" si="45"/>
        <v>0</v>
      </c>
      <c r="M236" t="str">
        <f t="shared" si="46"/>
        <v>00.000</v>
      </c>
      <c r="N236" s="1" t="str">
        <f t="shared" si="47"/>
        <v>00000.000</v>
      </c>
      <c r="O236" t="str">
        <f>IF('Import OpenCPN'!W237&gt;0,"N","S")</f>
        <v>S</v>
      </c>
      <c r="P236" t="str">
        <f>IF('Import OpenCPN'!X237&gt;0,"E","W")</f>
        <v>W</v>
      </c>
    </row>
    <row r="237" spans="1:16" x14ac:dyDescent="0.2">
      <c r="A237">
        <f>'Import OpenCPN'!W238</f>
        <v>0</v>
      </c>
      <c r="B237">
        <f>'Import OpenCPN'!X238</f>
        <v>0</v>
      </c>
      <c r="C237">
        <f t="shared" si="36"/>
        <v>0</v>
      </c>
      <c r="D237" t="str">
        <f t="shared" si="37"/>
        <v>00</v>
      </c>
      <c r="E237">
        <f t="shared" si="38"/>
        <v>0</v>
      </c>
      <c r="F237">
        <f t="shared" si="39"/>
        <v>0</v>
      </c>
      <c r="G237" s="23" t="str">
        <f t="shared" si="40"/>
        <v>00.000</v>
      </c>
      <c r="H237" s="1" t="str">
        <f t="shared" si="41"/>
        <v>0000.000</v>
      </c>
      <c r="I237">
        <f t="shared" si="42"/>
        <v>0</v>
      </c>
      <c r="J237" t="str">
        <f t="shared" si="43"/>
        <v>000</v>
      </c>
      <c r="K237">
        <f t="shared" si="44"/>
        <v>0</v>
      </c>
      <c r="L237">
        <f t="shared" si="45"/>
        <v>0</v>
      </c>
      <c r="M237" t="str">
        <f t="shared" si="46"/>
        <v>00.000</v>
      </c>
      <c r="N237" s="1" t="str">
        <f t="shared" si="47"/>
        <v>00000.000</v>
      </c>
      <c r="O237" t="str">
        <f>IF('Import OpenCPN'!W238&gt;0,"N","S")</f>
        <v>S</v>
      </c>
      <c r="P237" t="str">
        <f>IF('Import OpenCPN'!X238&gt;0,"E","W")</f>
        <v>W</v>
      </c>
    </row>
    <row r="238" spans="1:16" x14ac:dyDescent="0.2">
      <c r="A238">
        <f>'Import OpenCPN'!W239</f>
        <v>0</v>
      </c>
      <c r="B238">
        <f>'Import OpenCPN'!X239</f>
        <v>0</v>
      </c>
      <c r="C238">
        <f t="shared" si="36"/>
        <v>0</v>
      </c>
      <c r="D238" t="str">
        <f t="shared" si="37"/>
        <v>00</v>
      </c>
      <c r="E238">
        <f t="shared" si="38"/>
        <v>0</v>
      </c>
      <c r="F238">
        <f t="shared" si="39"/>
        <v>0</v>
      </c>
      <c r="G238" s="23" t="str">
        <f t="shared" si="40"/>
        <v>00.000</v>
      </c>
      <c r="H238" s="1" t="str">
        <f t="shared" si="41"/>
        <v>0000.000</v>
      </c>
      <c r="I238">
        <f t="shared" si="42"/>
        <v>0</v>
      </c>
      <c r="J238" t="str">
        <f t="shared" si="43"/>
        <v>000</v>
      </c>
      <c r="K238">
        <f t="shared" si="44"/>
        <v>0</v>
      </c>
      <c r="L238">
        <f t="shared" si="45"/>
        <v>0</v>
      </c>
      <c r="M238" t="str">
        <f t="shared" si="46"/>
        <v>00.000</v>
      </c>
      <c r="N238" s="1" t="str">
        <f t="shared" si="47"/>
        <v>00000.000</v>
      </c>
      <c r="O238" t="str">
        <f>IF('Import OpenCPN'!W239&gt;0,"N","S")</f>
        <v>S</v>
      </c>
      <c r="P238" t="str">
        <f>IF('Import OpenCPN'!X239&gt;0,"E","W")</f>
        <v>W</v>
      </c>
    </row>
    <row r="239" spans="1:16" x14ac:dyDescent="0.2">
      <c r="A239">
        <f>'Import OpenCPN'!W240</f>
        <v>0</v>
      </c>
      <c r="B239">
        <f>'Import OpenCPN'!X240</f>
        <v>0</v>
      </c>
      <c r="C239">
        <f t="shared" si="36"/>
        <v>0</v>
      </c>
      <c r="D239" t="str">
        <f t="shared" si="37"/>
        <v>00</v>
      </c>
      <c r="E239">
        <f t="shared" si="38"/>
        <v>0</v>
      </c>
      <c r="F239">
        <f t="shared" si="39"/>
        <v>0</v>
      </c>
      <c r="G239" s="23" t="str">
        <f t="shared" si="40"/>
        <v>00.000</v>
      </c>
      <c r="H239" s="1" t="str">
        <f t="shared" si="41"/>
        <v>0000.000</v>
      </c>
      <c r="I239">
        <f t="shared" si="42"/>
        <v>0</v>
      </c>
      <c r="J239" t="str">
        <f t="shared" si="43"/>
        <v>000</v>
      </c>
      <c r="K239">
        <f t="shared" si="44"/>
        <v>0</v>
      </c>
      <c r="L239">
        <f t="shared" si="45"/>
        <v>0</v>
      </c>
      <c r="M239" t="str">
        <f t="shared" si="46"/>
        <v>00.000</v>
      </c>
      <c r="N239" s="1" t="str">
        <f t="shared" si="47"/>
        <v>00000.000</v>
      </c>
      <c r="O239" t="str">
        <f>IF('Import OpenCPN'!W240&gt;0,"N","S")</f>
        <v>S</v>
      </c>
      <c r="P239" t="str">
        <f>IF('Import OpenCPN'!X240&gt;0,"E","W")</f>
        <v>W</v>
      </c>
    </row>
    <row r="240" spans="1:16" x14ac:dyDescent="0.2">
      <c r="A240">
        <f>'Import OpenCPN'!W241</f>
        <v>0</v>
      </c>
      <c r="B240">
        <f>'Import OpenCPN'!X241</f>
        <v>0</v>
      </c>
      <c r="C240">
        <f t="shared" si="36"/>
        <v>0</v>
      </c>
      <c r="D240" t="str">
        <f t="shared" si="37"/>
        <v>00</v>
      </c>
      <c r="E240">
        <f t="shared" si="38"/>
        <v>0</v>
      </c>
      <c r="F240">
        <f t="shared" si="39"/>
        <v>0</v>
      </c>
      <c r="G240" s="23" t="str">
        <f t="shared" si="40"/>
        <v>00.000</v>
      </c>
      <c r="H240" s="1" t="str">
        <f t="shared" si="41"/>
        <v>0000.000</v>
      </c>
      <c r="I240">
        <f t="shared" si="42"/>
        <v>0</v>
      </c>
      <c r="J240" t="str">
        <f t="shared" si="43"/>
        <v>000</v>
      </c>
      <c r="K240">
        <f t="shared" si="44"/>
        <v>0</v>
      </c>
      <c r="L240">
        <f t="shared" si="45"/>
        <v>0</v>
      </c>
      <c r="M240" t="str">
        <f t="shared" si="46"/>
        <v>00.000</v>
      </c>
      <c r="N240" s="1" t="str">
        <f t="shared" si="47"/>
        <v>00000.000</v>
      </c>
      <c r="O240" t="str">
        <f>IF('Import OpenCPN'!W241&gt;0,"N","S")</f>
        <v>S</v>
      </c>
      <c r="P240" t="str">
        <f>IF('Import OpenCPN'!X241&gt;0,"E","W")</f>
        <v>W</v>
      </c>
    </row>
    <row r="241" spans="1:16" x14ac:dyDescent="0.2">
      <c r="A241">
        <f>'Import OpenCPN'!W242</f>
        <v>0</v>
      </c>
      <c r="B241">
        <f>'Import OpenCPN'!X242</f>
        <v>0</v>
      </c>
      <c r="C241">
        <f t="shared" si="36"/>
        <v>0</v>
      </c>
      <c r="D241" t="str">
        <f t="shared" si="37"/>
        <v>00</v>
      </c>
      <c r="E241">
        <f t="shared" si="38"/>
        <v>0</v>
      </c>
      <c r="F241">
        <f t="shared" si="39"/>
        <v>0</v>
      </c>
      <c r="G241" s="23" t="str">
        <f t="shared" si="40"/>
        <v>00.000</v>
      </c>
      <c r="H241" s="1" t="str">
        <f t="shared" si="41"/>
        <v>0000.000</v>
      </c>
      <c r="I241">
        <f t="shared" si="42"/>
        <v>0</v>
      </c>
      <c r="J241" t="str">
        <f t="shared" si="43"/>
        <v>000</v>
      </c>
      <c r="K241">
        <f t="shared" si="44"/>
        <v>0</v>
      </c>
      <c r="L241">
        <f t="shared" si="45"/>
        <v>0</v>
      </c>
      <c r="M241" t="str">
        <f t="shared" si="46"/>
        <v>00.000</v>
      </c>
      <c r="N241" s="1" t="str">
        <f t="shared" si="47"/>
        <v>00000.000</v>
      </c>
      <c r="O241" t="str">
        <f>IF('Import OpenCPN'!W242&gt;0,"N","S")</f>
        <v>S</v>
      </c>
      <c r="P241" t="str">
        <f>IF('Import OpenCPN'!X242&gt;0,"E","W")</f>
        <v>W</v>
      </c>
    </row>
    <row r="242" spans="1:16" x14ac:dyDescent="0.2">
      <c r="A242">
        <f>'Import OpenCPN'!W243</f>
        <v>0</v>
      </c>
      <c r="B242">
        <f>'Import OpenCPN'!X243</f>
        <v>0</v>
      </c>
      <c r="C242">
        <f t="shared" si="36"/>
        <v>0</v>
      </c>
      <c r="D242" t="str">
        <f t="shared" si="37"/>
        <v>00</v>
      </c>
      <c r="E242">
        <f t="shared" si="38"/>
        <v>0</v>
      </c>
      <c r="F242">
        <f t="shared" si="39"/>
        <v>0</v>
      </c>
      <c r="G242" s="23" t="str">
        <f t="shared" si="40"/>
        <v>00.000</v>
      </c>
      <c r="H242" s="1" t="str">
        <f t="shared" si="41"/>
        <v>0000.000</v>
      </c>
      <c r="I242">
        <f t="shared" si="42"/>
        <v>0</v>
      </c>
      <c r="J242" t="str">
        <f t="shared" si="43"/>
        <v>000</v>
      </c>
      <c r="K242">
        <f t="shared" si="44"/>
        <v>0</v>
      </c>
      <c r="L242">
        <f t="shared" si="45"/>
        <v>0</v>
      </c>
      <c r="M242" t="str">
        <f t="shared" si="46"/>
        <v>00.000</v>
      </c>
      <c r="N242" s="1" t="str">
        <f t="shared" si="47"/>
        <v>00000.000</v>
      </c>
      <c r="O242" t="str">
        <f>IF('Import OpenCPN'!W243&gt;0,"N","S")</f>
        <v>S</v>
      </c>
      <c r="P242" t="str">
        <f>IF('Import OpenCPN'!X243&gt;0,"E","W")</f>
        <v>W</v>
      </c>
    </row>
    <row r="243" spans="1:16" x14ac:dyDescent="0.2">
      <c r="A243">
        <f>'Import OpenCPN'!W244</f>
        <v>0</v>
      </c>
      <c r="B243">
        <f>'Import OpenCPN'!X244</f>
        <v>0</v>
      </c>
      <c r="C243">
        <f t="shared" si="36"/>
        <v>0</v>
      </c>
      <c r="D243" t="str">
        <f t="shared" si="37"/>
        <v>00</v>
      </c>
      <c r="E243">
        <f t="shared" si="38"/>
        <v>0</v>
      </c>
      <c r="F243">
        <f t="shared" si="39"/>
        <v>0</v>
      </c>
      <c r="G243" s="23" t="str">
        <f t="shared" si="40"/>
        <v>00.000</v>
      </c>
      <c r="H243" s="1" t="str">
        <f t="shared" si="41"/>
        <v>0000.000</v>
      </c>
      <c r="I243">
        <f t="shared" si="42"/>
        <v>0</v>
      </c>
      <c r="J243" t="str">
        <f t="shared" si="43"/>
        <v>000</v>
      </c>
      <c r="K243">
        <f t="shared" si="44"/>
        <v>0</v>
      </c>
      <c r="L243">
        <f t="shared" si="45"/>
        <v>0</v>
      </c>
      <c r="M243" t="str">
        <f t="shared" si="46"/>
        <v>00.000</v>
      </c>
      <c r="N243" s="1" t="str">
        <f t="shared" si="47"/>
        <v>00000.000</v>
      </c>
      <c r="O243" t="str">
        <f>IF('Import OpenCPN'!W244&gt;0,"N","S")</f>
        <v>S</v>
      </c>
      <c r="P243" t="str">
        <f>IF('Import OpenCPN'!X244&gt;0,"E","W")</f>
        <v>W</v>
      </c>
    </row>
    <row r="244" spans="1:16" x14ac:dyDescent="0.2">
      <c r="A244">
        <f>'Import OpenCPN'!W245</f>
        <v>0</v>
      </c>
      <c r="B244">
        <f>'Import OpenCPN'!X245</f>
        <v>0</v>
      </c>
      <c r="C244">
        <f t="shared" si="36"/>
        <v>0</v>
      </c>
      <c r="D244" t="str">
        <f t="shared" si="37"/>
        <v>00</v>
      </c>
      <c r="E244">
        <f t="shared" si="38"/>
        <v>0</v>
      </c>
      <c r="F244">
        <f t="shared" si="39"/>
        <v>0</v>
      </c>
      <c r="G244" s="23" t="str">
        <f t="shared" si="40"/>
        <v>00.000</v>
      </c>
      <c r="H244" s="1" t="str">
        <f t="shared" si="41"/>
        <v>0000.000</v>
      </c>
      <c r="I244">
        <f t="shared" si="42"/>
        <v>0</v>
      </c>
      <c r="J244" t="str">
        <f t="shared" si="43"/>
        <v>000</v>
      </c>
      <c r="K244">
        <f t="shared" si="44"/>
        <v>0</v>
      </c>
      <c r="L244">
        <f t="shared" si="45"/>
        <v>0</v>
      </c>
      <c r="M244" t="str">
        <f t="shared" si="46"/>
        <v>00.000</v>
      </c>
      <c r="N244" s="1" t="str">
        <f t="shared" si="47"/>
        <v>00000.000</v>
      </c>
      <c r="O244" t="str">
        <f>IF('Import OpenCPN'!W245&gt;0,"N","S")</f>
        <v>S</v>
      </c>
      <c r="P244" t="str">
        <f>IF('Import OpenCPN'!X245&gt;0,"E","W")</f>
        <v>W</v>
      </c>
    </row>
    <row r="245" spans="1:16" x14ac:dyDescent="0.2">
      <c r="A245">
        <f>'Import OpenCPN'!W246</f>
        <v>0</v>
      </c>
      <c r="B245">
        <f>'Import OpenCPN'!X246</f>
        <v>0</v>
      </c>
      <c r="C245">
        <f t="shared" si="36"/>
        <v>0</v>
      </c>
      <c r="D245" t="str">
        <f t="shared" si="37"/>
        <v>00</v>
      </c>
      <c r="E245">
        <f t="shared" si="38"/>
        <v>0</v>
      </c>
      <c r="F245">
        <f t="shared" si="39"/>
        <v>0</v>
      </c>
      <c r="G245" s="23" t="str">
        <f t="shared" si="40"/>
        <v>00.000</v>
      </c>
      <c r="H245" s="1" t="str">
        <f t="shared" si="41"/>
        <v>0000.000</v>
      </c>
      <c r="I245">
        <f t="shared" si="42"/>
        <v>0</v>
      </c>
      <c r="J245" t="str">
        <f t="shared" si="43"/>
        <v>000</v>
      </c>
      <c r="K245">
        <f t="shared" si="44"/>
        <v>0</v>
      </c>
      <c r="L245">
        <f t="shared" si="45"/>
        <v>0</v>
      </c>
      <c r="M245" t="str">
        <f t="shared" si="46"/>
        <v>00.000</v>
      </c>
      <c r="N245" s="1" t="str">
        <f t="shared" si="47"/>
        <v>00000.000</v>
      </c>
      <c r="O245" t="str">
        <f>IF('Import OpenCPN'!W246&gt;0,"N","S")</f>
        <v>S</v>
      </c>
      <c r="P245" t="str">
        <f>IF('Import OpenCPN'!X246&gt;0,"E","W")</f>
        <v>W</v>
      </c>
    </row>
    <row r="246" spans="1:16" x14ac:dyDescent="0.2">
      <c r="A246">
        <f>'Import OpenCPN'!W247</f>
        <v>0</v>
      </c>
      <c r="B246">
        <f>'Import OpenCPN'!X247</f>
        <v>0</v>
      </c>
      <c r="C246">
        <f t="shared" si="36"/>
        <v>0</v>
      </c>
      <c r="D246" t="str">
        <f t="shared" si="37"/>
        <v>00</v>
      </c>
      <c r="E246">
        <f t="shared" si="38"/>
        <v>0</v>
      </c>
      <c r="F246">
        <f t="shared" si="39"/>
        <v>0</v>
      </c>
      <c r="G246" s="23" t="str">
        <f t="shared" si="40"/>
        <v>00.000</v>
      </c>
      <c r="H246" s="1" t="str">
        <f t="shared" si="41"/>
        <v>0000.000</v>
      </c>
      <c r="I246">
        <f t="shared" si="42"/>
        <v>0</v>
      </c>
      <c r="J246" t="str">
        <f t="shared" si="43"/>
        <v>000</v>
      </c>
      <c r="K246">
        <f t="shared" si="44"/>
        <v>0</v>
      </c>
      <c r="L246">
        <f t="shared" si="45"/>
        <v>0</v>
      </c>
      <c r="M246" t="str">
        <f t="shared" si="46"/>
        <v>00.000</v>
      </c>
      <c r="N246" s="1" t="str">
        <f t="shared" si="47"/>
        <v>00000.000</v>
      </c>
      <c r="O246" t="str">
        <f>IF('Import OpenCPN'!W247&gt;0,"N","S")</f>
        <v>S</v>
      </c>
      <c r="P246" t="str">
        <f>IF('Import OpenCPN'!X247&gt;0,"E","W")</f>
        <v>W</v>
      </c>
    </row>
    <row r="247" spans="1:16" x14ac:dyDescent="0.2">
      <c r="A247">
        <f>'Import OpenCPN'!W248</f>
        <v>0</v>
      </c>
      <c r="B247">
        <f>'Import OpenCPN'!X248</f>
        <v>0</v>
      </c>
      <c r="C247">
        <f t="shared" si="36"/>
        <v>0</v>
      </c>
      <c r="D247" t="str">
        <f t="shared" si="37"/>
        <v>00</v>
      </c>
      <c r="E247">
        <f t="shared" si="38"/>
        <v>0</v>
      </c>
      <c r="F247">
        <f t="shared" si="39"/>
        <v>0</v>
      </c>
      <c r="G247" s="23" t="str">
        <f t="shared" si="40"/>
        <v>00.000</v>
      </c>
      <c r="H247" s="1" t="str">
        <f t="shared" si="41"/>
        <v>0000.000</v>
      </c>
      <c r="I247">
        <f t="shared" si="42"/>
        <v>0</v>
      </c>
      <c r="J247" t="str">
        <f t="shared" si="43"/>
        <v>000</v>
      </c>
      <c r="K247">
        <f t="shared" si="44"/>
        <v>0</v>
      </c>
      <c r="L247">
        <f t="shared" si="45"/>
        <v>0</v>
      </c>
      <c r="M247" t="str">
        <f t="shared" si="46"/>
        <v>00.000</v>
      </c>
      <c r="N247" s="1" t="str">
        <f t="shared" si="47"/>
        <v>00000.000</v>
      </c>
      <c r="O247" t="str">
        <f>IF('Import OpenCPN'!W248&gt;0,"N","S")</f>
        <v>S</v>
      </c>
      <c r="P247" t="str">
        <f>IF('Import OpenCPN'!X248&gt;0,"E","W")</f>
        <v>W</v>
      </c>
    </row>
    <row r="248" spans="1:16" x14ac:dyDescent="0.2">
      <c r="A248">
        <f>'Import OpenCPN'!W249</f>
        <v>0</v>
      </c>
      <c r="B248">
        <f>'Import OpenCPN'!X249</f>
        <v>0</v>
      </c>
      <c r="C248">
        <f t="shared" si="36"/>
        <v>0</v>
      </c>
      <c r="D248" t="str">
        <f t="shared" si="37"/>
        <v>00</v>
      </c>
      <c r="E248">
        <f t="shared" si="38"/>
        <v>0</v>
      </c>
      <c r="F248">
        <f t="shared" si="39"/>
        <v>0</v>
      </c>
      <c r="G248" s="23" t="str">
        <f t="shared" si="40"/>
        <v>00.000</v>
      </c>
      <c r="H248" s="1" t="str">
        <f t="shared" si="41"/>
        <v>0000.000</v>
      </c>
      <c r="I248">
        <f t="shared" si="42"/>
        <v>0</v>
      </c>
      <c r="J248" t="str">
        <f t="shared" si="43"/>
        <v>000</v>
      </c>
      <c r="K248">
        <f t="shared" si="44"/>
        <v>0</v>
      </c>
      <c r="L248">
        <f t="shared" si="45"/>
        <v>0</v>
      </c>
      <c r="M248" t="str">
        <f t="shared" si="46"/>
        <v>00.000</v>
      </c>
      <c r="N248" s="1" t="str">
        <f t="shared" si="47"/>
        <v>00000.000</v>
      </c>
      <c r="O248" t="str">
        <f>IF('Import OpenCPN'!W249&gt;0,"N","S")</f>
        <v>S</v>
      </c>
      <c r="P248" t="str">
        <f>IF('Import OpenCPN'!X249&gt;0,"E","W")</f>
        <v>W</v>
      </c>
    </row>
    <row r="249" spans="1:16" x14ac:dyDescent="0.2">
      <c r="A249">
        <f>'Import OpenCPN'!W250</f>
        <v>0</v>
      </c>
      <c r="B249">
        <f>'Import OpenCPN'!X250</f>
        <v>0</v>
      </c>
      <c r="C249">
        <f t="shared" si="36"/>
        <v>0</v>
      </c>
      <c r="D249" t="str">
        <f t="shared" si="37"/>
        <v>00</v>
      </c>
      <c r="E249">
        <f t="shared" si="38"/>
        <v>0</v>
      </c>
      <c r="F249">
        <f t="shared" si="39"/>
        <v>0</v>
      </c>
      <c r="G249" s="23" t="str">
        <f t="shared" si="40"/>
        <v>00.000</v>
      </c>
      <c r="H249" s="1" t="str">
        <f t="shared" si="41"/>
        <v>0000.000</v>
      </c>
      <c r="I249">
        <f t="shared" si="42"/>
        <v>0</v>
      </c>
      <c r="J249" t="str">
        <f t="shared" si="43"/>
        <v>000</v>
      </c>
      <c r="K249">
        <f t="shared" si="44"/>
        <v>0</v>
      </c>
      <c r="L249">
        <f t="shared" si="45"/>
        <v>0</v>
      </c>
      <c r="M249" t="str">
        <f t="shared" si="46"/>
        <v>00.000</v>
      </c>
      <c r="N249" s="1" t="str">
        <f t="shared" si="47"/>
        <v>00000.000</v>
      </c>
      <c r="O249" t="str">
        <f>IF('Import OpenCPN'!W250&gt;0,"N","S")</f>
        <v>S</v>
      </c>
      <c r="P249" t="str">
        <f>IF('Import OpenCPN'!X250&gt;0,"E","W")</f>
        <v>W</v>
      </c>
    </row>
    <row r="250" spans="1:16" x14ac:dyDescent="0.2">
      <c r="A250">
        <f>'Import OpenCPN'!W251</f>
        <v>0</v>
      </c>
      <c r="B250">
        <f>'Import OpenCPN'!X251</f>
        <v>0</v>
      </c>
      <c r="C250">
        <f t="shared" si="36"/>
        <v>0</v>
      </c>
      <c r="D250" t="str">
        <f t="shared" si="37"/>
        <v>00</v>
      </c>
      <c r="E250">
        <f t="shared" si="38"/>
        <v>0</v>
      </c>
      <c r="F250">
        <f t="shared" si="39"/>
        <v>0</v>
      </c>
      <c r="G250" s="23" t="str">
        <f t="shared" si="40"/>
        <v>00.000</v>
      </c>
      <c r="H250" s="1" t="str">
        <f t="shared" si="41"/>
        <v>0000.000</v>
      </c>
      <c r="I250">
        <f t="shared" si="42"/>
        <v>0</v>
      </c>
      <c r="J250" t="str">
        <f t="shared" si="43"/>
        <v>000</v>
      </c>
      <c r="K250">
        <f t="shared" si="44"/>
        <v>0</v>
      </c>
      <c r="L250">
        <f t="shared" si="45"/>
        <v>0</v>
      </c>
      <c r="M250" t="str">
        <f t="shared" si="46"/>
        <v>00.000</v>
      </c>
      <c r="N250" s="1" t="str">
        <f t="shared" si="47"/>
        <v>00000.000</v>
      </c>
      <c r="O250" t="str">
        <f>IF('Import OpenCPN'!W251&gt;0,"N","S")</f>
        <v>S</v>
      </c>
      <c r="P250" t="str">
        <f>IF('Import OpenCPN'!X251&gt;0,"E","W")</f>
        <v>W</v>
      </c>
    </row>
    <row r="251" spans="1:16" x14ac:dyDescent="0.2">
      <c r="A251">
        <f>'Import OpenCPN'!W252</f>
        <v>0</v>
      </c>
      <c r="B251">
        <f>'Import OpenCPN'!X252</f>
        <v>0</v>
      </c>
      <c r="C251">
        <f t="shared" si="36"/>
        <v>0</v>
      </c>
      <c r="D251" t="str">
        <f t="shared" si="37"/>
        <v>00</v>
      </c>
      <c r="E251">
        <f t="shared" si="38"/>
        <v>0</v>
      </c>
      <c r="F251">
        <f t="shared" si="39"/>
        <v>0</v>
      </c>
      <c r="G251" s="23" t="str">
        <f t="shared" si="40"/>
        <v>00.000</v>
      </c>
      <c r="H251" s="1" t="str">
        <f t="shared" si="41"/>
        <v>0000.000</v>
      </c>
      <c r="I251">
        <f t="shared" si="42"/>
        <v>0</v>
      </c>
      <c r="J251" t="str">
        <f t="shared" si="43"/>
        <v>000</v>
      </c>
      <c r="K251">
        <f t="shared" si="44"/>
        <v>0</v>
      </c>
      <c r="L251">
        <f t="shared" si="45"/>
        <v>0</v>
      </c>
      <c r="M251" t="str">
        <f t="shared" si="46"/>
        <v>00.000</v>
      </c>
      <c r="N251" s="1" t="str">
        <f t="shared" si="47"/>
        <v>00000.000</v>
      </c>
      <c r="O251" t="str">
        <f>IF('Import OpenCPN'!W252&gt;0,"N","S")</f>
        <v>S</v>
      </c>
      <c r="P251" t="str">
        <f>IF('Import OpenCPN'!X252&gt;0,"E","W")</f>
        <v>W</v>
      </c>
    </row>
    <row r="252" spans="1:16" x14ac:dyDescent="0.2">
      <c r="A252">
        <f>'Import OpenCPN'!W253</f>
        <v>0</v>
      </c>
      <c r="B252">
        <f>'Import OpenCPN'!X253</f>
        <v>0</v>
      </c>
      <c r="C252">
        <f t="shared" si="36"/>
        <v>0</v>
      </c>
      <c r="D252" t="str">
        <f t="shared" si="37"/>
        <v>00</v>
      </c>
      <c r="E252">
        <f t="shared" si="38"/>
        <v>0</v>
      </c>
      <c r="F252">
        <f t="shared" si="39"/>
        <v>0</v>
      </c>
      <c r="G252" s="23" t="str">
        <f t="shared" si="40"/>
        <v>00.000</v>
      </c>
      <c r="H252" s="1" t="str">
        <f t="shared" si="41"/>
        <v>0000.000</v>
      </c>
      <c r="I252">
        <f t="shared" si="42"/>
        <v>0</v>
      </c>
      <c r="J252" t="str">
        <f t="shared" si="43"/>
        <v>000</v>
      </c>
      <c r="K252">
        <f t="shared" si="44"/>
        <v>0</v>
      </c>
      <c r="L252">
        <f t="shared" si="45"/>
        <v>0</v>
      </c>
      <c r="M252" t="str">
        <f t="shared" si="46"/>
        <v>00.000</v>
      </c>
      <c r="N252" s="1" t="str">
        <f t="shared" si="47"/>
        <v>00000.000</v>
      </c>
      <c r="O252" t="str">
        <f>IF('Import OpenCPN'!W253&gt;0,"N","S")</f>
        <v>S</v>
      </c>
      <c r="P252" t="str">
        <f>IF('Import OpenCPN'!X253&gt;0,"E","W")</f>
        <v>W</v>
      </c>
    </row>
    <row r="253" spans="1:16" x14ac:dyDescent="0.2">
      <c r="A253">
        <f>'Import OpenCPN'!W254</f>
        <v>0</v>
      </c>
      <c r="B253">
        <f>'Import OpenCPN'!X254</f>
        <v>0</v>
      </c>
      <c r="C253">
        <f t="shared" si="36"/>
        <v>0</v>
      </c>
      <c r="D253" t="str">
        <f t="shared" si="37"/>
        <v>00</v>
      </c>
      <c r="E253">
        <f t="shared" si="38"/>
        <v>0</v>
      </c>
      <c r="F253">
        <f t="shared" si="39"/>
        <v>0</v>
      </c>
      <c r="G253" s="23" t="str">
        <f t="shared" si="40"/>
        <v>00.000</v>
      </c>
      <c r="H253" s="1" t="str">
        <f t="shared" si="41"/>
        <v>0000.000</v>
      </c>
      <c r="I253">
        <f t="shared" si="42"/>
        <v>0</v>
      </c>
      <c r="J253" t="str">
        <f t="shared" si="43"/>
        <v>000</v>
      </c>
      <c r="K253">
        <f t="shared" si="44"/>
        <v>0</v>
      </c>
      <c r="L253">
        <f t="shared" si="45"/>
        <v>0</v>
      </c>
      <c r="M253" t="str">
        <f t="shared" si="46"/>
        <v>00.000</v>
      </c>
      <c r="N253" s="1" t="str">
        <f t="shared" si="47"/>
        <v>00000.000</v>
      </c>
      <c r="O253" t="str">
        <f>IF('Import OpenCPN'!W254&gt;0,"N","S")</f>
        <v>S</v>
      </c>
      <c r="P253" t="str">
        <f>IF('Import OpenCPN'!X254&gt;0,"E","W")</f>
        <v>W</v>
      </c>
    </row>
    <row r="254" spans="1:16" x14ac:dyDescent="0.2">
      <c r="A254">
        <f>'Import OpenCPN'!W255</f>
        <v>0</v>
      </c>
      <c r="B254">
        <f>'Import OpenCPN'!X255</f>
        <v>0</v>
      </c>
      <c r="C254">
        <f t="shared" si="36"/>
        <v>0</v>
      </c>
      <c r="D254" t="str">
        <f t="shared" si="37"/>
        <v>00</v>
      </c>
      <c r="E254">
        <f t="shared" si="38"/>
        <v>0</v>
      </c>
      <c r="F254">
        <f t="shared" si="39"/>
        <v>0</v>
      </c>
      <c r="G254" s="23" t="str">
        <f t="shared" si="40"/>
        <v>00.000</v>
      </c>
      <c r="H254" s="1" t="str">
        <f t="shared" si="41"/>
        <v>0000.000</v>
      </c>
      <c r="I254">
        <f t="shared" si="42"/>
        <v>0</v>
      </c>
      <c r="J254" t="str">
        <f t="shared" si="43"/>
        <v>000</v>
      </c>
      <c r="K254">
        <f t="shared" si="44"/>
        <v>0</v>
      </c>
      <c r="L254">
        <f t="shared" si="45"/>
        <v>0</v>
      </c>
      <c r="M254" t="str">
        <f t="shared" si="46"/>
        <v>00.000</v>
      </c>
      <c r="N254" s="1" t="str">
        <f t="shared" si="47"/>
        <v>00000.000</v>
      </c>
      <c r="O254" t="str">
        <f>IF('Import OpenCPN'!W255&gt;0,"N","S")</f>
        <v>S</v>
      </c>
      <c r="P254" t="str">
        <f>IF('Import OpenCPN'!X255&gt;0,"E","W")</f>
        <v>W</v>
      </c>
    </row>
    <row r="255" spans="1:16" x14ac:dyDescent="0.2">
      <c r="A255">
        <f>'Import OpenCPN'!W256</f>
        <v>0</v>
      </c>
      <c r="B255">
        <f>'Import OpenCPN'!X256</f>
        <v>0</v>
      </c>
      <c r="C255">
        <f t="shared" si="36"/>
        <v>0</v>
      </c>
      <c r="D255" t="str">
        <f t="shared" si="37"/>
        <v>00</v>
      </c>
      <c r="E255">
        <f t="shared" si="38"/>
        <v>0</v>
      </c>
      <c r="F255">
        <f t="shared" si="39"/>
        <v>0</v>
      </c>
      <c r="G255" s="23" t="str">
        <f t="shared" si="40"/>
        <v>00.000</v>
      </c>
      <c r="H255" s="1" t="str">
        <f t="shared" si="41"/>
        <v>0000.000</v>
      </c>
      <c r="I255">
        <f t="shared" si="42"/>
        <v>0</v>
      </c>
      <c r="J255" t="str">
        <f t="shared" si="43"/>
        <v>000</v>
      </c>
      <c r="K255">
        <f t="shared" si="44"/>
        <v>0</v>
      </c>
      <c r="L255">
        <f t="shared" si="45"/>
        <v>0</v>
      </c>
      <c r="M255" t="str">
        <f t="shared" si="46"/>
        <v>00.000</v>
      </c>
      <c r="N255" s="1" t="str">
        <f t="shared" si="47"/>
        <v>00000.000</v>
      </c>
      <c r="O255" t="str">
        <f>IF('Import OpenCPN'!W256&gt;0,"N","S")</f>
        <v>S</v>
      </c>
      <c r="P255" t="str">
        <f>IF('Import OpenCPN'!X256&gt;0,"E","W")</f>
        <v>W</v>
      </c>
    </row>
    <row r="256" spans="1:16" x14ac:dyDescent="0.2">
      <c r="A256">
        <f>'Import OpenCPN'!W257</f>
        <v>0</v>
      </c>
      <c r="B256">
        <f>'Import OpenCPN'!X257</f>
        <v>0</v>
      </c>
      <c r="C256">
        <f t="shared" si="36"/>
        <v>0</v>
      </c>
      <c r="D256" t="str">
        <f t="shared" si="37"/>
        <v>00</v>
      </c>
      <c r="E256">
        <f t="shared" si="38"/>
        <v>0</v>
      </c>
      <c r="F256">
        <f t="shared" si="39"/>
        <v>0</v>
      </c>
      <c r="G256" s="23" t="str">
        <f t="shared" si="40"/>
        <v>00.000</v>
      </c>
      <c r="H256" s="1" t="str">
        <f t="shared" si="41"/>
        <v>0000.000</v>
      </c>
      <c r="I256">
        <f t="shared" si="42"/>
        <v>0</v>
      </c>
      <c r="J256" t="str">
        <f t="shared" si="43"/>
        <v>000</v>
      </c>
      <c r="K256">
        <f t="shared" si="44"/>
        <v>0</v>
      </c>
      <c r="L256">
        <f t="shared" si="45"/>
        <v>0</v>
      </c>
      <c r="M256" t="str">
        <f t="shared" si="46"/>
        <v>00.000</v>
      </c>
      <c r="N256" s="1" t="str">
        <f t="shared" si="47"/>
        <v>00000.000</v>
      </c>
      <c r="O256" t="str">
        <f>IF('Import OpenCPN'!W257&gt;0,"N","S")</f>
        <v>S</v>
      </c>
      <c r="P256" t="str">
        <f>IF('Import OpenCPN'!X257&gt;0,"E","W")</f>
        <v>W</v>
      </c>
    </row>
    <row r="257" spans="1:16" x14ac:dyDescent="0.2">
      <c r="A257">
        <f>'Import OpenCPN'!W258</f>
        <v>0</v>
      </c>
      <c r="B257">
        <f>'Import OpenCPN'!X258</f>
        <v>0</v>
      </c>
      <c r="C257">
        <f t="shared" si="36"/>
        <v>0</v>
      </c>
      <c r="D257" t="str">
        <f t="shared" si="37"/>
        <v>00</v>
      </c>
      <c r="E257">
        <f t="shared" si="38"/>
        <v>0</v>
      </c>
      <c r="F257">
        <f t="shared" si="39"/>
        <v>0</v>
      </c>
      <c r="G257" s="23" t="str">
        <f t="shared" si="40"/>
        <v>00.000</v>
      </c>
      <c r="H257" s="1" t="str">
        <f t="shared" si="41"/>
        <v>0000.000</v>
      </c>
      <c r="I257">
        <f t="shared" si="42"/>
        <v>0</v>
      </c>
      <c r="J257" t="str">
        <f t="shared" si="43"/>
        <v>000</v>
      </c>
      <c r="K257">
        <f t="shared" si="44"/>
        <v>0</v>
      </c>
      <c r="L257">
        <f t="shared" si="45"/>
        <v>0</v>
      </c>
      <c r="M257" t="str">
        <f t="shared" si="46"/>
        <v>00.000</v>
      </c>
      <c r="N257" s="1" t="str">
        <f t="shared" si="47"/>
        <v>00000.000</v>
      </c>
      <c r="O257" t="str">
        <f>IF('Import OpenCPN'!W258&gt;0,"N","S")</f>
        <v>S</v>
      </c>
      <c r="P257" t="str">
        <f>IF('Import OpenCPN'!X258&gt;0,"E","W")</f>
        <v>W</v>
      </c>
    </row>
    <row r="258" spans="1:16" x14ac:dyDescent="0.2">
      <c r="A258">
        <f>'Import OpenCPN'!W259</f>
        <v>0</v>
      </c>
      <c r="B258">
        <f>'Import OpenCPN'!X259</f>
        <v>0</v>
      </c>
      <c r="C258">
        <f t="shared" ref="C258:C321" si="48">ABS(TRUNC(A258,0))</f>
        <v>0</v>
      </c>
      <c r="D258" t="str">
        <f t="shared" ref="D258:D321" si="49">TEXT(C258,"00")</f>
        <v>00</v>
      </c>
      <c r="E258">
        <f t="shared" ref="E258:E321" si="50">ABS(A258)-C258</f>
        <v>0</v>
      </c>
      <c r="F258">
        <f t="shared" ref="F258:F321" si="51">E258*60</f>
        <v>0</v>
      </c>
      <c r="G258" s="23" t="str">
        <f t="shared" ref="G258:G321" si="52">TEXT(F258,"00.000")</f>
        <v>00.000</v>
      </c>
      <c r="H258" s="1" t="str">
        <f t="shared" ref="H258:H321" si="53">D258&amp;G258</f>
        <v>0000.000</v>
      </c>
      <c r="I258">
        <f t="shared" ref="I258:I321" si="54">ABS(TRUNC(B258,0))</f>
        <v>0</v>
      </c>
      <c r="J258" t="str">
        <f t="shared" ref="J258:J321" si="55">TEXT(I258,"000")</f>
        <v>000</v>
      </c>
      <c r="K258">
        <f t="shared" ref="K258:K321" si="56">ABS(B258)-I258</f>
        <v>0</v>
      </c>
      <c r="L258">
        <f t="shared" ref="L258:L321" si="57">K258*60</f>
        <v>0</v>
      </c>
      <c r="M258" t="str">
        <f t="shared" ref="M258:M321" si="58">TEXT(L258,"00.000")</f>
        <v>00.000</v>
      </c>
      <c r="N258" s="1" t="str">
        <f t="shared" ref="N258:N321" si="59">J258&amp;M258</f>
        <v>00000.000</v>
      </c>
      <c r="O258" t="str">
        <f>IF('Import OpenCPN'!W259&gt;0,"N","S")</f>
        <v>S</v>
      </c>
      <c r="P258" t="str">
        <f>IF('Import OpenCPN'!X259&gt;0,"E","W")</f>
        <v>W</v>
      </c>
    </row>
    <row r="259" spans="1:16" x14ac:dyDescent="0.2">
      <c r="A259">
        <f>'Import OpenCPN'!W260</f>
        <v>0</v>
      </c>
      <c r="B259">
        <f>'Import OpenCPN'!X260</f>
        <v>0</v>
      </c>
      <c r="C259">
        <f t="shared" si="48"/>
        <v>0</v>
      </c>
      <c r="D259" t="str">
        <f t="shared" si="49"/>
        <v>00</v>
      </c>
      <c r="E259">
        <f t="shared" si="50"/>
        <v>0</v>
      </c>
      <c r="F259">
        <f t="shared" si="51"/>
        <v>0</v>
      </c>
      <c r="G259" s="23" t="str">
        <f t="shared" si="52"/>
        <v>00.000</v>
      </c>
      <c r="H259" s="1" t="str">
        <f t="shared" si="53"/>
        <v>0000.000</v>
      </c>
      <c r="I259">
        <f t="shared" si="54"/>
        <v>0</v>
      </c>
      <c r="J259" t="str">
        <f t="shared" si="55"/>
        <v>000</v>
      </c>
      <c r="K259">
        <f t="shared" si="56"/>
        <v>0</v>
      </c>
      <c r="L259">
        <f t="shared" si="57"/>
        <v>0</v>
      </c>
      <c r="M259" t="str">
        <f t="shared" si="58"/>
        <v>00.000</v>
      </c>
      <c r="N259" s="1" t="str">
        <f t="shared" si="59"/>
        <v>00000.000</v>
      </c>
      <c r="O259" t="str">
        <f>IF('Import OpenCPN'!W260&gt;0,"N","S")</f>
        <v>S</v>
      </c>
      <c r="P259" t="str">
        <f>IF('Import OpenCPN'!X260&gt;0,"E","W")</f>
        <v>W</v>
      </c>
    </row>
    <row r="260" spans="1:16" x14ac:dyDescent="0.2">
      <c r="A260">
        <f>'Import OpenCPN'!W261</f>
        <v>0</v>
      </c>
      <c r="B260">
        <f>'Import OpenCPN'!X261</f>
        <v>0</v>
      </c>
      <c r="C260">
        <f t="shared" si="48"/>
        <v>0</v>
      </c>
      <c r="D260" t="str">
        <f t="shared" si="49"/>
        <v>00</v>
      </c>
      <c r="E260">
        <f t="shared" si="50"/>
        <v>0</v>
      </c>
      <c r="F260">
        <f t="shared" si="51"/>
        <v>0</v>
      </c>
      <c r="G260" s="23" t="str">
        <f t="shared" si="52"/>
        <v>00.000</v>
      </c>
      <c r="H260" s="1" t="str">
        <f t="shared" si="53"/>
        <v>0000.000</v>
      </c>
      <c r="I260">
        <f t="shared" si="54"/>
        <v>0</v>
      </c>
      <c r="J260" t="str">
        <f t="shared" si="55"/>
        <v>000</v>
      </c>
      <c r="K260">
        <f t="shared" si="56"/>
        <v>0</v>
      </c>
      <c r="L260">
        <f t="shared" si="57"/>
        <v>0</v>
      </c>
      <c r="M260" t="str">
        <f t="shared" si="58"/>
        <v>00.000</v>
      </c>
      <c r="N260" s="1" t="str">
        <f t="shared" si="59"/>
        <v>00000.000</v>
      </c>
      <c r="O260" t="str">
        <f>IF('Import OpenCPN'!W261&gt;0,"N","S")</f>
        <v>S</v>
      </c>
      <c r="P260" t="str">
        <f>IF('Import OpenCPN'!X261&gt;0,"E","W")</f>
        <v>W</v>
      </c>
    </row>
    <row r="261" spans="1:16" x14ac:dyDescent="0.2">
      <c r="A261">
        <f>'Import OpenCPN'!W262</f>
        <v>0</v>
      </c>
      <c r="B261">
        <f>'Import OpenCPN'!X262</f>
        <v>0</v>
      </c>
      <c r="C261">
        <f t="shared" si="48"/>
        <v>0</v>
      </c>
      <c r="D261" t="str">
        <f t="shared" si="49"/>
        <v>00</v>
      </c>
      <c r="E261">
        <f t="shared" si="50"/>
        <v>0</v>
      </c>
      <c r="F261">
        <f t="shared" si="51"/>
        <v>0</v>
      </c>
      <c r="G261" s="23" t="str">
        <f t="shared" si="52"/>
        <v>00.000</v>
      </c>
      <c r="H261" s="1" t="str">
        <f t="shared" si="53"/>
        <v>0000.000</v>
      </c>
      <c r="I261">
        <f t="shared" si="54"/>
        <v>0</v>
      </c>
      <c r="J261" t="str">
        <f t="shared" si="55"/>
        <v>000</v>
      </c>
      <c r="K261">
        <f t="shared" si="56"/>
        <v>0</v>
      </c>
      <c r="L261">
        <f t="shared" si="57"/>
        <v>0</v>
      </c>
      <c r="M261" t="str">
        <f t="shared" si="58"/>
        <v>00.000</v>
      </c>
      <c r="N261" s="1" t="str">
        <f t="shared" si="59"/>
        <v>00000.000</v>
      </c>
      <c r="O261" t="str">
        <f>IF('Import OpenCPN'!W262&gt;0,"N","S")</f>
        <v>S</v>
      </c>
      <c r="P261" t="str">
        <f>IF('Import OpenCPN'!X262&gt;0,"E","W")</f>
        <v>W</v>
      </c>
    </row>
    <row r="262" spans="1:16" x14ac:dyDescent="0.2">
      <c r="A262">
        <f>'Import OpenCPN'!W263</f>
        <v>0</v>
      </c>
      <c r="B262">
        <f>'Import OpenCPN'!X263</f>
        <v>0</v>
      </c>
      <c r="C262">
        <f t="shared" si="48"/>
        <v>0</v>
      </c>
      <c r="D262" t="str">
        <f t="shared" si="49"/>
        <v>00</v>
      </c>
      <c r="E262">
        <f t="shared" si="50"/>
        <v>0</v>
      </c>
      <c r="F262">
        <f t="shared" si="51"/>
        <v>0</v>
      </c>
      <c r="G262" s="23" t="str">
        <f t="shared" si="52"/>
        <v>00.000</v>
      </c>
      <c r="H262" s="1" t="str">
        <f t="shared" si="53"/>
        <v>0000.000</v>
      </c>
      <c r="I262">
        <f t="shared" si="54"/>
        <v>0</v>
      </c>
      <c r="J262" t="str">
        <f t="shared" si="55"/>
        <v>000</v>
      </c>
      <c r="K262">
        <f t="shared" si="56"/>
        <v>0</v>
      </c>
      <c r="L262">
        <f t="shared" si="57"/>
        <v>0</v>
      </c>
      <c r="M262" t="str">
        <f t="shared" si="58"/>
        <v>00.000</v>
      </c>
      <c r="N262" s="1" t="str">
        <f t="shared" si="59"/>
        <v>00000.000</v>
      </c>
      <c r="O262" t="str">
        <f>IF('Import OpenCPN'!W263&gt;0,"N","S")</f>
        <v>S</v>
      </c>
      <c r="P262" t="str">
        <f>IF('Import OpenCPN'!X263&gt;0,"E","W")</f>
        <v>W</v>
      </c>
    </row>
    <row r="263" spans="1:16" x14ac:dyDescent="0.2">
      <c r="A263">
        <f>'Import OpenCPN'!W264</f>
        <v>0</v>
      </c>
      <c r="B263">
        <f>'Import OpenCPN'!X264</f>
        <v>0</v>
      </c>
      <c r="C263">
        <f t="shared" si="48"/>
        <v>0</v>
      </c>
      <c r="D263" t="str">
        <f t="shared" si="49"/>
        <v>00</v>
      </c>
      <c r="E263">
        <f t="shared" si="50"/>
        <v>0</v>
      </c>
      <c r="F263">
        <f t="shared" si="51"/>
        <v>0</v>
      </c>
      <c r="G263" s="23" t="str">
        <f t="shared" si="52"/>
        <v>00.000</v>
      </c>
      <c r="H263" s="1" t="str">
        <f t="shared" si="53"/>
        <v>0000.000</v>
      </c>
      <c r="I263">
        <f t="shared" si="54"/>
        <v>0</v>
      </c>
      <c r="J263" t="str">
        <f t="shared" si="55"/>
        <v>000</v>
      </c>
      <c r="K263">
        <f t="shared" si="56"/>
        <v>0</v>
      </c>
      <c r="L263">
        <f t="shared" si="57"/>
        <v>0</v>
      </c>
      <c r="M263" t="str">
        <f t="shared" si="58"/>
        <v>00.000</v>
      </c>
      <c r="N263" s="1" t="str">
        <f t="shared" si="59"/>
        <v>00000.000</v>
      </c>
      <c r="O263" t="str">
        <f>IF('Import OpenCPN'!W264&gt;0,"N","S")</f>
        <v>S</v>
      </c>
      <c r="P263" t="str">
        <f>IF('Import OpenCPN'!X264&gt;0,"E","W")</f>
        <v>W</v>
      </c>
    </row>
    <row r="264" spans="1:16" x14ac:dyDescent="0.2">
      <c r="A264">
        <f>'Import OpenCPN'!W265</f>
        <v>0</v>
      </c>
      <c r="B264">
        <f>'Import OpenCPN'!X265</f>
        <v>0</v>
      </c>
      <c r="C264">
        <f t="shared" si="48"/>
        <v>0</v>
      </c>
      <c r="D264" t="str">
        <f t="shared" si="49"/>
        <v>00</v>
      </c>
      <c r="E264">
        <f t="shared" si="50"/>
        <v>0</v>
      </c>
      <c r="F264">
        <f t="shared" si="51"/>
        <v>0</v>
      </c>
      <c r="G264" s="23" t="str">
        <f t="shared" si="52"/>
        <v>00.000</v>
      </c>
      <c r="H264" s="1" t="str">
        <f t="shared" si="53"/>
        <v>0000.000</v>
      </c>
      <c r="I264">
        <f t="shared" si="54"/>
        <v>0</v>
      </c>
      <c r="J264" t="str">
        <f t="shared" si="55"/>
        <v>000</v>
      </c>
      <c r="K264">
        <f t="shared" si="56"/>
        <v>0</v>
      </c>
      <c r="L264">
        <f t="shared" si="57"/>
        <v>0</v>
      </c>
      <c r="M264" t="str">
        <f t="shared" si="58"/>
        <v>00.000</v>
      </c>
      <c r="N264" s="1" t="str">
        <f t="shared" si="59"/>
        <v>00000.000</v>
      </c>
      <c r="O264" t="str">
        <f>IF('Import OpenCPN'!W265&gt;0,"N","S")</f>
        <v>S</v>
      </c>
      <c r="P264" t="str">
        <f>IF('Import OpenCPN'!X265&gt;0,"E","W")</f>
        <v>W</v>
      </c>
    </row>
    <row r="265" spans="1:16" x14ac:dyDescent="0.2">
      <c r="A265">
        <f>'Import OpenCPN'!W266</f>
        <v>0</v>
      </c>
      <c r="B265">
        <f>'Import OpenCPN'!X266</f>
        <v>0</v>
      </c>
      <c r="C265">
        <f t="shared" si="48"/>
        <v>0</v>
      </c>
      <c r="D265" t="str">
        <f t="shared" si="49"/>
        <v>00</v>
      </c>
      <c r="E265">
        <f t="shared" si="50"/>
        <v>0</v>
      </c>
      <c r="F265">
        <f t="shared" si="51"/>
        <v>0</v>
      </c>
      <c r="G265" s="23" t="str">
        <f t="shared" si="52"/>
        <v>00.000</v>
      </c>
      <c r="H265" s="1" t="str">
        <f t="shared" si="53"/>
        <v>0000.000</v>
      </c>
      <c r="I265">
        <f t="shared" si="54"/>
        <v>0</v>
      </c>
      <c r="J265" t="str">
        <f t="shared" si="55"/>
        <v>000</v>
      </c>
      <c r="K265">
        <f t="shared" si="56"/>
        <v>0</v>
      </c>
      <c r="L265">
        <f t="shared" si="57"/>
        <v>0</v>
      </c>
      <c r="M265" t="str">
        <f t="shared" si="58"/>
        <v>00.000</v>
      </c>
      <c r="N265" s="1" t="str">
        <f t="shared" si="59"/>
        <v>00000.000</v>
      </c>
      <c r="O265" t="str">
        <f>IF('Import OpenCPN'!W266&gt;0,"N","S")</f>
        <v>S</v>
      </c>
      <c r="P265" t="str">
        <f>IF('Import OpenCPN'!X266&gt;0,"E","W")</f>
        <v>W</v>
      </c>
    </row>
    <row r="266" spans="1:16" x14ac:dyDescent="0.2">
      <c r="A266">
        <f>'Import OpenCPN'!W267</f>
        <v>0</v>
      </c>
      <c r="B266">
        <f>'Import OpenCPN'!X267</f>
        <v>0</v>
      </c>
      <c r="C266">
        <f t="shared" si="48"/>
        <v>0</v>
      </c>
      <c r="D266" t="str">
        <f t="shared" si="49"/>
        <v>00</v>
      </c>
      <c r="E266">
        <f t="shared" si="50"/>
        <v>0</v>
      </c>
      <c r="F266">
        <f t="shared" si="51"/>
        <v>0</v>
      </c>
      <c r="G266" s="23" t="str">
        <f t="shared" si="52"/>
        <v>00.000</v>
      </c>
      <c r="H266" s="1" t="str">
        <f t="shared" si="53"/>
        <v>0000.000</v>
      </c>
      <c r="I266">
        <f t="shared" si="54"/>
        <v>0</v>
      </c>
      <c r="J266" t="str">
        <f t="shared" si="55"/>
        <v>000</v>
      </c>
      <c r="K266">
        <f t="shared" si="56"/>
        <v>0</v>
      </c>
      <c r="L266">
        <f t="shared" si="57"/>
        <v>0</v>
      </c>
      <c r="M266" t="str">
        <f t="shared" si="58"/>
        <v>00.000</v>
      </c>
      <c r="N266" s="1" t="str">
        <f t="shared" si="59"/>
        <v>00000.000</v>
      </c>
      <c r="O266" t="str">
        <f>IF('Import OpenCPN'!W267&gt;0,"N","S")</f>
        <v>S</v>
      </c>
      <c r="P266" t="str">
        <f>IF('Import OpenCPN'!X267&gt;0,"E","W")</f>
        <v>W</v>
      </c>
    </row>
    <row r="267" spans="1:16" x14ac:dyDescent="0.2">
      <c r="A267">
        <f>'Import OpenCPN'!W268</f>
        <v>0</v>
      </c>
      <c r="B267">
        <f>'Import OpenCPN'!X268</f>
        <v>0</v>
      </c>
      <c r="C267">
        <f t="shared" si="48"/>
        <v>0</v>
      </c>
      <c r="D267" t="str">
        <f t="shared" si="49"/>
        <v>00</v>
      </c>
      <c r="E267">
        <f t="shared" si="50"/>
        <v>0</v>
      </c>
      <c r="F267">
        <f t="shared" si="51"/>
        <v>0</v>
      </c>
      <c r="G267" s="23" t="str">
        <f t="shared" si="52"/>
        <v>00.000</v>
      </c>
      <c r="H267" s="1" t="str">
        <f t="shared" si="53"/>
        <v>0000.000</v>
      </c>
      <c r="I267">
        <f t="shared" si="54"/>
        <v>0</v>
      </c>
      <c r="J267" t="str">
        <f t="shared" si="55"/>
        <v>000</v>
      </c>
      <c r="K267">
        <f t="shared" si="56"/>
        <v>0</v>
      </c>
      <c r="L267">
        <f t="shared" si="57"/>
        <v>0</v>
      </c>
      <c r="M267" t="str">
        <f t="shared" si="58"/>
        <v>00.000</v>
      </c>
      <c r="N267" s="1" t="str">
        <f t="shared" si="59"/>
        <v>00000.000</v>
      </c>
      <c r="O267" t="str">
        <f>IF('Import OpenCPN'!W268&gt;0,"N","S")</f>
        <v>S</v>
      </c>
      <c r="P267" t="str">
        <f>IF('Import OpenCPN'!X268&gt;0,"E","W")</f>
        <v>W</v>
      </c>
    </row>
    <row r="268" spans="1:16" x14ac:dyDescent="0.2">
      <c r="A268">
        <f>'Import OpenCPN'!W269</f>
        <v>0</v>
      </c>
      <c r="B268">
        <f>'Import OpenCPN'!X269</f>
        <v>0</v>
      </c>
      <c r="C268">
        <f t="shared" si="48"/>
        <v>0</v>
      </c>
      <c r="D268" t="str">
        <f t="shared" si="49"/>
        <v>00</v>
      </c>
      <c r="E268">
        <f t="shared" si="50"/>
        <v>0</v>
      </c>
      <c r="F268">
        <f t="shared" si="51"/>
        <v>0</v>
      </c>
      <c r="G268" s="23" t="str">
        <f t="shared" si="52"/>
        <v>00.000</v>
      </c>
      <c r="H268" s="1" t="str">
        <f t="shared" si="53"/>
        <v>0000.000</v>
      </c>
      <c r="I268">
        <f t="shared" si="54"/>
        <v>0</v>
      </c>
      <c r="J268" t="str">
        <f t="shared" si="55"/>
        <v>000</v>
      </c>
      <c r="K268">
        <f t="shared" si="56"/>
        <v>0</v>
      </c>
      <c r="L268">
        <f t="shared" si="57"/>
        <v>0</v>
      </c>
      <c r="M268" t="str">
        <f t="shared" si="58"/>
        <v>00.000</v>
      </c>
      <c r="N268" s="1" t="str">
        <f t="shared" si="59"/>
        <v>00000.000</v>
      </c>
      <c r="O268" t="str">
        <f>IF('Import OpenCPN'!W269&gt;0,"N","S")</f>
        <v>S</v>
      </c>
      <c r="P268" t="str">
        <f>IF('Import OpenCPN'!X269&gt;0,"E","W")</f>
        <v>W</v>
      </c>
    </row>
    <row r="269" spans="1:16" x14ac:dyDescent="0.2">
      <c r="A269">
        <f>'Import OpenCPN'!W270</f>
        <v>0</v>
      </c>
      <c r="B269">
        <f>'Import OpenCPN'!X270</f>
        <v>0</v>
      </c>
      <c r="C269">
        <f t="shared" si="48"/>
        <v>0</v>
      </c>
      <c r="D269" t="str">
        <f t="shared" si="49"/>
        <v>00</v>
      </c>
      <c r="E269">
        <f t="shared" si="50"/>
        <v>0</v>
      </c>
      <c r="F269">
        <f t="shared" si="51"/>
        <v>0</v>
      </c>
      <c r="G269" s="23" t="str">
        <f t="shared" si="52"/>
        <v>00.000</v>
      </c>
      <c r="H269" s="1" t="str">
        <f t="shared" si="53"/>
        <v>0000.000</v>
      </c>
      <c r="I269">
        <f t="shared" si="54"/>
        <v>0</v>
      </c>
      <c r="J269" t="str">
        <f t="shared" si="55"/>
        <v>000</v>
      </c>
      <c r="K269">
        <f t="shared" si="56"/>
        <v>0</v>
      </c>
      <c r="L269">
        <f t="shared" si="57"/>
        <v>0</v>
      </c>
      <c r="M269" t="str">
        <f t="shared" si="58"/>
        <v>00.000</v>
      </c>
      <c r="N269" s="1" t="str">
        <f t="shared" si="59"/>
        <v>00000.000</v>
      </c>
      <c r="O269" t="str">
        <f>IF('Import OpenCPN'!W270&gt;0,"N","S")</f>
        <v>S</v>
      </c>
      <c r="P269" t="str">
        <f>IF('Import OpenCPN'!X270&gt;0,"E","W")</f>
        <v>W</v>
      </c>
    </row>
    <row r="270" spans="1:16" x14ac:dyDescent="0.2">
      <c r="A270">
        <f>'Import OpenCPN'!W271</f>
        <v>0</v>
      </c>
      <c r="B270">
        <f>'Import OpenCPN'!X271</f>
        <v>0</v>
      </c>
      <c r="C270">
        <f t="shared" si="48"/>
        <v>0</v>
      </c>
      <c r="D270" t="str">
        <f t="shared" si="49"/>
        <v>00</v>
      </c>
      <c r="E270">
        <f t="shared" si="50"/>
        <v>0</v>
      </c>
      <c r="F270">
        <f t="shared" si="51"/>
        <v>0</v>
      </c>
      <c r="G270" s="23" t="str">
        <f t="shared" si="52"/>
        <v>00.000</v>
      </c>
      <c r="H270" s="1" t="str">
        <f t="shared" si="53"/>
        <v>0000.000</v>
      </c>
      <c r="I270">
        <f t="shared" si="54"/>
        <v>0</v>
      </c>
      <c r="J270" t="str">
        <f t="shared" si="55"/>
        <v>000</v>
      </c>
      <c r="K270">
        <f t="shared" si="56"/>
        <v>0</v>
      </c>
      <c r="L270">
        <f t="shared" si="57"/>
        <v>0</v>
      </c>
      <c r="M270" t="str">
        <f t="shared" si="58"/>
        <v>00.000</v>
      </c>
      <c r="N270" s="1" t="str">
        <f t="shared" si="59"/>
        <v>00000.000</v>
      </c>
      <c r="O270" t="str">
        <f>IF('Import OpenCPN'!W271&gt;0,"N","S")</f>
        <v>S</v>
      </c>
      <c r="P270" t="str">
        <f>IF('Import OpenCPN'!X271&gt;0,"E","W")</f>
        <v>W</v>
      </c>
    </row>
    <row r="271" spans="1:16" x14ac:dyDescent="0.2">
      <c r="A271">
        <f>'Import OpenCPN'!W272</f>
        <v>0</v>
      </c>
      <c r="B271">
        <f>'Import OpenCPN'!X272</f>
        <v>0</v>
      </c>
      <c r="C271">
        <f t="shared" si="48"/>
        <v>0</v>
      </c>
      <c r="D271" t="str">
        <f t="shared" si="49"/>
        <v>00</v>
      </c>
      <c r="E271">
        <f t="shared" si="50"/>
        <v>0</v>
      </c>
      <c r="F271">
        <f t="shared" si="51"/>
        <v>0</v>
      </c>
      <c r="G271" s="23" t="str">
        <f t="shared" si="52"/>
        <v>00.000</v>
      </c>
      <c r="H271" s="1" t="str">
        <f t="shared" si="53"/>
        <v>0000.000</v>
      </c>
      <c r="I271">
        <f t="shared" si="54"/>
        <v>0</v>
      </c>
      <c r="J271" t="str">
        <f t="shared" si="55"/>
        <v>000</v>
      </c>
      <c r="K271">
        <f t="shared" si="56"/>
        <v>0</v>
      </c>
      <c r="L271">
        <f t="shared" si="57"/>
        <v>0</v>
      </c>
      <c r="M271" t="str">
        <f t="shared" si="58"/>
        <v>00.000</v>
      </c>
      <c r="N271" s="1" t="str">
        <f t="shared" si="59"/>
        <v>00000.000</v>
      </c>
      <c r="O271" t="str">
        <f>IF('Import OpenCPN'!W272&gt;0,"N","S")</f>
        <v>S</v>
      </c>
      <c r="P271" t="str">
        <f>IF('Import OpenCPN'!X272&gt;0,"E","W")</f>
        <v>W</v>
      </c>
    </row>
    <row r="272" spans="1:16" x14ac:dyDescent="0.2">
      <c r="A272">
        <f>'Import OpenCPN'!W273</f>
        <v>0</v>
      </c>
      <c r="B272">
        <f>'Import OpenCPN'!X273</f>
        <v>0</v>
      </c>
      <c r="C272">
        <f t="shared" si="48"/>
        <v>0</v>
      </c>
      <c r="D272" t="str">
        <f t="shared" si="49"/>
        <v>00</v>
      </c>
      <c r="E272">
        <f t="shared" si="50"/>
        <v>0</v>
      </c>
      <c r="F272">
        <f t="shared" si="51"/>
        <v>0</v>
      </c>
      <c r="G272" s="23" t="str">
        <f t="shared" si="52"/>
        <v>00.000</v>
      </c>
      <c r="H272" s="1" t="str">
        <f t="shared" si="53"/>
        <v>0000.000</v>
      </c>
      <c r="I272">
        <f t="shared" si="54"/>
        <v>0</v>
      </c>
      <c r="J272" t="str">
        <f t="shared" si="55"/>
        <v>000</v>
      </c>
      <c r="K272">
        <f t="shared" si="56"/>
        <v>0</v>
      </c>
      <c r="L272">
        <f t="shared" si="57"/>
        <v>0</v>
      </c>
      <c r="M272" t="str">
        <f t="shared" si="58"/>
        <v>00.000</v>
      </c>
      <c r="N272" s="1" t="str">
        <f t="shared" si="59"/>
        <v>00000.000</v>
      </c>
      <c r="O272" t="str">
        <f>IF('Import OpenCPN'!W273&gt;0,"N","S")</f>
        <v>S</v>
      </c>
      <c r="P272" t="str">
        <f>IF('Import OpenCPN'!X273&gt;0,"E","W")</f>
        <v>W</v>
      </c>
    </row>
    <row r="273" spans="1:16" x14ac:dyDescent="0.2">
      <c r="A273">
        <f>'Import OpenCPN'!W274</f>
        <v>0</v>
      </c>
      <c r="B273">
        <f>'Import OpenCPN'!X274</f>
        <v>0</v>
      </c>
      <c r="C273">
        <f t="shared" si="48"/>
        <v>0</v>
      </c>
      <c r="D273" t="str">
        <f t="shared" si="49"/>
        <v>00</v>
      </c>
      <c r="E273">
        <f t="shared" si="50"/>
        <v>0</v>
      </c>
      <c r="F273">
        <f t="shared" si="51"/>
        <v>0</v>
      </c>
      <c r="G273" s="23" t="str">
        <f t="shared" si="52"/>
        <v>00.000</v>
      </c>
      <c r="H273" s="1" t="str">
        <f t="shared" si="53"/>
        <v>0000.000</v>
      </c>
      <c r="I273">
        <f t="shared" si="54"/>
        <v>0</v>
      </c>
      <c r="J273" t="str">
        <f t="shared" si="55"/>
        <v>000</v>
      </c>
      <c r="K273">
        <f t="shared" si="56"/>
        <v>0</v>
      </c>
      <c r="L273">
        <f t="shared" si="57"/>
        <v>0</v>
      </c>
      <c r="M273" t="str">
        <f t="shared" si="58"/>
        <v>00.000</v>
      </c>
      <c r="N273" s="1" t="str">
        <f t="shared" si="59"/>
        <v>00000.000</v>
      </c>
      <c r="O273" t="str">
        <f>IF('Import OpenCPN'!W274&gt;0,"N","S")</f>
        <v>S</v>
      </c>
      <c r="P273" t="str">
        <f>IF('Import OpenCPN'!X274&gt;0,"E","W")</f>
        <v>W</v>
      </c>
    </row>
    <row r="274" spans="1:16" x14ac:dyDescent="0.2">
      <c r="A274">
        <f>'Import OpenCPN'!W275</f>
        <v>0</v>
      </c>
      <c r="B274">
        <f>'Import OpenCPN'!X275</f>
        <v>0</v>
      </c>
      <c r="C274">
        <f t="shared" si="48"/>
        <v>0</v>
      </c>
      <c r="D274" t="str">
        <f t="shared" si="49"/>
        <v>00</v>
      </c>
      <c r="E274">
        <f t="shared" si="50"/>
        <v>0</v>
      </c>
      <c r="F274">
        <f t="shared" si="51"/>
        <v>0</v>
      </c>
      <c r="G274" s="23" t="str">
        <f t="shared" si="52"/>
        <v>00.000</v>
      </c>
      <c r="H274" s="1" t="str">
        <f t="shared" si="53"/>
        <v>0000.000</v>
      </c>
      <c r="I274">
        <f t="shared" si="54"/>
        <v>0</v>
      </c>
      <c r="J274" t="str">
        <f t="shared" si="55"/>
        <v>000</v>
      </c>
      <c r="K274">
        <f t="shared" si="56"/>
        <v>0</v>
      </c>
      <c r="L274">
        <f t="shared" si="57"/>
        <v>0</v>
      </c>
      <c r="M274" t="str">
        <f t="shared" si="58"/>
        <v>00.000</v>
      </c>
      <c r="N274" s="1" t="str">
        <f t="shared" si="59"/>
        <v>00000.000</v>
      </c>
      <c r="O274" t="str">
        <f>IF('Import OpenCPN'!W275&gt;0,"N","S")</f>
        <v>S</v>
      </c>
      <c r="P274" t="str">
        <f>IF('Import OpenCPN'!X275&gt;0,"E","W")</f>
        <v>W</v>
      </c>
    </row>
    <row r="275" spans="1:16" x14ac:dyDescent="0.2">
      <c r="A275">
        <f>'Import OpenCPN'!W276</f>
        <v>0</v>
      </c>
      <c r="B275">
        <f>'Import OpenCPN'!X276</f>
        <v>0</v>
      </c>
      <c r="C275">
        <f t="shared" si="48"/>
        <v>0</v>
      </c>
      <c r="D275" t="str">
        <f t="shared" si="49"/>
        <v>00</v>
      </c>
      <c r="E275">
        <f t="shared" si="50"/>
        <v>0</v>
      </c>
      <c r="F275">
        <f t="shared" si="51"/>
        <v>0</v>
      </c>
      <c r="G275" s="23" t="str">
        <f t="shared" si="52"/>
        <v>00.000</v>
      </c>
      <c r="H275" s="1" t="str">
        <f t="shared" si="53"/>
        <v>0000.000</v>
      </c>
      <c r="I275">
        <f t="shared" si="54"/>
        <v>0</v>
      </c>
      <c r="J275" t="str">
        <f t="shared" si="55"/>
        <v>000</v>
      </c>
      <c r="K275">
        <f t="shared" si="56"/>
        <v>0</v>
      </c>
      <c r="L275">
        <f t="shared" si="57"/>
        <v>0</v>
      </c>
      <c r="M275" t="str">
        <f t="shared" si="58"/>
        <v>00.000</v>
      </c>
      <c r="N275" s="1" t="str">
        <f t="shared" si="59"/>
        <v>00000.000</v>
      </c>
      <c r="O275" t="str">
        <f>IF('Import OpenCPN'!W276&gt;0,"N","S")</f>
        <v>S</v>
      </c>
      <c r="P275" t="str">
        <f>IF('Import OpenCPN'!X276&gt;0,"E","W")</f>
        <v>W</v>
      </c>
    </row>
    <row r="276" spans="1:16" x14ac:dyDescent="0.2">
      <c r="A276">
        <f>'Import OpenCPN'!W277</f>
        <v>0</v>
      </c>
      <c r="B276">
        <f>'Import OpenCPN'!X277</f>
        <v>0</v>
      </c>
      <c r="C276">
        <f t="shared" si="48"/>
        <v>0</v>
      </c>
      <c r="D276" t="str">
        <f t="shared" si="49"/>
        <v>00</v>
      </c>
      <c r="E276">
        <f t="shared" si="50"/>
        <v>0</v>
      </c>
      <c r="F276">
        <f t="shared" si="51"/>
        <v>0</v>
      </c>
      <c r="G276" s="23" t="str">
        <f t="shared" si="52"/>
        <v>00.000</v>
      </c>
      <c r="H276" s="1" t="str">
        <f t="shared" si="53"/>
        <v>0000.000</v>
      </c>
      <c r="I276">
        <f t="shared" si="54"/>
        <v>0</v>
      </c>
      <c r="J276" t="str">
        <f t="shared" si="55"/>
        <v>000</v>
      </c>
      <c r="K276">
        <f t="shared" si="56"/>
        <v>0</v>
      </c>
      <c r="L276">
        <f t="shared" si="57"/>
        <v>0</v>
      </c>
      <c r="M276" t="str">
        <f t="shared" si="58"/>
        <v>00.000</v>
      </c>
      <c r="N276" s="1" t="str">
        <f t="shared" si="59"/>
        <v>00000.000</v>
      </c>
      <c r="O276" t="str">
        <f>IF('Import OpenCPN'!W277&gt;0,"N","S")</f>
        <v>S</v>
      </c>
      <c r="P276" t="str">
        <f>IF('Import OpenCPN'!X277&gt;0,"E","W")</f>
        <v>W</v>
      </c>
    </row>
    <row r="277" spans="1:16" x14ac:dyDescent="0.2">
      <c r="A277">
        <f>'Import OpenCPN'!W278</f>
        <v>0</v>
      </c>
      <c r="B277">
        <f>'Import OpenCPN'!X278</f>
        <v>0</v>
      </c>
      <c r="C277">
        <f t="shared" si="48"/>
        <v>0</v>
      </c>
      <c r="D277" t="str">
        <f t="shared" si="49"/>
        <v>00</v>
      </c>
      <c r="E277">
        <f t="shared" si="50"/>
        <v>0</v>
      </c>
      <c r="F277">
        <f t="shared" si="51"/>
        <v>0</v>
      </c>
      <c r="G277" s="23" t="str">
        <f t="shared" si="52"/>
        <v>00.000</v>
      </c>
      <c r="H277" s="1" t="str">
        <f t="shared" si="53"/>
        <v>0000.000</v>
      </c>
      <c r="I277">
        <f t="shared" si="54"/>
        <v>0</v>
      </c>
      <c r="J277" t="str">
        <f t="shared" si="55"/>
        <v>000</v>
      </c>
      <c r="K277">
        <f t="shared" si="56"/>
        <v>0</v>
      </c>
      <c r="L277">
        <f t="shared" si="57"/>
        <v>0</v>
      </c>
      <c r="M277" t="str">
        <f t="shared" si="58"/>
        <v>00.000</v>
      </c>
      <c r="N277" s="1" t="str">
        <f t="shared" si="59"/>
        <v>00000.000</v>
      </c>
      <c r="O277" t="str">
        <f>IF('Import OpenCPN'!W278&gt;0,"N","S")</f>
        <v>S</v>
      </c>
      <c r="P277" t="str">
        <f>IF('Import OpenCPN'!X278&gt;0,"E","W")</f>
        <v>W</v>
      </c>
    </row>
    <row r="278" spans="1:16" x14ac:dyDescent="0.2">
      <c r="A278">
        <f>'Import OpenCPN'!W279</f>
        <v>0</v>
      </c>
      <c r="B278">
        <f>'Import OpenCPN'!X279</f>
        <v>0</v>
      </c>
      <c r="C278">
        <f t="shared" si="48"/>
        <v>0</v>
      </c>
      <c r="D278" t="str">
        <f t="shared" si="49"/>
        <v>00</v>
      </c>
      <c r="E278">
        <f t="shared" si="50"/>
        <v>0</v>
      </c>
      <c r="F278">
        <f t="shared" si="51"/>
        <v>0</v>
      </c>
      <c r="G278" s="23" t="str">
        <f t="shared" si="52"/>
        <v>00.000</v>
      </c>
      <c r="H278" s="1" t="str">
        <f t="shared" si="53"/>
        <v>0000.000</v>
      </c>
      <c r="I278">
        <f t="shared" si="54"/>
        <v>0</v>
      </c>
      <c r="J278" t="str">
        <f t="shared" si="55"/>
        <v>000</v>
      </c>
      <c r="K278">
        <f t="shared" si="56"/>
        <v>0</v>
      </c>
      <c r="L278">
        <f t="shared" si="57"/>
        <v>0</v>
      </c>
      <c r="M278" t="str">
        <f t="shared" si="58"/>
        <v>00.000</v>
      </c>
      <c r="N278" s="1" t="str">
        <f t="shared" si="59"/>
        <v>00000.000</v>
      </c>
      <c r="O278" t="str">
        <f>IF('Import OpenCPN'!W279&gt;0,"N","S")</f>
        <v>S</v>
      </c>
      <c r="P278" t="str">
        <f>IF('Import OpenCPN'!X279&gt;0,"E","W")</f>
        <v>W</v>
      </c>
    </row>
    <row r="279" spans="1:16" x14ac:dyDescent="0.2">
      <c r="A279">
        <f>'Import OpenCPN'!W280</f>
        <v>0</v>
      </c>
      <c r="B279">
        <f>'Import OpenCPN'!X280</f>
        <v>0</v>
      </c>
      <c r="C279">
        <f t="shared" si="48"/>
        <v>0</v>
      </c>
      <c r="D279" t="str">
        <f t="shared" si="49"/>
        <v>00</v>
      </c>
      <c r="E279">
        <f t="shared" si="50"/>
        <v>0</v>
      </c>
      <c r="F279">
        <f t="shared" si="51"/>
        <v>0</v>
      </c>
      <c r="G279" s="23" t="str">
        <f t="shared" si="52"/>
        <v>00.000</v>
      </c>
      <c r="H279" s="1" t="str">
        <f t="shared" si="53"/>
        <v>0000.000</v>
      </c>
      <c r="I279">
        <f t="shared" si="54"/>
        <v>0</v>
      </c>
      <c r="J279" t="str">
        <f t="shared" si="55"/>
        <v>000</v>
      </c>
      <c r="K279">
        <f t="shared" si="56"/>
        <v>0</v>
      </c>
      <c r="L279">
        <f t="shared" si="57"/>
        <v>0</v>
      </c>
      <c r="M279" t="str">
        <f t="shared" si="58"/>
        <v>00.000</v>
      </c>
      <c r="N279" s="1" t="str">
        <f t="shared" si="59"/>
        <v>00000.000</v>
      </c>
      <c r="O279" t="str">
        <f>IF('Import OpenCPN'!W280&gt;0,"N","S")</f>
        <v>S</v>
      </c>
      <c r="P279" t="str">
        <f>IF('Import OpenCPN'!X280&gt;0,"E","W")</f>
        <v>W</v>
      </c>
    </row>
    <row r="280" spans="1:16" x14ac:dyDescent="0.2">
      <c r="A280">
        <f>'Import OpenCPN'!W281</f>
        <v>0</v>
      </c>
      <c r="B280">
        <f>'Import OpenCPN'!X281</f>
        <v>0</v>
      </c>
      <c r="C280">
        <f t="shared" si="48"/>
        <v>0</v>
      </c>
      <c r="D280" t="str">
        <f t="shared" si="49"/>
        <v>00</v>
      </c>
      <c r="E280">
        <f t="shared" si="50"/>
        <v>0</v>
      </c>
      <c r="F280">
        <f t="shared" si="51"/>
        <v>0</v>
      </c>
      <c r="G280" s="23" t="str">
        <f t="shared" si="52"/>
        <v>00.000</v>
      </c>
      <c r="H280" s="1" t="str">
        <f t="shared" si="53"/>
        <v>0000.000</v>
      </c>
      <c r="I280">
        <f t="shared" si="54"/>
        <v>0</v>
      </c>
      <c r="J280" t="str">
        <f t="shared" si="55"/>
        <v>000</v>
      </c>
      <c r="K280">
        <f t="shared" si="56"/>
        <v>0</v>
      </c>
      <c r="L280">
        <f t="shared" si="57"/>
        <v>0</v>
      </c>
      <c r="M280" t="str">
        <f t="shared" si="58"/>
        <v>00.000</v>
      </c>
      <c r="N280" s="1" t="str">
        <f t="shared" si="59"/>
        <v>00000.000</v>
      </c>
      <c r="O280" t="str">
        <f>IF('Import OpenCPN'!W281&gt;0,"N","S")</f>
        <v>S</v>
      </c>
      <c r="P280" t="str">
        <f>IF('Import OpenCPN'!X281&gt;0,"E","W")</f>
        <v>W</v>
      </c>
    </row>
    <row r="281" spans="1:16" x14ac:dyDescent="0.2">
      <c r="A281">
        <f>'Import OpenCPN'!W282</f>
        <v>0</v>
      </c>
      <c r="B281">
        <f>'Import OpenCPN'!X282</f>
        <v>0</v>
      </c>
      <c r="C281">
        <f t="shared" si="48"/>
        <v>0</v>
      </c>
      <c r="D281" t="str">
        <f t="shared" si="49"/>
        <v>00</v>
      </c>
      <c r="E281">
        <f t="shared" si="50"/>
        <v>0</v>
      </c>
      <c r="F281">
        <f t="shared" si="51"/>
        <v>0</v>
      </c>
      <c r="G281" s="23" t="str">
        <f t="shared" si="52"/>
        <v>00.000</v>
      </c>
      <c r="H281" s="1" t="str">
        <f t="shared" si="53"/>
        <v>0000.000</v>
      </c>
      <c r="I281">
        <f t="shared" si="54"/>
        <v>0</v>
      </c>
      <c r="J281" t="str">
        <f t="shared" si="55"/>
        <v>000</v>
      </c>
      <c r="K281">
        <f t="shared" si="56"/>
        <v>0</v>
      </c>
      <c r="L281">
        <f t="shared" si="57"/>
        <v>0</v>
      </c>
      <c r="M281" t="str">
        <f t="shared" si="58"/>
        <v>00.000</v>
      </c>
      <c r="N281" s="1" t="str">
        <f t="shared" si="59"/>
        <v>00000.000</v>
      </c>
      <c r="O281" t="str">
        <f>IF('Import OpenCPN'!W282&gt;0,"N","S")</f>
        <v>S</v>
      </c>
      <c r="P281" t="str">
        <f>IF('Import OpenCPN'!X282&gt;0,"E","W")</f>
        <v>W</v>
      </c>
    </row>
    <row r="282" spans="1:16" x14ac:dyDescent="0.2">
      <c r="A282">
        <f>'Import OpenCPN'!W283</f>
        <v>0</v>
      </c>
      <c r="B282">
        <f>'Import OpenCPN'!X283</f>
        <v>0</v>
      </c>
      <c r="C282">
        <f t="shared" si="48"/>
        <v>0</v>
      </c>
      <c r="D282" t="str">
        <f t="shared" si="49"/>
        <v>00</v>
      </c>
      <c r="E282">
        <f t="shared" si="50"/>
        <v>0</v>
      </c>
      <c r="F282">
        <f t="shared" si="51"/>
        <v>0</v>
      </c>
      <c r="G282" s="23" t="str">
        <f t="shared" si="52"/>
        <v>00.000</v>
      </c>
      <c r="H282" s="1" t="str">
        <f t="shared" si="53"/>
        <v>0000.000</v>
      </c>
      <c r="I282">
        <f t="shared" si="54"/>
        <v>0</v>
      </c>
      <c r="J282" t="str">
        <f t="shared" si="55"/>
        <v>000</v>
      </c>
      <c r="K282">
        <f t="shared" si="56"/>
        <v>0</v>
      </c>
      <c r="L282">
        <f t="shared" si="57"/>
        <v>0</v>
      </c>
      <c r="M282" t="str">
        <f t="shared" si="58"/>
        <v>00.000</v>
      </c>
      <c r="N282" s="1" t="str">
        <f t="shared" si="59"/>
        <v>00000.000</v>
      </c>
      <c r="O282" t="str">
        <f>IF('Import OpenCPN'!W283&gt;0,"N","S")</f>
        <v>S</v>
      </c>
      <c r="P282" t="str">
        <f>IF('Import OpenCPN'!X283&gt;0,"E","W")</f>
        <v>W</v>
      </c>
    </row>
    <row r="283" spans="1:16" x14ac:dyDescent="0.2">
      <c r="A283">
        <f>'Import OpenCPN'!W284</f>
        <v>0</v>
      </c>
      <c r="B283">
        <f>'Import OpenCPN'!X284</f>
        <v>0</v>
      </c>
      <c r="C283">
        <f t="shared" si="48"/>
        <v>0</v>
      </c>
      <c r="D283" t="str">
        <f t="shared" si="49"/>
        <v>00</v>
      </c>
      <c r="E283">
        <f t="shared" si="50"/>
        <v>0</v>
      </c>
      <c r="F283">
        <f t="shared" si="51"/>
        <v>0</v>
      </c>
      <c r="G283" s="23" t="str">
        <f t="shared" si="52"/>
        <v>00.000</v>
      </c>
      <c r="H283" s="1" t="str">
        <f t="shared" si="53"/>
        <v>0000.000</v>
      </c>
      <c r="I283">
        <f t="shared" si="54"/>
        <v>0</v>
      </c>
      <c r="J283" t="str">
        <f t="shared" si="55"/>
        <v>000</v>
      </c>
      <c r="K283">
        <f t="shared" si="56"/>
        <v>0</v>
      </c>
      <c r="L283">
        <f t="shared" si="57"/>
        <v>0</v>
      </c>
      <c r="M283" t="str">
        <f t="shared" si="58"/>
        <v>00.000</v>
      </c>
      <c r="N283" s="1" t="str">
        <f t="shared" si="59"/>
        <v>00000.000</v>
      </c>
      <c r="O283" t="str">
        <f>IF('Import OpenCPN'!W284&gt;0,"N","S")</f>
        <v>S</v>
      </c>
      <c r="P283" t="str">
        <f>IF('Import OpenCPN'!X284&gt;0,"E","W")</f>
        <v>W</v>
      </c>
    </row>
    <row r="284" spans="1:16" x14ac:dyDescent="0.2">
      <c r="A284">
        <f>'Import OpenCPN'!W285</f>
        <v>0</v>
      </c>
      <c r="B284">
        <f>'Import OpenCPN'!X285</f>
        <v>0</v>
      </c>
      <c r="C284">
        <f t="shared" si="48"/>
        <v>0</v>
      </c>
      <c r="D284" t="str">
        <f t="shared" si="49"/>
        <v>00</v>
      </c>
      <c r="E284">
        <f t="shared" si="50"/>
        <v>0</v>
      </c>
      <c r="F284">
        <f t="shared" si="51"/>
        <v>0</v>
      </c>
      <c r="G284" s="23" t="str">
        <f t="shared" si="52"/>
        <v>00.000</v>
      </c>
      <c r="H284" s="1" t="str">
        <f t="shared" si="53"/>
        <v>0000.000</v>
      </c>
      <c r="I284">
        <f t="shared" si="54"/>
        <v>0</v>
      </c>
      <c r="J284" t="str">
        <f t="shared" si="55"/>
        <v>000</v>
      </c>
      <c r="K284">
        <f t="shared" si="56"/>
        <v>0</v>
      </c>
      <c r="L284">
        <f t="shared" si="57"/>
        <v>0</v>
      </c>
      <c r="M284" t="str">
        <f t="shared" si="58"/>
        <v>00.000</v>
      </c>
      <c r="N284" s="1" t="str">
        <f t="shared" si="59"/>
        <v>00000.000</v>
      </c>
      <c r="O284" t="str">
        <f>IF('Import OpenCPN'!W285&gt;0,"N","S")</f>
        <v>S</v>
      </c>
      <c r="P284" t="str">
        <f>IF('Import OpenCPN'!X285&gt;0,"E","W")</f>
        <v>W</v>
      </c>
    </row>
    <row r="285" spans="1:16" x14ac:dyDescent="0.2">
      <c r="A285">
        <f>'Import OpenCPN'!W286</f>
        <v>0</v>
      </c>
      <c r="B285">
        <f>'Import OpenCPN'!X286</f>
        <v>0</v>
      </c>
      <c r="C285">
        <f t="shared" si="48"/>
        <v>0</v>
      </c>
      <c r="D285" t="str">
        <f t="shared" si="49"/>
        <v>00</v>
      </c>
      <c r="E285">
        <f t="shared" si="50"/>
        <v>0</v>
      </c>
      <c r="F285">
        <f t="shared" si="51"/>
        <v>0</v>
      </c>
      <c r="G285" s="23" t="str">
        <f t="shared" si="52"/>
        <v>00.000</v>
      </c>
      <c r="H285" s="1" t="str">
        <f t="shared" si="53"/>
        <v>0000.000</v>
      </c>
      <c r="I285">
        <f t="shared" si="54"/>
        <v>0</v>
      </c>
      <c r="J285" t="str">
        <f t="shared" si="55"/>
        <v>000</v>
      </c>
      <c r="K285">
        <f t="shared" si="56"/>
        <v>0</v>
      </c>
      <c r="L285">
        <f t="shared" si="57"/>
        <v>0</v>
      </c>
      <c r="M285" t="str">
        <f t="shared" si="58"/>
        <v>00.000</v>
      </c>
      <c r="N285" s="1" t="str">
        <f t="shared" si="59"/>
        <v>00000.000</v>
      </c>
      <c r="O285" t="str">
        <f>IF('Import OpenCPN'!W286&gt;0,"N","S")</f>
        <v>S</v>
      </c>
      <c r="P285" t="str">
        <f>IF('Import OpenCPN'!X286&gt;0,"E","W")</f>
        <v>W</v>
      </c>
    </row>
    <row r="286" spans="1:16" x14ac:dyDescent="0.2">
      <c r="A286">
        <f>'Import OpenCPN'!W287</f>
        <v>0</v>
      </c>
      <c r="B286">
        <f>'Import OpenCPN'!X287</f>
        <v>0</v>
      </c>
      <c r="C286">
        <f t="shared" si="48"/>
        <v>0</v>
      </c>
      <c r="D286" t="str">
        <f t="shared" si="49"/>
        <v>00</v>
      </c>
      <c r="E286">
        <f t="shared" si="50"/>
        <v>0</v>
      </c>
      <c r="F286">
        <f t="shared" si="51"/>
        <v>0</v>
      </c>
      <c r="G286" s="23" t="str">
        <f t="shared" si="52"/>
        <v>00.000</v>
      </c>
      <c r="H286" s="1" t="str">
        <f t="shared" si="53"/>
        <v>0000.000</v>
      </c>
      <c r="I286">
        <f t="shared" si="54"/>
        <v>0</v>
      </c>
      <c r="J286" t="str">
        <f t="shared" si="55"/>
        <v>000</v>
      </c>
      <c r="K286">
        <f t="shared" si="56"/>
        <v>0</v>
      </c>
      <c r="L286">
        <f t="shared" si="57"/>
        <v>0</v>
      </c>
      <c r="M286" t="str">
        <f t="shared" si="58"/>
        <v>00.000</v>
      </c>
      <c r="N286" s="1" t="str">
        <f t="shared" si="59"/>
        <v>00000.000</v>
      </c>
      <c r="O286" t="str">
        <f>IF('Import OpenCPN'!W287&gt;0,"N","S")</f>
        <v>S</v>
      </c>
      <c r="P286" t="str">
        <f>IF('Import OpenCPN'!X287&gt;0,"E","W")</f>
        <v>W</v>
      </c>
    </row>
    <row r="287" spans="1:16" x14ac:dyDescent="0.2">
      <c r="A287">
        <f>'Import OpenCPN'!W288</f>
        <v>0</v>
      </c>
      <c r="B287">
        <f>'Import OpenCPN'!X288</f>
        <v>0</v>
      </c>
      <c r="C287">
        <f t="shared" si="48"/>
        <v>0</v>
      </c>
      <c r="D287" t="str">
        <f t="shared" si="49"/>
        <v>00</v>
      </c>
      <c r="E287">
        <f t="shared" si="50"/>
        <v>0</v>
      </c>
      <c r="F287">
        <f t="shared" si="51"/>
        <v>0</v>
      </c>
      <c r="G287" s="23" t="str">
        <f t="shared" si="52"/>
        <v>00.000</v>
      </c>
      <c r="H287" s="1" t="str">
        <f t="shared" si="53"/>
        <v>0000.000</v>
      </c>
      <c r="I287">
        <f t="shared" si="54"/>
        <v>0</v>
      </c>
      <c r="J287" t="str">
        <f t="shared" si="55"/>
        <v>000</v>
      </c>
      <c r="K287">
        <f t="shared" si="56"/>
        <v>0</v>
      </c>
      <c r="L287">
        <f t="shared" si="57"/>
        <v>0</v>
      </c>
      <c r="M287" t="str">
        <f t="shared" si="58"/>
        <v>00.000</v>
      </c>
      <c r="N287" s="1" t="str">
        <f t="shared" si="59"/>
        <v>00000.000</v>
      </c>
      <c r="O287" t="str">
        <f>IF('Import OpenCPN'!W288&gt;0,"N","S")</f>
        <v>S</v>
      </c>
      <c r="P287" t="str">
        <f>IF('Import OpenCPN'!X288&gt;0,"E","W")</f>
        <v>W</v>
      </c>
    </row>
    <row r="288" spans="1:16" x14ac:dyDescent="0.2">
      <c r="A288">
        <f>'Import OpenCPN'!W289</f>
        <v>0</v>
      </c>
      <c r="B288">
        <f>'Import OpenCPN'!X289</f>
        <v>0</v>
      </c>
      <c r="C288">
        <f t="shared" si="48"/>
        <v>0</v>
      </c>
      <c r="D288" t="str">
        <f t="shared" si="49"/>
        <v>00</v>
      </c>
      <c r="E288">
        <f t="shared" si="50"/>
        <v>0</v>
      </c>
      <c r="F288">
        <f t="shared" si="51"/>
        <v>0</v>
      </c>
      <c r="G288" s="23" t="str">
        <f t="shared" si="52"/>
        <v>00.000</v>
      </c>
      <c r="H288" s="1" t="str">
        <f t="shared" si="53"/>
        <v>0000.000</v>
      </c>
      <c r="I288">
        <f t="shared" si="54"/>
        <v>0</v>
      </c>
      <c r="J288" t="str">
        <f t="shared" si="55"/>
        <v>000</v>
      </c>
      <c r="K288">
        <f t="shared" si="56"/>
        <v>0</v>
      </c>
      <c r="L288">
        <f t="shared" si="57"/>
        <v>0</v>
      </c>
      <c r="M288" t="str">
        <f t="shared" si="58"/>
        <v>00.000</v>
      </c>
      <c r="N288" s="1" t="str">
        <f t="shared" si="59"/>
        <v>00000.000</v>
      </c>
      <c r="O288" t="str">
        <f>IF('Import OpenCPN'!W289&gt;0,"N","S")</f>
        <v>S</v>
      </c>
      <c r="P288" t="str">
        <f>IF('Import OpenCPN'!X289&gt;0,"E","W")</f>
        <v>W</v>
      </c>
    </row>
    <row r="289" spans="1:16" x14ac:dyDescent="0.2">
      <c r="A289">
        <f>'Import OpenCPN'!W290</f>
        <v>0</v>
      </c>
      <c r="B289">
        <f>'Import OpenCPN'!X290</f>
        <v>0</v>
      </c>
      <c r="C289">
        <f t="shared" si="48"/>
        <v>0</v>
      </c>
      <c r="D289" t="str">
        <f t="shared" si="49"/>
        <v>00</v>
      </c>
      <c r="E289">
        <f t="shared" si="50"/>
        <v>0</v>
      </c>
      <c r="F289">
        <f t="shared" si="51"/>
        <v>0</v>
      </c>
      <c r="G289" s="23" t="str">
        <f t="shared" si="52"/>
        <v>00.000</v>
      </c>
      <c r="H289" s="1" t="str">
        <f t="shared" si="53"/>
        <v>0000.000</v>
      </c>
      <c r="I289">
        <f t="shared" si="54"/>
        <v>0</v>
      </c>
      <c r="J289" t="str">
        <f t="shared" si="55"/>
        <v>000</v>
      </c>
      <c r="K289">
        <f t="shared" si="56"/>
        <v>0</v>
      </c>
      <c r="L289">
        <f t="shared" si="57"/>
        <v>0</v>
      </c>
      <c r="M289" t="str">
        <f t="shared" si="58"/>
        <v>00.000</v>
      </c>
      <c r="N289" s="1" t="str">
        <f t="shared" si="59"/>
        <v>00000.000</v>
      </c>
      <c r="O289" t="str">
        <f>IF('Import OpenCPN'!W290&gt;0,"N","S")</f>
        <v>S</v>
      </c>
      <c r="P289" t="str">
        <f>IF('Import OpenCPN'!X290&gt;0,"E","W")</f>
        <v>W</v>
      </c>
    </row>
    <row r="290" spans="1:16" x14ac:dyDescent="0.2">
      <c r="A290">
        <f>'Import OpenCPN'!W291</f>
        <v>0</v>
      </c>
      <c r="B290">
        <f>'Import OpenCPN'!X291</f>
        <v>0</v>
      </c>
      <c r="C290">
        <f t="shared" si="48"/>
        <v>0</v>
      </c>
      <c r="D290" t="str">
        <f t="shared" si="49"/>
        <v>00</v>
      </c>
      <c r="E290">
        <f t="shared" si="50"/>
        <v>0</v>
      </c>
      <c r="F290">
        <f t="shared" si="51"/>
        <v>0</v>
      </c>
      <c r="G290" s="23" t="str">
        <f t="shared" si="52"/>
        <v>00.000</v>
      </c>
      <c r="H290" s="1" t="str">
        <f t="shared" si="53"/>
        <v>0000.000</v>
      </c>
      <c r="I290">
        <f t="shared" si="54"/>
        <v>0</v>
      </c>
      <c r="J290" t="str">
        <f t="shared" si="55"/>
        <v>000</v>
      </c>
      <c r="K290">
        <f t="shared" si="56"/>
        <v>0</v>
      </c>
      <c r="L290">
        <f t="shared" si="57"/>
        <v>0</v>
      </c>
      <c r="M290" t="str">
        <f t="shared" si="58"/>
        <v>00.000</v>
      </c>
      <c r="N290" s="1" t="str">
        <f t="shared" si="59"/>
        <v>00000.000</v>
      </c>
      <c r="O290" t="str">
        <f>IF('Import OpenCPN'!W291&gt;0,"N","S")</f>
        <v>S</v>
      </c>
      <c r="P290" t="str">
        <f>IF('Import OpenCPN'!X291&gt;0,"E","W")</f>
        <v>W</v>
      </c>
    </row>
    <row r="291" spans="1:16" x14ac:dyDescent="0.2">
      <c r="A291">
        <f>'Import OpenCPN'!W292</f>
        <v>0</v>
      </c>
      <c r="B291">
        <f>'Import OpenCPN'!X292</f>
        <v>0</v>
      </c>
      <c r="C291">
        <f t="shared" si="48"/>
        <v>0</v>
      </c>
      <c r="D291" t="str">
        <f t="shared" si="49"/>
        <v>00</v>
      </c>
      <c r="E291">
        <f t="shared" si="50"/>
        <v>0</v>
      </c>
      <c r="F291">
        <f t="shared" si="51"/>
        <v>0</v>
      </c>
      <c r="G291" s="23" t="str">
        <f t="shared" si="52"/>
        <v>00.000</v>
      </c>
      <c r="H291" s="1" t="str">
        <f t="shared" si="53"/>
        <v>0000.000</v>
      </c>
      <c r="I291">
        <f t="shared" si="54"/>
        <v>0</v>
      </c>
      <c r="J291" t="str">
        <f t="shared" si="55"/>
        <v>000</v>
      </c>
      <c r="K291">
        <f t="shared" si="56"/>
        <v>0</v>
      </c>
      <c r="L291">
        <f t="shared" si="57"/>
        <v>0</v>
      </c>
      <c r="M291" t="str">
        <f t="shared" si="58"/>
        <v>00.000</v>
      </c>
      <c r="N291" s="1" t="str">
        <f t="shared" si="59"/>
        <v>00000.000</v>
      </c>
      <c r="O291" t="str">
        <f>IF('Import OpenCPN'!W292&gt;0,"N","S")</f>
        <v>S</v>
      </c>
      <c r="P291" t="str">
        <f>IF('Import OpenCPN'!X292&gt;0,"E","W")</f>
        <v>W</v>
      </c>
    </row>
    <row r="292" spans="1:16" x14ac:dyDescent="0.2">
      <c r="A292">
        <f>'Import OpenCPN'!W293</f>
        <v>0</v>
      </c>
      <c r="B292">
        <f>'Import OpenCPN'!X293</f>
        <v>0</v>
      </c>
      <c r="C292">
        <f t="shared" si="48"/>
        <v>0</v>
      </c>
      <c r="D292" t="str">
        <f t="shared" si="49"/>
        <v>00</v>
      </c>
      <c r="E292">
        <f t="shared" si="50"/>
        <v>0</v>
      </c>
      <c r="F292">
        <f t="shared" si="51"/>
        <v>0</v>
      </c>
      <c r="G292" s="23" t="str">
        <f t="shared" si="52"/>
        <v>00.000</v>
      </c>
      <c r="H292" s="1" t="str">
        <f t="shared" si="53"/>
        <v>0000.000</v>
      </c>
      <c r="I292">
        <f t="shared" si="54"/>
        <v>0</v>
      </c>
      <c r="J292" t="str">
        <f t="shared" si="55"/>
        <v>000</v>
      </c>
      <c r="K292">
        <f t="shared" si="56"/>
        <v>0</v>
      </c>
      <c r="L292">
        <f t="shared" si="57"/>
        <v>0</v>
      </c>
      <c r="M292" t="str">
        <f t="shared" si="58"/>
        <v>00.000</v>
      </c>
      <c r="N292" s="1" t="str">
        <f t="shared" si="59"/>
        <v>00000.000</v>
      </c>
      <c r="O292" t="str">
        <f>IF('Import OpenCPN'!W293&gt;0,"N","S")</f>
        <v>S</v>
      </c>
      <c r="P292" t="str">
        <f>IF('Import OpenCPN'!X293&gt;0,"E","W")</f>
        <v>W</v>
      </c>
    </row>
    <row r="293" spans="1:16" x14ac:dyDescent="0.2">
      <c r="A293">
        <f>'Import OpenCPN'!W294</f>
        <v>0</v>
      </c>
      <c r="B293">
        <f>'Import OpenCPN'!X294</f>
        <v>0</v>
      </c>
      <c r="C293">
        <f t="shared" si="48"/>
        <v>0</v>
      </c>
      <c r="D293" t="str">
        <f t="shared" si="49"/>
        <v>00</v>
      </c>
      <c r="E293">
        <f t="shared" si="50"/>
        <v>0</v>
      </c>
      <c r="F293">
        <f t="shared" si="51"/>
        <v>0</v>
      </c>
      <c r="G293" s="23" t="str">
        <f t="shared" si="52"/>
        <v>00.000</v>
      </c>
      <c r="H293" s="1" t="str">
        <f t="shared" si="53"/>
        <v>0000.000</v>
      </c>
      <c r="I293">
        <f t="shared" si="54"/>
        <v>0</v>
      </c>
      <c r="J293" t="str">
        <f t="shared" si="55"/>
        <v>000</v>
      </c>
      <c r="K293">
        <f t="shared" si="56"/>
        <v>0</v>
      </c>
      <c r="L293">
        <f t="shared" si="57"/>
        <v>0</v>
      </c>
      <c r="M293" t="str">
        <f t="shared" si="58"/>
        <v>00.000</v>
      </c>
      <c r="N293" s="1" t="str">
        <f t="shared" si="59"/>
        <v>00000.000</v>
      </c>
      <c r="O293" t="str">
        <f>IF('Import OpenCPN'!W294&gt;0,"N","S")</f>
        <v>S</v>
      </c>
      <c r="P293" t="str">
        <f>IF('Import OpenCPN'!X294&gt;0,"E","W")</f>
        <v>W</v>
      </c>
    </row>
    <row r="294" spans="1:16" x14ac:dyDescent="0.2">
      <c r="A294">
        <f>'Import OpenCPN'!W295</f>
        <v>0</v>
      </c>
      <c r="B294">
        <f>'Import OpenCPN'!X295</f>
        <v>0</v>
      </c>
      <c r="C294">
        <f t="shared" si="48"/>
        <v>0</v>
      </c>
      <c r="D294" t="str">
        <f t="shared" si="49"/>
        <v>00</v>
      </c>
      <c r="E294">
        <f t="shared" si="50"/>
        <v>0</v>
      </c>
      <c r="F294">
        <f t="shared" si="51"/>
        <v>0</v>
      </c>
      <c r="G294" s="23" t="str">
        <f t="shared" si="52"/>
        <v>00.000</v>
      </c>
      <c r="H294" s="1" t="str">
        <f t="shared" si="53"/>
        <v>0000.000</v>
      </c>
      <c r="I294">
        <f t="shared" si="54"/>
        <v>0</v>
      </c>
      <c r="J294" t="str">
        <f t="shared" si="55"/>
        <v>000</v>
      </c>
      <c r="K294">
        <f t="shared" si="56"/>
        <v>0</v>
      </c>
      <c r="L294">
        <f t="shared" si="57"/>
        <v>0</v>
      </c>
      <c r="M294" t="str">
        <f t="shared" si="58"/>
        <v>00.000</v>
      </c>
      <c r="N294" s="1" t="str">
        <f t="shared" si="59"/>
        <v>00000.000</v>
      </c>
      <c r="O294" t="str">
        <f>IF('Import OpenCPN'!W295&gt;0,"N","S")</f>
        <v>S</v>
      </c>
      <c r="P294" t="str">
        <f>IF('Import OpenCPN'!X295&gt;0,"E","W")</f>
        <v>W</v>
      </c>
    </row>
    <row r="295" spans="1:16" x14ac:dyDescent="0.2">
      <c r="A295">
        <f>'Import OpenCPN'!W296</f>
        <v>0</v>
      </c>
      <c r="B295">
        <f>'Import OpenCPN'!X296</f>
        <v>0</v>
      </c>
      <c r="C295">
        <f t="shared" si="48"/>
        <v>0</v>
      </c>
      <c r="D295" t="str">
        <f t="shared" si="49"/>
        <v>00</v>
      </c>
      <c r="E295">
        <f t="shared" si="50"/>
        <v>0</v>
      </c>
      <c r="F295">
        <f t="shared" si="51"/>
        <v>0</v>
      </c>
      <c r="G295" s="23" t="str">
        <f t="shared" si="52"/>
        <v>00.000</v>
      </c>
      <c r="H295" s="1" t="str">
        <f t="shared" si="53"/>
        <v>0000.000</v>
      </c>
      <c r="I295">
        <f t="shared" si="54"/>
        <v>0</v>
      </c>
      <c r="J295" t="str">
        <f t="shared" si="55"/>
        <v>000</v>
      </c>
      <c r="K295">
        <f t="shared" si="56"/>
        <v>0</v>
      </c>
      <c r="L295">
        <f t="shared" si="57"/>
        <v>0</v>
      </c>
      <c r="M295" t="str">
        <f t="shared" si="58"/>
        <v>00.000</v>
      </c>
      <c r="N295" s="1" t="str">
        <f t="shared" si="59"/>
        <v>00000.000</v>
      </c>
      <c r="O295" t="str">
        <f>IF('Import OpenCPN'!W296&gt;0,"N","S")</f>
        <v>S</v>
      </c>
      <c r="P295" t="str">
        <f>IF('Import OpenCPN'!X296&gt;0,"E","W")</f>
        <v>W</v>
      </c>
    </row>
    <row r="296" spans="1:16" x14ac:dyDescent="0.2">
      <c r="A296">
        <f>'Import OpenCPN'!W297</f>
        <v>0</v>
      </c>
      <c r="B296">
        <f>'Import OpenCPN'!X297</f>
        <v>0</v>
      </c>
      <c r="C296">
        <f t="shared" si="48"/>
        <v>0</v>
      </c>
      <c r="D296" t="str">
        <f t="shared" si="49"/>
        <v>00</v>
      </c>
      <c r="E296">
        <f t="shared" si="50"/>
        <v>0</v>
      </c>
      <c r="F296">
        <f t="shared" si="51"/>
        <v>0</v>
      </c>
      <c r="G296" s="23" t="str">
        <f t="shared" si="52"/>
        <v>00.000</v>
      </c>
      <c r="H296" s="1" t="str">
        <f t="shared" si="53"/>
        <v>0000.000</v>
      </c>
      <c r="I296">
        <f t="shared" si="54"/>
        <v>0</v>
      </c>
      <c r="J296" t="str">
        <f t="shared" si="55"/>
        <v>000</v>
      </c>
      <c r="K296">
        <f t="shared" si="56"/>
        <v>0</v>
      </c>
      <c r="L296">
        <f t="shared" si="57"/>
        <v>0</v>
      </c>
      <c r="M296" t="str">
        <f t="shared" si="58"/>
        <v>00.000</v>
      </c>
      <c r="N296" s="1" t="str">
        <f t="shared" si="59"/>
        <v>00000.000</v>
      </c>
      <c r="O296" t="str">
        <f>IF('Import OpenCPN'!W297&gt;0,"N","S")</f>
        <v>S</v>
      </c>
      <c r="P296" t="str">
        <f>IF('Import OpenCPN'!X297&gt;0,"E","W")</f>
        <v>W</v>
      </c>
    </row>
    <row r="297" spans="1:16" x14ac:dyDescent="0.2">
      <c r="A297">
        <f>'Import OpenCPN'!W298</f>
        <v>0</v>
      </c>
      <c r="B297">
        <f>'Import OpenCPN'!X298</f>
        <v>0</v>
      </c>
      <c r="C297">
        <f t="shared" si="48"/>
        <v>0</v>
      </c>
      <c r="D297" t="str">
        <f t="shared" si="49"/>
        <v>00</v>
      </c>
      <c r="E297">
        <f t="shared" si="50"/>
        <v>0</v>
      </c>
      <c r="F297">
        <f t="shared" si="51"/>
        <v>0</v>
      </c>
      <c r="G297" s="23" t="str">
        <f t="shared" si="52"/>
        <v>00.000</v>
      </c>
      <c r="H297" s="1" t="str">
        <f t="shared" si="53"/>
        <v>0000.000</v>
      </c>
      <c r="I297">
        <f t="shared" si="54"/>
        <v>0</v>
      </c>
      <c r="J297" t="str">
        <f t="shared" si="55"/>
        <v>000</v>
      </c>
      <c r="K297">
        <f t="shared" si="56"/>
        <v>0</v>
      </c>
      <c r="L297">
        <f t="shared" si="57"/>
        <v>0</v>
      </c>
      <c r="M297" t="str">
        <f t="shared" si="58"/>
        <v>00.000</v>
      </c>
      <c r="N297" s="1" t="str">
        <f t="shared" si="59"/>
        <v>00000.000</v>
      </c>
      <c r="O297" t="str">
        <f>IF('Import OpenCPN'!W298&gt;0,"N","S")</f>
        <v>S</v>
      </c>
      <c r="P297" t="str">
        <f>IF('Import OpenCPN'!X298&gt;0,"E","W")</f>
        <v>W</v>
      </c>
    </row>
    <row r="298" spans="1:16" x14ac:dyDescent="0.2">
      <c r="A298">
        <f>'Import OpenCPN'!W299</f>
        <v>0</v>
      </c>
      <c r="B298">
        <f>'Import OpenCPN'!X299</f>
        <v>0</v>
      </c>
      <c r="C298">
        <f t="shared" si="48"/>
        <v>0</v>
      </c>
      <c r="D298" t="str">
        <f t="shared" si="49"/>
        <v>00</v>
      </c>
      <c r="E298">
        <f t="shared" si="50"/>
        <v>0</v>
      </c>
      <c r="F298">
        <f t="shared" si="51"/>
        <v>0</v>
      </c>
      <c r="G298" s="23" t="str">
        <f t="shared" si="52"/>
        <v>00.000</v>
      </c>
      <c r="H298" s="1" t="str">
        <f t="shared" si="53"/>
        <v>0000.000</v>
      </c>
      <c r="I298">
        <f t="shared" si="54"/>
        <v>0</v>
      </c>
      <c r="J298" t="str">
        <f t="shared" si="55"/>
        <v>000</v>
      </c>
      <c r="K298">
        <f t="shared" si="56"/>
        <v>0</v>
      </c>
      <c r="L298">
        <f t="shared" si="57"/>
        <v>0</v>
      </c>
      <c r="M298" t="str">
        <f t="shared" si="58"/>
        <v>00.000</v>
      </c>
      <c r="N298" s="1" t="str">
        <f t="shared" si="59"/>
        <v>00000.000</v>
      </c>
      <c r="O298" t="str">
        <f>IF('Import OpenCPN'!W299&gt;0,"N","S")</f>
        <v>S</v>
      </c>
      <c r="P298" t="str">
        <f>IF('Import OpenCPN'!X299&gt;0,"E","W")</f>
        <v>W</v>
      </c>
    </row>
    <row r="299" spans="1:16" x14ac:dyDescent="0.2">
      <c r="A299">
        <f>'Import OpenCPN'!W300</f>
        <v>0</v>
      </c>
      <c r="B299">
        <f>'Import OpenCPN'!X300</f>
        <v>0</v>
      </c>
      <c r="C299">
        <f t="shared" si="48"/>
        <v>0</v>
      </c>
      <c r="D299" t="str">
        <f t="shared" si="49"/>
        <v>00</v>
      </c>
      <c r="E299">
        <f t="shared" si="50"/>
        <v>0</v>
      </c>
      <c r="F299">
        <f t="shared" si="51"/>
        <v>0</v>
      </c>
      <c r="G299" s="23" t="str">
        <f t="shared" si="52"/>
        <v>00.000</v>
      </c>
      <c r="H299" s="1" t="str">
        <f t="shared" si="53"/>
        <v>0000.000</v>
      </c>
      <c r="I299">
        <f t="shared" si="54"/>
        <v>0</v>
      </c>
      <c r="J299" t="str">
        <f t="shared" si="55"/>
        <v>000</v>
      </c>
      <c r="K299">
        <f t="shared" si="56"/>
        <v>0</v>
      </c>
      <c r="L299">
        <f t="shared" si="57"/>
        <v>0</v>
      </c>
      <c r="M299" t="str">
        <f t="shared" si="58"/>
        <v>00.000</v>
      </c>
      <c r="N299" s="1" t="str">
        <f t="shared" si="59"/>
        <v>00000.000</v>
      </c>
      <c r="O299" t="str">
        <f>IF('Import OpenCPN'!W300&gt;0,"N","S")</f>
        <v>S</v>
      </c>
      <c r="P299" t="str">
        <f>IF('Import OpenCPN'!X300&gt;0,"E","W")</f>
        <v>W</v>
      </c>
    </row>
    <row r="300" spans="1:16" x14ac:dyDescent="0.2">
      <c r="A300">
        <f>'Import OpenCPN'!W301</f>
        <v>0</v>
      </c>
      <c r="B300">
        <f>'Import OpenCPN'!X301</f>
        <v>0</v>
      </c>
      <c r="C300">
        <f t="shared" si="48"/>
        <v>0</v>
      </c>
      <c r="D300" t="str">
        <f t="shared" si="49"/>
        <v>00</v>
      </c>
      <c r="E300">
        <f t="shared" si="50"/>
        <v>0</v>
      </c>
      <c r="F300">
        <f t="shared" si="51"/>
        <v>0</v>
      </c>
      <c r="G300" s="23" t="str">
        <f t="shared" si="52"/>
        <v>00.000</v>
      </c>
      <c r="H300" s="1" t="str">
        <f t="shared" si="53"/>
        <v>0000.000</v>
      </c>
      <c r="I300">
        <f t="shared" si="54"/>
        <v>0</v>
      </c>
      <c r="J300" t="str">
        <f t="shared" si="55"/>
        <v>000</v>
      </c>
      <c r="K300">
        <f t="shared" si="56"/>
        <v>0</v>
      </c>
      <c r="L300">
        <f t="shared" si="57"/>
        <v>0</v>
      </c>
      <c r="M300" t="str">
        <f t="shared" si="58"/>
        <v>00.000</v>
      </c>
      <c r="N300" s="1" t="str">
        <f t="shared" si="59"/>
        <v>00000.000</v>
      </c>
      <c r="O300" t="str">
        <f>IF('Import OpenCPN'!W301&gt;0,"N","S")</f>
        <v>S</v>
      </c>
      <c r="P300" t="str">
        <f>IF('Import OpenCPN'!X301&gt;0,"E","W")</f>
        <v>W</v>
      </c>
    </row>
    <row r="301" spans="1:16" x14ac:dyDescent="0.2">
      <c r="A301">
        <f>'Import OpenCPN'!W302</f>
        <v>0</v>
      </c>
      <c r="B301">
        <f>'Import OpenCPN'!X302</f>
        <v>0</v>
      </c>
      <c r="C301">
        <f t="shared" si="48"/>
        <v>0</v>
      </c>
      <c r="D301" t="str">
        <f t="shared" si="49"/>
        <v>00</v>
      </c>
      <c r="E301">
        <f t="shared" si="50"/>
        <v>0</v>
      </c>
      <c r="F301">
        <f t="shared" si="51"/>
        <v>0</v>
      </c>
      <c r="G301" s="23" t="str">
        <f t="shared" si="52"/>
        <v>00.000</v>
      </c>
      <c r="H301" s="1" t="str">
        <f t="shared" si="53"/>
        <v>0000.000</v>
      </c>
      <c r="I301">
        <f t="shared" si="54"/>
        <v>0</v>
      </c>
      <c r="J301" t="str">
        <f t="shared" si="55"/>
        <v>000</v>
      </c>
      <c r="K301">
        <f t="shared" si="56"/>
        <v>0</v>
      </c>
      <c r="L301">
        <f t="shared" si="57"/>
        <v>0</v>
      </c>
      <c r="M301" t="str">
        <f t="shared" si="58"/>
        <v>00.000</v>
      </c>
      <c r="N301" s="1" t="str">
        <f t="shared" si="59"/>
        <v>00000.000</v>
      </c>
      <c r="O301" t="str">
        <f>IF('Import OpenCPN'!W302&gt;0,"N","S")</f>
        <v>S</v>
      </c>
      <c r="P301" t="str">
        <f>IF('Import OpenCPN'!X302&gt;0,"E","W")</f>
        <v>W</v>
      </c>
    </row>
    <row r="302" spans="1:16" x14ac:dyDescent="0.2">
      <c r="A302">
        <f>'Import OpenCPN'!W303</f>
        <v>0</v>
      </c>
      <c r="B302">
        <f>'Import OpenCPN'!X303</f>
        <v>0</v>
      </c>
      <c r="C302">
        <f t="shared" si="48"/>
        <v>0</v>
      </c>
      <c r="D302" t="str">
        <f t="shared" si="49"/>
        <v>00</v>
      </c>
      <c r="E302">
        <f t="shared" si="50"/>
        <v>0</v>
      </c>
      <c r="F302">
        <f t="shared" si="51"/>
        <v>0</v>
      </c>
      <c r="G302" s="23" t="str">
        <f t="shared" si="52"/>
        <v>00.000</v>
      </c>
      <c r="H302" s="1" t="str">
        <f t="shared" si="53"/>
        <v>0000.000</v>
      </c>
      <c r="I302">
        <f t="shared" si="54"/>
        <v>0</v>
      </c>
      <c r="J302" t="str">
        <f t="shared" si="55"/>
        <v>000</v>
      </c>
      <c r="K302">
        <f t="shared" si="56"/>
        <v>0</v>
      </c>
      <c r="L302">
        <f t="shared" si="57"/>
        <v>0</v>
      </c>
      <c r="M302" t="str">
        <f t="shared" si="58"/>
        <v>00.000</v>
      </c>
      <c r="N302" s="1" t="str">
        <f t="shared" si="59"/>
        <v>00000.000</v>
      </c>
      <c r="O302" t="str">
        <f>IF('Import OpenCPN'!W303&gt;0,"N","S")</f>
        <v>S</v>
      </c>
      <c r="P302" t="str">
        <f>IF('Import OpenCPN'!X303&gt;0,"E","W")</f>
        <v>W</v>
      </c>
    </row>
    <row r="303" spans="1:16" x14ac:dyDescent="0.2">
      <c r="A303">
        <f>'Import OpenCPN'!W304</f>
        <v>0</v>
      </c>
      <c r="B303">
        <f>'Import OpenCPN'!X304</f>
        <v>0</v>
      </c>
      <c r="C303">
        <f t="shared" si="48"/>
        <v>0</v>
      </c>
      <c r="D303" t="str">
        <f t="shared" si="49"/>
        <v>00</v>
      </c>
      <c r="E303">
        <f t="shared" si="50"/>
        <v>0</v>
      </c>
      <c r="F303">
        <f t="shared" si="51"/>
        <v>0</v>
      </c>
      <c r="G303" s="23" t="str">
        <f t="shared" si="52"/>
        <v>00.000</v>
      </c>
      <c r="H303" s="1" t="str">
        <f t="shared" si="53"/>
        <v>0000.000</v>
      </c>
      <c r="I303">
        <f t="shared" si="54"/>
        <v>0</v>
      </c>
      <c r="J303" t="str">
        <f t="shared" si="55"/>
        <v>000</v>
      </c>
      <c r="K303">
        <f t="shared" si="56"/>
        <v>0</v>
      </c>
      <c r="L303">
        <f t="shared" si="57"/>
        <v>0</v>
      </c>
      <c r="M303" t="str">
        <f t="shared" si="58"/>
        <v>00.000</v>
      </c>
      <c r="N303" s="1" t="str">
        <f t="shared" si="59"/>
        <v>00000.000</v>
      </c>
      <c r="O303" t="str">
        <f>IF('Import OpenCPN'!W304&gt;0,"N","S")</f>
        <v>S</v>
      </c>
      <c r="P303" t="str">
        <f>IF('Import OpenCPN'!X304&gt;0,"E","W")</f>
        <v>W</v>
      </c>
    </row>
    <row r="304" spans="1:16" x14ac:dyDescent="0.2">
      <c r="A304">
        <f>'Import OpenCPN'!W305</f>
        <v>0</v>
      </c>
      <c r="B304">
        <f>'Import OpenCPN'!X305</f>
        <v>0</v>
      </c>
      <c r="C304">
        <f t="shared" si="48"/>
        <v>0</v>
      </c>
      <c r="D304" t="str">
        <f t="shared" si="49"/>
        <v>00</v>
      </c>
      <c r="E304">
        <f t="shared" si="50"/>
        <v>0</v>
      </c>
      <c r="F304">
        <f t="shared" si="51"/>
        <v>0</v>
      </c>
      <c r="G304" s="23" t="str">
        <f t="shared" si="52"/>
        <v>00.000</v>
      </c>
      <c r="H304" s="1" t="str">
        <f t="shared" si="53"/>
        <v>0000.000</v>
      </c>
      <c r="I304">
        <f t="shared" si="54"/>
        <v>0</v>
      </c>
      <c r="J304" t="str">
        <f t="shared" si="55"/>
        <v>000</v>
      </c>
      <c r="K304">
        <f t="shared" si="56"/>
        <v>0</v>
      </c>
      <c r="L304">
        <f t="shared" si="57"/>
        <v>0</v>
      </c>
      <c r="M304" t="str">
        <f t="shared" si="58"/>
        <v>00.000</v>
      </c>
      <c r="N304" s="1" t="str">
        <f t="shared" si="59"/>
        <v>00000.000</v>
      </c>
      <c r="O304" t="str">
        <f>IF('Import OpenCPN'!W305&gt;0,"N","S")</f>
        <v>S</v>
      </c>
      <c r="P304" t="str">
        <f>IF('Import OpenCPN'!X305&gt;0,"E","W")</f>
        <v>W</v>
      </c>
    </row>
    <row r="305" spans="1:16" x14ac:dyDescent="0.2">
      <c r="A305">
        <f>'Import OpenCPN'!W306</f>
        <v>0</v>
      </c>
      <c r="B305">
        <f>'Import OpenCPN'!X306</f>
        <v>0</v>
      </c>
      <c r="C305">
        <f t="shared" si="48"/>
        <v>0</v>
      </c>
      <c r="D305" t="str">
        <f t="shared" si="49"/>
        <v>00</v>
      </c>
      <c r="E305">
        <f t="shared" si="50"/>
        <v>0</v>
      </c>
      <c r="F305">
        <f t="shared" si="51"/>
        <v>0</v>
      </c>
      <c r="G305" s="23" t="str">
        <f t="shared" si="52"/>
        <v>00.000</v>
      </c>
      <c r="H305" s="1" t="str">
        <f t="shared" si="53"/>
        <v>0000.000</v>
      </c>
      <c r="I305">
        <f t="shared" si="54"/>
        <v>0</v>
      </c>
      <c r="J305" t="str">
        <f t="shared" si="55"/>
        <v>000</v>
      </c>
      <c r="K305">
        <f t="shared" si="56"/>
        <v>0</v>
      </c>
      <c r="L305">
        <f t="shared" si="57"/>
        <v>0</v>
      </c>
      <c r="M305" t="str">
        <f t="shared" si="58"/>
        <v>00.000</v>
      </c>
      <c r="N305" s="1" t="str">
        <f t="shared" si="59"/>
        <v>00000.000</v>
      </c>
      <c r="O305" t="str">
        <f>IF('Import OpenCPN'!W306&gt;0,"N","S")</f>
        <v>S</v>
      </c>
      <c r="P305" t="str">
        <f>IF('Import OpenCPN'!X306&gt;0,"E","W")</f>
        <v>W</v>
      </c>
    </row>
    <row r="306" spans="1:16" x14ac:dyDescent="0.2">
      <c r="A306">
        <f>'Import OpenCPN'!W307</f>
        <v>0</v>
      </c>
      <c r="B306">
        <f>'Import OpenCPN'!X307</f>
        <v>0</v>
      </c>
      <c r="C306">
        <f t="shared" si="48"/>
        <v>0</v>
      </c>
      <c r="D306" t="str">
        <f t="shared" si="49"/>
        <v>00</v>
      </c>
      <c r="E306">
        <f t="shared" si="50"/>
        <v>0</v>
      </c>
      <c r="F306">
        <f t="shared" si="51"/>
        <v>0</v>
      </c>
      <c r="G306" s="23" t="str">
        <f t="shared" si="52"/>
        <v>00.000</v>
      </c>
      <c r="H306" s="1" t="str">
        <f t="shared" si="53"/>
        <v>0000.000</v>
      </c>
      <c r="I306">
        <f t="shared" si="54"/>
        <v>0</v>
      </c>
      <c r="J306" t="str">
        <f t="shared" si="55"/>
        <v>000</v>
      </c>
      <c r="K306">
        <f t="shared" si="56"/>
        <v>0</v>
      </c>
      <c r="L306">
        <f t="shared" si="57"/>
        <v>0</v>
      </c>
      <c r="M306" t="str">
        <f t="shared" si="58"/>
        <v>00.000</v>
      </c>
      <c r="N306" s="1" t="str">
        <f t="shared" si="59"/>
        <v>00000.000</v>
      </c>
      <c r="O306" t="str">
        <f>IF('Import OpenCPN'!W307&gt;0,"N","S")</f>
        <v>S</v>
      </c>
      <c r="P306" t="str">
        <f>IF('Import OpenCPN'!X307&gt;0,"E","W")</f>
        <v>W</v>
      </c>
    </row>
    <row r="307" spans="1:16" x14ac:dyDescent="0.2">
      <c r="A307">
        <f>'Import OpenCPN'!W308</f>
        <v>0</v>
      </c>
      <c r="B307">
        <f>'Import OpenCPN'!X308</f>
        <v>0</v>
      </c>
      <c r="C307">
        <f t="shared" si="48"/>
        <v>0</v>
      </c>
      <c r="D307" t="str">
        <f t="shared" si="49"/>
        <v>00</v>
      </c>
      <c r="E307">
        <f t="shared" si="50"/>
        <v>0</v>
      </c>
      <c r="F307">
        <f t="shared" si="51"/>
        <v>0</v>
      </c>
      <c r="G307" s="23" t="str">
        <f t="shared" si="52"/>
        <v>00.000</v>
      </c>
      <c r="H307" s="1" t="str">
        <f t="shared" si="53"/>
        <v>0000.000</v>
      </c>
      <c r="I307">
        <f t="shared" si="54"/>
        <v>0</v>
      </c>
      <c r="J307" t="str">
        <f t="shared" si="55"/>
        <v>000</v>
      </c>
      <c r="K307">
        <f t="shared" si="56"/>
        <v>0</v>
      </c>
      <c r="L307">
        <f t="shared" si="57"/>
        <v>0</v>
      </c>
      <c r="M307" t="str">
        <f t="shared" si="58"/>
        <v>00.000</v>
      </c>
      <c r="N307" s="1" t="str">
        <f t="shared" si="59"/>
        <v>00000.000</v>
      </c>
      <c r="O307" t="str">
        <f>IF('Import OpenCPN'!W308&gt;0,"N","S")</f>
        <v>S</v>
      </c>
      <c r="P307" t="str">
        <f>IF('Import OpenCPN'!X308&gt;0,"E","W")</f>
        <v>W</v>
      </c>
    </row>
    <row r="308" spans="1:16" x14ac:dyDescent="0.2">
      <c r="A308">
        <f>'Import OpenCPN'!W309</f>
        <v>0</v>
      </c>
      <c r="B308">
        <f>'Import OpenCPN'!X309</f>
        <v>0</v>
      </c>
      <c r="C308">
        <f t="shared" si="48"/>
        <v>0</v>
      </c>
      <c r="D308" t="str">
        <f t="shared" si="49"/>
        <v>00</v>
      </c>
      <c r="E308">
        <f t="shared" si="50"/>
        <v>0</v>
      </c>
      <c r="F308">
        <f t="shared" si="51"/>
        <v>0</v>
      </c>
      <c r="G308" s="23" t="str">
        <f t="shared" si="52"/>
        <v>00.000</v>
      </c>
      <c r="H308" s="1" t="str">
        <f t="shared" si="53"/>
        <v>0000.000</v>
      </c>
      <c r="I308">
        <f t="shared" si="54"/>
        <v>0</v>
      </c>
      <c r="J308" t="str">
        <f t="shared" si="55"/>
        <v>000</v>
      </c>
      <c r="K308">
        <f t="shared" si="56"/>
        <v>0</v>
      </c>
      <c r="L308">
        <f t="shared" si="57"/>
        <v>0</v>
      </c>
      <c r="M308" t="str">
        <f t="shared" si="58"/>
        <v>00.000</v>
      </c>
      <c r="N308" s="1" t="str">
        <f t="shared" si="59"/>
        <v>00000.000</v>
      </c>
      <c r="O308" t="str">
        <f>IF('Import OpenCPN'!W309&gt;0,"N","S")</f>
        <v>S</v>
      </c>
      <c r="P308" t="str">
        <f>IF('Import OpenCPN'!X309&gt;0,"E","W")</f>
        <v>W</v>
      </c>
    </row>
    <row r="309" spans="1:16" x14ac:dyDescent="0.2">
      <c r="A309">
        <f>'Import OpenCPN'!W310</f>
        <v>0</v>
      </c>
      <c r="B309">
        <f>'Import OpenCPN'!X310</f>
        <v>0</v>
      </c>
      <c r="C309">
        <f t="shared" si="48"/>
        <v>0</v>
      </c>
      <c r="D309" t="str">
        <f t="shared" si="49"/>
        <v>00</v>
      </c>
      <c r="E309">
        <f t="shared" si="50"/>
        <v>0</v>
      </c>
      <c r="F309">
        <f t="shared" si="51"/>
        <v>0</v>
      </c>
      <c r="G309" s="23" t="str">
        <f t="shared" si="52"/>
        <v>00.000</v>
      </c>
      <c r="H309" s="1" t="str">
        <f t="shared" si="53"/>
        <v>0000.000</v>
      </c>
      <c r="I309">
        <f t="shared" si="54"/>
        <v>0</v>
      </c>
      <c r="J309" t="str">
        <f t="shared" si="55"/>
        <v>000</v>
      </c>
      <c r="K309">
        <f t="shared" si="56"/>
        <v>0</v>
      </c>
      <c r="L309">
        <f t="shared" si="57"/>
        <v>0</v>
      </c>
      <c r="M309" t="str">
        <f t="shared" si="58"/>
        <v>00.000</v>
      </c>
      <c r="N309" s="1" t="str">
        <f t="shared" si="59"/>
        <v>00000.000</v>
      </c>
      <c r="O309" t="str">
        <f>IF('Import OpenCPN'!W310&gt;0,"N","S")</f>
        <v>S</v>
      </c>
      <c r="P309" t="str">
        <f>IF('Import OpenCPN'!X310&gt;0,"E","W")</f>
        <v>W</v>
      </c>
    </row>
    <row r="310" spans="1:16" x14ac:dyDescent="0.2">
      <c r="A310">
        <f>'Import OpenCPN'!W311</f>
        <v>0</v>
      </c>
      <c r="B310">
        <f>'Import OpenCPN'!X311</f>
        <v>0</v>
      </c>
      <c r="C310">
        <f t="shared" si="48"/>
        <v>0</v>
      </c>
      <c r="D310" t="str">
        <f t="shared" si="49"/>
        <v>00</v>
      </c>
      <c r="E310">
        <f t="shared" si="50"/>
        <v>0</v>
      </c>
      <c r="F310">
        <f t="shared" si="51"/>
        <v>0</v>
      </c>
      <c r="G310" s="23" t="str">
        <f t="shared" si="52"/>
        <v>00.000</v>
      </c>
      <c r="H310" s="1" t="str">
        <f t="shared" si="53"/>
        <v>0000.000</v>
      </c>
      <c r="I310">
        <f t="shared" si="54"/>
        <v>0</v>
      </c>
      <c r="J310" t="str">
        <f t="shared" si="55"/>
        <v>000</v>
      </c>
      <c r="K310">
        <f t="shared" si="56"/>
        <v>0</v>
      </c>
      <c r="L310">
        <f t="shared" si="57"/>
        <v>0</v>
      </c>
      <c r="M310" t="str">
        <f t="shared" si="58"/>
        <v>00.000</v>
      </c>
      <c r="N310" s="1" t="str">
        <f t="shared" si="59"/>
        <v>00000.000</v>
      </c>
      <c r="O310" t="str">
        <f>IF('Import OpenCPN'!W311&gt;0,"N","S")</f>
        <v>S</v>
      </c>
      <c r="P310" t="str">
        <f>IF('Import OpenCPN'!X311&gt;0,"E","W")</f>
        <v>W</v>
      </c>
    </row>
    <row r="311" spans="1:16" x14ac:dyDescent="0.2">
      <c r="A311">
        <f>'Import OpenCPN'!W312</f>
        <v>0</v>
      </c>
      <c r="B311">
        <f>'Import OpenCPN'!X312</f>
        <v>0</v>
      </c>
      <c r="C311">
        <f t="shared" si="48"/>
        <v>0</v>
      </c>
      <c r="D311" t="str">
        <f t="shared" si="49"/>
        <v>00</v>
      </c>
      <c r="E311">
        <f t="shared" si="50"/>
        <v>0</v>
      </c>
      <c r="F311">
        <f t="shared" si="51"/>
        <v>0</v>
      </c>
      <c r="G311" s="23" t="str">
        <f t="shared" si="52"/>
        <v>00.000</v>
      </c>
      <c r="H311" s="1" t="str">
        <f t="shared" si="53"/>
        <v>0000.000</v>
      </c>
      <c r="I311">
        <f t="shared" si="54"/>
        <v>0</v>
      </c>
      <c r="J311" t="str">
        <f t="shared" si="55"/>
        <v>000</v>
      </c>
      <c r="K311">
        <f t="shared" si="56"/>
        <v>0</v>
      </c>
      <c r="L311">
        <f t="shared" si="57"/>
        <v>0</v>
      </c>
      <c r="M311" t="str">
        <f t="shared" si="58"/>
        <v>00.000</v>
      </c>
      <c r="N311" s="1" t="str">
        <f t="shared" si="59"/>
        <v>00000.000</v>
      </c>
      <c r="O311" t="str">
        <f>IF('Import OpenCPN'!W312&gt;0,"N","S")</f>
        <v>S</v>
      </c>
      <c r="P311" t="str">
        <f>IF('Import OpenCPN'!X312&gt;0,"E","W")</f>
        <v>W</v>
      </c>
    </row>
    <row r="312" spans="1:16" x14ac:dyDescent="0.2">
      <c r="A312">
        <f>'Import OpenCPN'!W313</f>
        <v>0</v>
      </c>
      <c r="B312">
        <f>'Import OpenCPN'!X313</f>
        <v>0</v>
      </c>
      <c r="C312">
        <f t="shared" si="48"/>
        <v>0</v>
      </c>
      <c r="D312" t="str">
        <f t="shared" si="49"/>
        <v>00</v>
      </c>
      <c r="E312">
        <f t="shared" si="50"/>
        <v>0</v>
      </c>
      <c r="F312">
        <f t="shared" si="51"/>
        <v>0</v>
      </c>
      <c r="G312" s="23" t="str">
        <f t="shared" si="52"/>
        <v>00.000</v>
      </c>
      <c r="H312" s="1" t="str">
        <f t="shared" si="53"/>
        <v>0000.000</v>
      </c>
      <c r="I312">
        <f t="shared" si="54"/>
        <v>0</v>
      </c>
      <c r="J312" t="str">
        <f t="shared" si="55"/>
        <v>000</v>
      </c>
      <c r="K312">
        <f t="shared" si="56"/>
        <v>0</v>
      </c>
      <c r="L312">
        <f t="shared" si="57"/>
        <v>0</v>
      </c>
      <c r="M312" t="str">
        <f t="shared" si="58"/>
        <v>00.000</v>
      </c>
      <c r="N312" s="1" t="str">
        <f t="shared" si="59"/>
        <v>00000.000</v>
      </c>
      <c r="O312" t="str">
        <f>IF('Import OpenCPN'!W313&gt;0,"N","S")</f>
        <v>S</v>
      </c>
      <c r="P312" t="str">
        <f>IF('Import OpenCPN'!X313&gt;0,"E","W")</f>
        <v>W</v>
      </c>
    </row>
    <row r="313" spans="1:16" x14ac:dyDescent="0.2">
      <c r="A313">
        <f>'Import OpenCPN'!W314</f>
        <v>0</v>
      </c>
      <c r="B313">
        <f>'Import OpenCPN'!X314</f>
        <v>0</v>
      </c>
      <c r="C313">
        <f t="shared" si="48"/>
        <v>0</v>
      </c>
      <c r="D313" t="str">
        <f t="shared" si="49"/>
        <v>00</v>
      </c>
      <c r="E313">
        <f t="shared" si="50"/>
        <v>0</v>
      </c>
      <c r="F313">
        <f t="shared" si="51"/>
        <v>0</v>
      </c>
      <c r="G313" s="23" t="str">
        <f t="shared" si="52"/>
        <v>00.000</v>
      </c>
      <c r="H313" s="1" t="str">
        <f t="shared" si="53"/>
        <v>0000.000</v>
      </c>
      <c r="I313">
        <f t="shared" si="54"/>
        <v>0</v>
      </c>
      <c r="J313" t="str">
        <f t="shared" si="55"/>
        <v>000</v>
      </c>
      <c r="K313">
        <f t="shared" si="56"/>
        <v>0</v>
      </c>
      <c r="L313">
        <f t="shared" si="57"/>
        <v>0</v>
      </c>
      <c r="M313" t="str">
        <f t="shared" si="58"/>
        <v>00.000</v>
      </c>
      <c r="N313" s="1" t="str">
        <f t="shared" si="59"/>
        <v>00000.000</v>
      </c>
      <c r="O313" t="str">
        <f>IF('Import OpenCPN'!W314&gt;0,"N","S")</f>
        <v>S</v>
      </c>
      <c r="P313" t="str">
        <f>IF('Import OpenCPN'!X314&gt;0,"E","W")</f>
        <v>W</v>
      </c>
    </row>
    <row r="314" spans="1:16" x14ac:dyDescent="0.2">
      <c r="A314">
        <f>'Import OpenCPN'!W315</f>
        <v>0</v>
      </c>
      <c r="B314">
        <f>'Import OpenCPN'!X315</f>
        <v>0</v>
      </c>
      <c r="C314">
        <f t="shared" si="48"/>
        <v>0</v>
      </c>
      <c r="D314" t="str">
        <f t="shared" si="49"/>
        <v>00</v>
      </c>
      <c r="E314">
        <f t="shared" si="50"/>
        <v>0</v>
      </c>
      <c r="F314">
        <f t="shared" si="51"/>
        <v>0</v>
      </c>
      <c r="G314" s="23" t="str">
        <f t="shared" si="52"/>
        <v>00.000</v>
      </c>
      <c r="H314" s="1" t="str">
        <f t="shared" si="53"/>
        <v>0000.000</v>
      </c>
      <c r="I314">
        <f t="shared" si="54"/>
        <v>0</v>
      </c>
      <c r="J314" t="str">
        <f t="shared" si="55"/>
        <v>000</v>
      </c>
      <c r="K314">
        <f t="shared" si="56"/>
        <v>0</v>
      </c>
      <c r="L314">
        <f t="shared" si="57"/>
        <v>0</v>
      </c>
      <c r="M314" t="str">
        <f t="shared" si="58"/>
        <v>00.000</v>
      </c>
      <c r="N314" s="1" t="str">
        <f t="shared" si="59"/>
        <v>00000.000</v>
      </c>
      <c r="O314" t="str">
        <f>IF('Import OpenCPN'!W315&gt;0,"N","S")</f>
        <v>S</v>
      </c>
      <c r="P314" t="str">
        <f>IF('Import OpenCPN'!X315&gt;0,"E","W")</f>
        <v>W</v>
      </c>
    </row>
    <row r="315" spans="1:16" x14ac:dyDescent="0.2">
      <c r="A315">
        <f>'Import OpenCPN'!W316</f>
        <v>0</v>
      </c>
      <c r="B315">
        <f>'Import OpenCPN'!X316</f>
        <v>0</v>
      </c>
      <c r="C315">
        <f t="shared" si="48"/>
        <v>0</v>
      </c>
      <c r="D315" t="str">
        <f t="shared" si="49"/>
        <v>00</v>
      </c>
      <c r="E315">
        <f t="shared" si="50"/>
        <v>0</v>
      </c>
      <c r="F315">
        <f t="shared" si="51"/>
        <v>0</v>
      </c>
      <c r="G315" s="23" t="str">
        <f t="shared" si="52"/>
        <v>00.000</v>
      </c>
      <c r="H315" s="1" t="str">
        <f t="shared" si="53"/>
        <v>0000.000</v>
      </c>
      <c r="I315">
        <f t="shared" si="54"/>
        <v>0</v>
      </c>
      <c r="J315" t="str">
        <f t="shared" si="55"/>
        <v>000</v>
      </c>
      <c r="K315">
        <f t="shared" si="56"/>
        <v>0</v>
      </c>
      <c r="L315">
        <f t="shared" si="57"/>
        <v>0</v>
      </c>
      <c r="M315" t="str">
        <f t="shared" si="58"/>
        <v>00.000</v>
      </c>
      <c r="N315" s="1" t="str">
        <f t="shared" si="59"/>
        <v>00000.000</v>
      </c>
      <c r="O315" t="str">
        <f>IF('Import OpenCPN'!W316&gt;0,"N","S")</f>
        <v>S</v>
      </c>
      <c r="P315" t="str">
        <f>IF('Import OpenCPN'!X316&gt;0,"E","W")</f>
        <v>W</v>
      </c>
    </row>
    <row r="316" spans="1:16" x14ac:dyDescent="0.2">
      <c r="A316">
        <f>'Import OpenCPN'!W317</f>
        <v>0</v>
      </c>
      <c r="B316">
        <f>'Import OpenCPN'!X317</f>
        <v>0</v>
      </c>
      <c r="C316">
        <f t="shared" si="48"/>
        <v>0</v>
      </c>
      <c r="D316" t="str">
        <f t="shared" si="49"/>
        <v>00</v>
      </c>
      <c r="E316">
        <f t="shared" si="50"/>
        <v>0</v>
      </c>
      <c r="F316">
        <f t="shared" si="51"/>
        <v>0</v>
      </c>
      <c r="G316" s="23" t="str">
        <f t="shared" si="52"/>
        <v>00.000</v>
      </c>
      <c r="H316" s="1" t="str">
        <f t="shared" si="53"/>
        <v>0000.000</v>
      </c>
      <c r="I316">
        <f t="shared" si="54"/>
        <v>0</v>
      </c>
      <c r="J316" t="str">
        <f t="shared" si="55"/>
        <v>000</v>
      </c>
      <c r="K316">
        <f t="shared" si="56"/>
        <v>0</v>
      </c>
      <c r="L316">
        <f t="shared" si="57"/>
        <v>0</v>
      </c>
      <c r="M316" t="str">
        <f t="shared" si="58"/>
        <v>00.000</v>
      </c>
      <c r="N316" s="1" t="str">
        <f t="shared" si="59"/>
        <v>00000.000</v>
      </c>
      <c r="O316" t="str">
        <f>IF('Import OpenCPN'!W317&gt;0,"N","S")</f>
        <v>S</v>
      </c>
      <c r="P316" t="str">
        <f>IF('Import OpenCPN'!X317&gt;0,"E","W")</f>
        <v>W</v>
      </c>
    </row>
    <row r="317" spans="1:16" x14ac:dyDescent="0.2">
      <c r="A317">
        <f>'Import OpenCPN'!W318</f>
        <v>0</v>
      </c>
      <c r="B317">
        <f>'Import OpenCPN'!X318</f>
        <v>0</v>
      </c>
      <c r="C317">
        <f t="shared" si="48"/>
        <v>0</v>
      </c>
      <c r="D317" t="str">
        <f t="shared" si="49"/>
        <v>00</v>
      </c>
      <c r="E317">
        <f t="shared" si="50"/>
        <v>0</v>
      </c>
      <c r="F317">
        <f t="shared" si="51"/>
        <v>0</v>
      </c>
      <c r="G317" s="23" t="str">
        <f t="shared" si="52"/>
        <v>00.000</v>
      </c>
      <c r="H317" s="1" t="str">
        <f t="shared" si="53"/>
        <v>0000.000</v>
      </c>
      <c r="I317">
        <f t="shared" si="54"/>
        <v>0</v>
      </c>
      <c r="J317" t="str">
        <f t="shared" si="55"/>
        <v>000</v>
      </c>
      <c r="K317">
        <f t="shared" si="56"/>
        <v>0</v>
      </c>
      <c r="L317">
        <f t="shared" si="57"/>
        <v>0</v>
      </c>
      <c r="M317" t="str">
        <f t="shared" si="58"/>
        <v>00.000</v>
      </c>
      <c r="N317" s="1" t="str">
        <f t="shared" si="59"/>
        <v>00000.000</v>
      </c>
      <c r="O317" t="str">
        <f>IF('Import OpenCPN'!W318&gt;0,"N","S")</f>
        <v>S</v>
      </c>
      <c r="P317" t="str">
        <f>IF('Import OpenCPN'!X318&gt;0,"E","W")</f>
        <v>W</v>
      </c>
    </row>
    <row r="318" spans="1:16" x14ac:dyDescent="0.2">
      <c r="A318">
        <f>'Import OpenCPN'!W319</f>
        <v>0</v>
      </c>
      <c r="B318">
        <f>'Import OpenCPN'!X319</f>
        <v>0</v>
      </c>
      <c r="C318">
        <f t="shared" si="48"/>
        <v>0</v>
      </c>
      <c r="D318" t="str">
        <f t="shared" si="49"/>
        <v>00</v>
      </c>
      <c r="E318">
        <f t="shared" si="50"/>
        <v>0</v>
      </c>
      <c r="F318">
        <f t="shared" si="51"/>
        <v>0</v>
      </c>
      <c r="G318" s="23" t="str">
        <f t="shared" si="52"/>
        <v>00.000</v>
      </c>
      <c r="H318" s="1" t="str">
        <f t="shared" si="53"/>
        <v>0000.000</v>
      </c>
      <c r="I318">
        <f t="shared" si="54"/>
        <v>0</v>
      </c>
      <c r="J318" t="str">
        <f t="shared" si="55"/>
        <v>000</v>
      </c>
      <c r="K318">
        <f t="shared" si="56"/>
        <v>0</v>
      </c>
      <c r="L318">
        <f t="shared" si="57"/>
        <v>0</v>
      </c>
      <c r="M318" t="str">
        <f t="shared" si="58"/>
        <v>00.000</v>
      </c>
      <c r="N318" s="1" t="str">
        <f t="shared" si="59"/>
        <v>00000.000</v>
      </c>
      <c r="O318" t="str">
        <f>IF('Import OpenCPN'!W319&gt;0,"N","S")</f>
        <v>S</v>
      </c>
      <c r="P318" t="str">
        <f>IF('Import OpenCPN'!X319&gt;0,"E","W")</f>
        <v>W</v>
      </c>
    </row>
    <row r="319" spans="1:16" x14ac:dyDescent="0.2">
      <c r="A319">
        <f>'Import OpenCPN'!W320</f>
        <v>0</v>
      </c>
      <c r="B319">
        <f>'Import OpenCPN'!X320</f>
        <v>0</v>
      </c>
      <c r="C319">
        <f t="shared" si="48"/>
        <v>0</v>
      </c>
      <c r="D319" t="str">
        <f t="shared" si="49"/>
        <v>00</v>
      </c>
      <c r="E319">
        <f t="shared" si="50"/>
        <v>0</v>
      </c>
      <c r="F319">
        <f t="shared" si="51"/>
        <v>0</v>
      </c>
      <c r="G319" s="23" t="str">
        <f t="shared" si="52"/>
        <v>00.000</v>
      </c>
      <c r="H319" s="1" t="str">
        <f t="shared" si="53"/>
        <v>0000.000</v>
      </c>
      <c r="I319">
        <f t="shared" si="54"/>
        <v>0</v>
      </c>
      <c r="J319" t="str">
        <f t="shared" si="55"/>
        <v>000</v>
      </c>
      <c r="K319">
        <f t="shared" si="56"/>
        <v>0</v>
      </c>
      <c r="L319">
        <f t="shared" si="57"/>
        <v>0</v>
      </c>
      <c r="M319" t="str">
        <f t="shared" si="58"/>
        <v>00.000</v>
      </c>
      <c r="N319" s="1" t="str">
        <f t="shared" si="59"/>
        <v>00000.000</v>
      </c>
      <c r="O319" t="str">
        <f>IF('Import OpenCPN'!W320&gt;0,"N","S")</f>
        <v>S</v>
      </c>
      <c r="P319" t="str">
        <f>IF('Import OpenCPN'!X320&gt;0,"E","W")</f>
        <v>W</v>
      </c>
    </row>
    <row r="320" spans="1:16" x14ac:dyDescent="0.2">
      <c r="A320">
        <f>'Import OpenCPN'!W321</f>
        <v>0</v>
      </c>
      <c r="B320">
        <f>'Import OpenCPN'!X321</f>
        <v>0</v>
      </c>
      <c r="C320">
        <f t="shared" si="48"/>
        <v>0</v>
      </c>
      <c r="D320" t="str">
        <f t="shared" si="49"/>
        <v>00</v>
      </c>
      <c r="E320">
        <f t="shared" si="50"/>
        <v>0</v>
      </c>
      <c r="F320">
        <f t="shared" si="51"/>
        <v>0</v>
      </c>
      <c r="G320" s="23" t="str">
        <f t="shared" si="52"/>
        <v>00.000</v>
      </c>
      <c r="H320" s="1" t="str">
        <f t="shared" si="53"/>
        <v>0000.000</v>
      </c>
      <c r="I320">
        <f t="shared" si="54"/>
        <v>0</v>
      </c>
      <c r="J320" t="str">
        <f t="shared" si="55"/>
        <v>000</v>
      </c>
      <c r="K320">
        <f t="shared" si="56"/>
        <v>0</v>
      </c>
      <c r="L320">
        <f t="shared" si="57"/>
        <v>0</v>
      </c>
      <c r="M320" t="str">
        <f t="shared" si="58"/>
        <v>00.000</v>
      </c>
      <c r="N320" s="1" t="str">
        <f t="shared" si="59"/>
        <v>00000.000</v>
      </c>
      <c r="O320" t="str">
        <f>IF('Import OpenCPN'!W321&gt;0,"N","S")</f>
        <v>S</v>
      </c>
      <c r="P320" t="str">
        <f>IF('Import OpenCPN'!X321&gt;0,"E","W")</f>
        <v>W</v>
      </c>
    </row>
    <row r="321" spans="1:16" x14ac:dyDescent="0.2">
      <c r="A321">
        <f>'Import OpenCPN'!W322</f>
        <v>0</v>
      </c>
      <c r="B321">
        <f>'Import OpenCPN'!X322</f>
        <v>0</v>
      </c>
      <c r="C321">
        <f t="shared" si="48"/>
        <v>0</v>
      </c>
      <c r="D321" t="str">
        <f t="shared" si="49"/>
        <v>00</v>
      </c>
      <c r="E321">
        <f t="shared" si="50"/>
        <v>0</v>
      </c>
      <c r="F321">
        <f t="shared" si="51"/>
        <v>0</v>
      </c>
      <c r="G321" s="23" t="str">
        <f t="shared" si="52"/>
        <v>00.000</v>
      </c>
      <c r="H321" s="1" t="str">
        <f t="shared" si="53"/>
        <v>0000.000</v>
      </c>
      <c r="I321">
        <f t="shared" si="54"/>
        <v>0</v>
      </c>
      <c r="J321" t="str">
        <f t="shared" si="55"/>
        <v>000</v>
      </c>
      <c r="K321">
        <f t="shared" si="56"/>
        <v>0</v>
      </c>
      <c r="L321">
        <f t="shared" si="57"/>
        <v>0</v>
      </c>
      <c r="M321" t="str">
        <f t="shared" si="58"/>
        <v>00.000</v>
      </c>
      <c r="N321" s="1" t="str">
        <f t="shared" si="59"/>
        <v>00000.000</v>
      </c>
      <c r="O321" t="str">
        <f>IF('Import OpenCPN'!W322&gt;0,"N","S")</f>
        <v>S</v>
      </c>
      <c r="P321" t="str">
        <f>IF('Import OpenCPN'!X322&gt;0,"E","W")</f>
        <v>W</v>
      </c>
    </row>
    <row r="322" spans="1:16" x14ac:dyDescent="0.2">
      <c r="A322">
        <f>'Import OpenCPN'!W323</f>
        <v>0</v>
      </c>
      <c r="B322">
        <f>'Import OpenCPN'!X323</f>
        <v>0</v>
      </c>
      <c r="C322">
        <f t="shared" ref="C322:C385" si="60">ABS(TRUNC(A322,0))</f>
        <v>0</v>
      </c>
      <c r="D322" t="str">
        <f t="shared" ref="D322:D385" si="61">TEXT(C322,"00")</f>
        <v>00</v>
      </c>
      <c r="E322">
        <f t="shared" ref="E322:E385" si="62">ABS(A322)-C322</f>
        <v>0</v>
      </c>
      <c r="F322">
        <f t="shared" ref="F322:F385" si="63">E322*60</f>
        <v>0</v>
      </c>
      <c r="G322" s="23" t="str">
        <f t="shared" ref="G322:G385" si="64">TEXT(F322,"00.000")</f>
        <v>00.000</v>
      </c>
      <c r="H322" s="1" t="str">
        <f t="shared" ref="H322:H385" si="65">D322&amp;G322</f>
        <v>0000.000</v>
      </c>
      <c r="I322">
        <f t="shared" ref="I322:I385" si="66">ABS(TRUNC(B322,0))</f>
        <v>0</v>
      </c>
      <c r="J322" t="str">
        <f t="shared" ref="J322:J385" si="67">TEXT(I322,"000")</f>
        <v>000</v>
      </c>
      <c r="K322">
        <f t="shared" ref="K322:K385" si="68">ABS(B322)-I322</f>
        <v>0</v>
      </c>
      <c r="L322">
        <f t="shared" ref="L322:L385" si="69">K322*60</f>
        <v>0</v>
      </c>
      <c r="M322" t="str">
        <f t="shared" ref="M322:M385" si="70">TEXT(L322,"00.000")</f>
        <v>00.000</v>
      </c>
      <c r="N322" s="1" t="str">
        <f t="shared" ref="N322:N385" si="71">J322&amp;M322</f>
        <v>00000.000</v>
      </c>
      <c r="O322" t="str">
        <f>IF('Import OpenCPN'!W323&gt;0,"N","S")</f>
        <v>S</v>
      </c>
      <c r="P322" t="str">
        <f>IF('Import OpenCPN'!X323&gt;0,"E","W")</f>
        <v>W</v>
      </c>
    </row>
    <row r="323" spans="1:16" x14ac:dyDescent="0.2">
      <c r="A323">
        <f>'Import OpenCPN'!W324</f>
        <v>0</v>
      </c>
      <c r="B323">
        <f>'Import OpenCPN'!X324</f>
        <v>0</v>
      </c>
      <c r="C323">
        <f t="shared" si="60"/>
        <v>0</v>
      </c>
      <c r="D323" t="str">
        <f t="shared" si="61"/>
        <v>00</v>
      </c>
      <c r="E323">
        <f t="shared" si="62"/>
        <v>0</v>
      </c>
      <c r="F323">
        <f t="shared" si="63"/>
        <v>0</v>
      </c>
      <c r="G323" s="23" t="str">
        <f t="shared" si="64"/>
        <v>00.000</v>
      </c>
      <c r="H323" s="1" t="str">
        <f t="shared" si="65"/>
        <v>0000.000</v>
      </c>
      <c r="I323">
        <f t="shared" si="66"/>
        <v>0</v>
      </c>
      <c r="J323" t="str">
        <f t="shared" si="67"/>
        <v>000</v>
      </c>
      <c r="K323">
        <f t="shared" si="68"/>
        <v>0</v>
      </c>
      <c r="L323">
        <f t="shared" si="69"/>
        <v>0</v>
      </c>
      <c r="M323" t="str">
        <f t="shared" si="70"/>
        <v>00.000</v>
      </c>
      <c r="N323" s="1" t="str">
        <f t="shared" si="71"/>
        <v>00000.000</v>
      </c>
      <c r="O323" t="str">
        <f>IF('Import OpenCPN'!W324&gt;0,"N","S")</f>
        <v>S</v>
      </c>
      <c r="P323" t="str">
        <f>IF('Import OpenCPN'!X324&gt;0,"E","W")</f>
        <v>W</v>
      </c>
    </row>
    <row r="324" spans="1:16" x14ac:dyDescent="0.2">
      <c r="A324">
        <f>'Import OpenCPN'!W325</f>
        <v>0</v>
      </c>
      <c r="B324">
        <f>'Import OpenCPN'!X325</f>
        <v>0</v>
      </c>
      <c r="C324">
        <f t="shared" si="60"/>
        <v>0</v>
      </c>
      <c r="D324" t="str">
        <f t="shared" si="61"/>
        <v>00</v>
      </c>
      <c r="E324">
        <f t="shared" si="62"/>
        <v>0</v>
      </c>
      <c r="F324">
        <f t="shared" si="63"/>
        <v>0</v>
      </c>
      <c r="G324" s="23" t="str">
        <f t="shared" si="64"/>
        <v>00.000</v>
      </c>
      <c r="H324" s="1" t="str">
        <f t="shared" si="65"/>
        <v>0000.000</v>
      </c>
      <c r="I324">
        <f t="shared" si="66"/>
        <v>0</v>
      </c>
      <c r="J324" t="str">
        <f t="shared" si="67"/>
        <v>000</v>
      </c>
      <c r="K324">
        <f t="shared" si="68"/>
        <v>0</v>
      </c>
      <c r="L324">
        <f t="shared" si="69"/>
        <v>0</v>
      </c>
      <c r="M324" t="str">
        <f t="shared" si="70"/>
        <v>00.000</v>
      </c>
      <c r="N324" s="1" t="str">
        <f t="shared" si="71"/>
        <v>00000.000</v>
      </c>
      <c r="O324" t="str">
        <f>IF('Import OpenCPN'!W325&gt;0,"N","S")</f>
        <v>S</v>
      </c>
      <c r="P324" t="str">
        <f>IF('Import OpenCPN'!X325&gt;0,"E","W")</f>
        <v>W</v>
      </c>
    </row>
    <row r="325" spans="1:16" x14ac:dyDescent="0.2">
      <c r="A325">
        <f>'Import OpenCPN'!W326</f>
        <v>0</v>
      </c>
      <c r="B325">
        <f>'Import OpenCPN'!X326</f>
        <v>0</v>
      </c>
      <c r="C325">
        <f t="shared" si="60"/>
        <v>0</v>
      </c>
      <c r="D325" t="str">
        <f t="shared" si="61"/>
        <v>00</v>
      </c>
      <c r="E325">
        <f t="shared" si="62"/>
        <v>0</v>
      </c>
      <c r="F325">
        <f t="shared" si="63"/>
        <v>0</v>
      </c>
      <c r="G325" s="23" t="str">
        <f t="shared" si="64"/>
        <v>00.000</v>
      </c>
      <c r="H325" s="1" t="str">
        <f t="shared" si="65"/>
        <v>0000.000</v>
      </c>
      <c r="I325">
        <f t="shared" si="66"/>
        <v>0</v>
      </c>
      <c r="J325" t="str">
        <f t="shared" si="67"/>
        <v>000</v>
      </c>
      <c r="K325">
        <f t="shared" si="68"/>
        <v>0</v>
      </c>
      <c r="L325">
        <f t="shared" si="69"/>
        <v>0</v>
      </c>
      <c r="M325" t="str">
        <f t="shared" si="70"/>
        <v>00.000</v>
      </c>
      <c r="N325" s="1" t="str">
        <f t="shared" si="71"/>
        <v>00000.000</v>
      </c>
      <c r="O325" t="str">
        <f>IF('Import OpenCPN'!W326&gt;0,"N","S")</f>
        <v>S</v>
      </c>
      <c r="P325" t="str">
        <f>IF('Import OpenCPN'!X326&gt;0,"E","W")</f>
        <v>W</v>
      </c>
    </row>
    <row r="326" spans="1:16" x14ac:dyDescent="0.2">
      <c r="A326">
        <f>'Import OpenCPN'!W327</f>
        <v>0</v>
      </c>
      <c r="B326">
        <f>'Import OpenCPN'!X327</f>
        <v>0</v>
      </c>
      <c r="C326">
        <f t="shared" si="60"/>
        <v>0</v>
      </c>
      <c r="D326" t="str">
        <f t="shared" si="61"/>
        <v>00</v>
      </c>
      <c r="E326">
        <f t="shared" si="62"/>
        <v>0</v>
      </c>
      <c r="F326">
        <f t="shared" si="63"/>
        <v>0</v>
      </c>
      <c r="G326" s="23" t="str">
        <f t="shared" si="64"/>
        <v>00.000</v>
      </c>
      <c r="H326" s="1" t="str">
        <f t="shared" si="65"/>
        <v>0000.000</v>
      </c>
      <c r="I326">
        <f t="shared" si="66"/>
        <v>0</v>
      </c>
      <c r="J326" t="str">
        <f t="shared" si="67"/>
        <v>000</v>
      </c>
      <c r="K326">
        <f t="shared" si="68"/>
        <v>0</v>
      </c>
      <c r="L326">
        <f t="shared" si="69"/>
        <v>0</v>
      </c>
      <c r="M326" t="str">
        <f t="shared" si="70"/>
        <v>00.000</v>
      </c>
      <c r="N326" s="1" t="str">
        <f t="shared" si="71"/>
        <v>00000.000</v>
      </c>
      <c r="O326" t="str">
        <f>IF('Import OpenCPN'!W327&gt;0,"N","S")</f>
        <v>S</v>
      </c>
      <c r="P326" t="str">
        <f>IF('Import OpenCPN'!X327&gt;0,"E","W")</f>
        <v>W</v>
      </c>
    </row>
    <row r="327" spans="1:16" x14ac:dyDescent="0.2">
      <c r="A327">
        <f>'Import OpenCPN'!W328</f>
        <v>0</v>
      </c>
      <c r="B327">
        <f>'Import OpenCPN'!X328</f>
        <v>0</v>
      </c>
      <c r="C327">
        <f t="shared" si="60"/>
        <v>0</v>
      </c>
      <c r="D327" t="str">
        <f t="shared" si="61"/>
        <v>00</v>
      </c>
      <c r="E327">
        <f t="shared" si="62"/>
        <v>0</v>
      </c>
      <c r="F327">
        <f t="shared" si="63"/>
        <v>0</v>
      </c>
      <c r="G327" s="23" t="str">
        <f t="shared" si="64"/>
        <v>00.000</v>
      </c>
      <c r="H327" s="1" t="str">
        <f t="shared" si="65"/>
        <v>0000.000</v>
      </c>
      <c r="I327">
        <f t="shared" si="66"/>
        <v>0</v>
      </c>
      <c r="J327" t="str">
        <f t="shared" si="67"/>
        <v>000</v>
      </c>
      <c r="K327">
        <f t="shared" si="68"/>
        <v>0</v>
      </c>
      <c r="L327">
        <f t="shared" si="69"/>
        <v>0</v>
      </c>
      <c r="M327" t="str">
        <f t="shared" si="70"/>
        <v>00.000</v>
      </c>
      <c r="N327" s="1" t="str">
        <f t="shared" si="71"/>
        <v>00000.000</v>
      </c>
      <c r="O327" t="str">
        <f>IF('Import OpenCPN'!W328&gt;0,"N","S")</f>
        <v>S</v>
      </c>
      <c r="P327" t="str">
        <f>IF('Import OpenCPN'!X328&gt;0,"E","W")</f>
        <v>W</v>
      </c>
    </row>
    <row r="328" spans="1:16" x14ac:dyDescent="0.2">
      <c r="A328">
        <f>'Import OpenCPN'!W329</f>
        <v>0</v>
      </c>
      <c r="B328">
        <f>'Import OpenCPN'!X329</f>
        <v>0</v>
      </c>
      <c r="C328">
        <f t="shared" si="60"/>
        <v>0</v>
      </c>
      <c r="D328" t="str">
        <f t="shared" si="61"/>
        <v>00</v>
      </c>
      <c r="E328">
        <f t="shared" si="62"/>
        <v>0</v>
      </c>
      <c r="F328">
        <f t="shared" si="63"/>
        <v>0</v>
      </c>
      <c r="G328" s="23" t="str">
        <f t="shared" si="64"/>
        <v>00.000</v>
      </c>
      <c r="H328" s="1" t="str">
        <f t="shared" si="65"/>
        <v>0000.000</v>
      </c>
      <c r="I328">
        <f t="shared" si="66"/>
        <v>0</v>
      </c>
      <c r="J328" t="str">
        <f t="shared" si="67"/>
        <v>000</v>
      </c>
      <c r="K328">
        <f t="shared" si="68"/>
        <v>0</v>
      </c>
      <c r="L328">
        <f t="shared" si="69"/>
        <v>0</v>
      </c>
      <c r="M328" t="str">
        <f t="shared" si="70"/>
        <v>00.000</v>
      </c>
      <c r="N328" s="1" t="str">
        <f t="shared" si="71"/>
        <v>00000.000</v>
      </c>
      <c r="O328" t="str">
        <f>IF('Import OpenCPN'!W329&gt;0,"N","S")</f>
        <v>S</v>
      </c>
      <c r="P328" t="str">
        <f>IF('Import OpenCPN'!X329&gt;0,"E","W")</f>
        <v>W</v>
      </c>
    </row>
    <row r="329" spans="1:16" x14ac:dyDescent="0.2">
      <c r="A329">
        <f>'Import OpenCPN'!W330</f>
        <v>0</v>
      </c>
      <c r="B329">
        <f>'Import OpenCPN'!X330</f>
        <v>0</v>
      </c>
      <c r="C329">
        <f t="shared" si="60"/>
        <v>0</v>
      </c>
      <c r="D329" t="str">
        <f t="shared" si="61"/>
        <v>00</v>
      </c>
      <c r="E329">
        <f t="shared" si="62"/>
        <v>0</v>
      </c>
      <c r="F329">
        <f t="shared" si="63"/>
        <v>0</v>
      </c>
      <c r="G329" s="23" t="str">
        <f t="shared" si="64"/>
        <v>00.000</v>
      </c>
      <c r="H329" s="1" t="str">
        <f t="shared" si="65"/>
        <v>0000.000</v>
      </c>
      <c r="I329">
        <f t="shared" si="66"/>
        <v>0</v>
      </c>
      <c r="J329" t="str">
        <f t="shared" si="67"/>
        <v>000</v>
      </c>
      <c r="K329">
        <f t="shared" si="68"/>
        <v>0</v>
      </c>
      <c r="L329">
        <f t="shared" si="69"/>
        <v>0</v>
      </c>
      <c r="M329" t="str">
        <f t="shared" si="70"/>
        <v>00.000</v>
      </c>
      <c r="N329" s="1" t="str">
        <f t="shared" si="71"/>
        <v>00000.000</v>
      </c>
      <c r="O329" t="str">
        <f>IF('Import OpenCPN'!W330&gt;0,"N","S")</f>
        <v>S</v>
      </c>
      <c r="P329" t="str">
        <f>IF('Import OpenCPN'!X330&gt;0,"E","W")</f>
        <v>W</v>
      </c>
    </row>
    <row r="330" spans="1:16" x14ac:dyDescent="0.2">
      <c r="A330">
        <f>'Import OpenCPN'!W331</f>
        <v>0</v>
      </c>
      <c r="B330">
        <f>'Import OpenCPN'!X331</f>
        <v>0</v>
      </c>
      <c r="C330">
        <f t="shared" si="60"/>
        <v>0</v>
      </c>
      <c r="D330" t="str">
        <f t="shared" si="61"/>
        <v>00</v>
      </c>
      <c r="E330">
        <f t="shared" si="62"/>
        <v>0</v>
      </c>
      <c r="F330">
        <f t="shared" si="63"/>
        <v>0</v>
      </c>
      <c r="G330" s="23" t="str">
        <f t="shared" si="64"/>
        <v>00.000</v>
      </c>
      <c r="H330" s="1" t="str">
        <f t="shared" si="65"/>
        <v>0000.000</v>
      </c>
      <c r="I330">
        <f t="shared" si="66"/>
        <v>0</v>
      </c>
      <c r="J330" t="str">
        <f t="shared" si="67"/>
        <v>000</v>
      </c>
      <c r="K330">
        <f t="shared" si="68"/>
        <v>0</v>
      </c>
      <c r="L330">
        <f t="shared" si="69"/>
        <v>0</v>
      </c>
      <c r="M330" t="str">
        <f t="shared" si="70"/>
        <v>00.000</v>
      </c>
      <c r="N330" s="1" t="str">
        <f t="shared" si="71"/>
        <v>00000.000</v>
      </c>
      <c r="O330" t="str">
        <f>IF('Import OpenCPN'!W331&gt;0,"N","S")</f>
        <v>S</v>
      </c>
      <c r="P330" t="str">
        <f>IF('Import OpenCPN'!X331&gt;0,"E","W")</f>
        <v>W</v>
      </c>
    </row>
    <row r="331" spans="1:16" x14ac:dyDescent="0.2">
      <c r="A331">
        <f>'Import OpenCPN'!W332</f>
        <v>0</v>
      </c>
      <c r="B331">
        <f>'Import OpenCPN'!X332</f>
        <v>0</v>
      </c>
      <c r="C331">
        <f t="shared" si="60"/>
        <v>0</v>
      </c>
      <c r="D331" t="str">
        <f t="shared" si="61"/>
        <v>00</v>
      </c>
      <c r="E331">
        <f t="shared" si="62"/>
        <v>0</v>
      </c>
      <c r="F331">
        <f t="shared" si="63"/>
        <v>0</v>
      </c>
      <c r="G331" s="23" t="str">
        <f t="shared" si="64"/>
        <v>00.000</v>
      </c>
      <c r="H331" s="1" t="str">
        <f t="shared" si="65"/>
        <v>0000.000</v>
      </c>
      <c r="I331">
        <f t="shared" si="66"/>
        <v>0</v>
      </c>
      <c r="J331" t="str">
        <f t="shared" si="67"/>
        <v>000</v>
      </c>
      <c r="K331">
        <f t="shared" si="68"/>
        <v>0</v>
      </c>
      <c r="L331">
        <f t="shared" si="69"/>
        <v>0</v>
      </c>
      <c r="M331" t="str">
        <f t="shared" si="70"/>
        <v>00.000</v>
      </c>
      <c r="N331" s="1" t="str">
        <f t="shared" si="71"/>
        <v>00000.000</v>
      </c>
      <c r="O331" t="str">
        <f>IF('Import OpenCPN'!W332&gt;0,"N","S")</f>
        <v>S</v>
      </c>
      <c r="P331" t="str">
        <f>IF('Import OpenCPN'!X332&gt;0,"E","W")</f>
        <v>W</v>
      </c>
    </row>
    <row r="332" spans="1:16" x14ac:dyDescent="0.2">
      <c r="A332">
        <f>'Import OpenCPN'!W333</f>
        <v>0</v>
      </c>
      <c r="B332">
        <f>'Import OpenCPN'!X333</f>
        <v>0</v>
      </c>
      <c r="C332">
        <f t="shared" si="60"/>
        <v>0</v>
      </c>
      <c r="D332" t="str">
        <f t="shared" si="61"/>
        <v>00</v>
      </c>
      <c r="E332">
        <f t="shared" si="62"/>
        <v>0</v>
      </c>
      <c r="F332">
        <f t="shared" si="63"/>
        <v>0</v>
      </c>
      <c r="G332" s="23" t="str">
        <f t="shared" si="64"/>
        <v>00.000</v>
      </c>
      <c r="H332" s="1" t="str">
        <f t="shared" si="65"/>
        <v>0000.000</v>
      </c>
      <c r="I332">
        <f t="shared" si="66"/>
        <v>0</v>
      </c>
      <c r="J332" t="str">
        <f t="shared" si="67"/>
        <v>000</v>
      </c>
      <c r="K332">
        <f t="shared" si="68"/>
        <v>0</v>
      </c>
      <c r="L332">
        <f t="shared" si="69"/>
        <v>0</v>
      </c>
      <c r="M332" t="str">
        <f t="shared" si="70"/>
        <v>00.000</v>
      </c>
      <c r="N332" s="1" t="str">
        <f t="shared" si="71"/>
        <v>00000.000</v>
      </c>
      <c r="O332" t="str">
        <f>IF('Import OpenCPN'!W333&gt;0,"N","S")</f>
        <v>S</v>
      </c>
      <c r="P332" t="str">
        <f>IF('Import OpenCPN'!X333&gt;0,"E","W")</f>
        <v>W</v>
      </c>
    </row>
    <row r="333" spans="1:16" x14ac:dyDescent="0.2">
      <c r="A333">
        <f>'Import OpenCPN'!W334</f>
        <v>0</v>
      </c>
      <c r="B333">
        <f>'Import OpenCPN'!X334</f>
        <v>0</v>
      </c>
      <c r="C333">
        <f t="shared" si="60"/>
        <v>0</v>
      </c>
      <c r="D333" t="str">
        <f t="shared" si="61"/>
        <v>00</v>
      </c>
      <c r="E333">
        <f t="shared" si="62"/>
        <v>0</v>
      </c>
      <c r="F333">
        <f t="shared" si="63"/>
        <v>0</v>
      </c>
      <c r="G333" s="23" t="str">
        <f t="shared" si="64"/>
        <v>00.000</v>
      </c>
      <c r="H333" s="1" t="str">
        <f t="shared" si="65"/>
        <v>0000.000</v>
      </c>
      <c r="I333">
        <f t="shared" si="66"/>
        <v>0</v>
      </c>
      <c r="J333" t="str">
        <f t="shared" si="67"/>
        <v>000</v>
      </c>
      <c r="K333">
        <f t="shared" si="68"/>
        <v>0</v>
      </c>
      <c r="L333">
        <f t="shared" si="69"/>
        <v>0</v>
      </c>
      <c r="M333" t="str">
        <f t="shared" si="70"/>
        <v>00.000</v>
      </c>
      <c r="N333" s="1" t="str">
        <f t="shared" si="71"/>
        <v>00000.000</v>
      </c>
      <c r="O333" t="str">
        <f>IF('Import OpenCPN'!W334&gt;0,"N","S")</f>
        <v>S</v>
      </c>
      <c r="P333" t="str">
        <f>IF('Import OpenCPN'!X334&gt;0,"E","W")</f>
        <v>W</v>
      </c>
    </row>
    <row r="334" spans="1:16" x14ac:dyDescent="0.2">
      <c r="A334">
        <f>'Import OpenCPN'!W335</f>
        <v>0</v>
      </c>
      <c r="B334">
        <f>'Import OpenCPN'!X335</f>
        <v>0</v>
      </c>
      <c r="C334">
        <f t="shared" si="60"/>
        <v>0</v>
      </c>
      <c r="D334" t="str">
        <f t="shared" si="61"/>
        <v>00</v>
      </c>
      <c r="E334">
        <f t="shared" si="62"/>
        <v>0</v>
      </c>
      <c r="F334">
        <f t="shared" si="63"/>
        <v>0</v>
      </c>
      <c r="G334" s="23" t="str">
        <f t="shared" si="64"/>
        <v>00.000</v>
      </c>
      <c r="H334" s="1" t="str">
        <f t="shared" si="65"/>
        <v>0000.000</v>
      </c>
      <c r="I334">
        <f t="shared" si="66"/>
        <v>0</v>
      </c>
      <c r="J334" t="str">
        <f t="shared" si="67"/>
        <v>000</v>
      </c>
      <c r="K334">
        <f t="shared" si="68"/>
        <v>0</v>
      </c>
      <c r="L334">
        <f t="shared" si="69"/>
        <v>0</v>
      </c>
      <c r="M334" t="str">
        <f t="shared" si="70"/>
        <v>00.000</v>
      </c>
      <c r="N334" s="1" t="str">
        <f t="shared" si="71"/>
        <v>00000.000</v>
      </c>
      <c r="O334" t="str">
        <f>IF('Import OpenCPN'!W335&gt;0,"N","S")</f>
        <v>S</v>
      </c>
      <c r="P334" t="str">
        <f>IF('Import OpenCPN'!X335&gt;0,"E","W")</f>
        <v>W</v>
      </c>
    </row>
    <row r="335" spans="1:16" x14ac:dyDescent="0.2">
      <c r="A335">
        <f>'Import OpenCPN'!W336</f>
        <v>0</v>
      </c>
      <c r="B335">
        <f>'Import OpenCPN'!X336</f>
        <v>0</v>
      </c>
      <c r="C335">
        <f t="shared" si="60"/>
        <v>0</v>
      </c>
      <c r="D335" t="str">
        <f t="shared" si="61"/>
        <v>00</v>
      </c>
      <c r="E335">
        <f t="shared" si="62"/>
        <v>0</v>
      </c>
      <c r="F335">
        <f t="shared" si="63"/>
        <v>0</v>
      </c>
      <c r="G335" s="23" t="str">
        <f t="shared" si="64"/>
        <v>00.000</v>
      </c>
      <c r="H335" s="1" t="str">
        <f t="shared" si="65"/>
        <v>0000.000</v>
      </c>
      <c r="I335">
        <f t="shared" si="66"/>
        <v>0</v>
      </c>
      <c r="J335" t="str">
        <f t="shared" si="67"/>
        <v>000</v>
      </c>
      <c r="K335">
        <f t="shared" si="68"/>
        <v>0</v>
      </c>
      <c r="L335">
        <f t="shared" si="69"/>
        <v>0</v>
      </c>
      <c r="M335" t="str">
        <f t="shared" si="70"/>
        <v>00.000</v>
      </c>
      <c r="N335" s="1" t="str">
        <f t="shared" si="71"/>
        <v>00000.000</v>
      </c>
      <c r="O335" t="str">
        <f>IF('Import OpenCPN'!W336&gt;0,"N","S")</f>
        <v>S</v>
      </c>
      <c r="P335" t="str">
        <f>IF('Import OpenCPN'!X336&gt;0,"E","W")</f>
        <v>W</v>
      </c>
    </row>
    <row r="336" spans="1:16" x14ac:dyDescent="0.2">
      <c r="A336">
        <f>'Import OpenCPN'!W337</f>
        <v>0</v>
      </c>
      <c r="B336">
        <f>'Import OpenCPN'!X337</f>
        <v>0</v>
      </c>
      <c r="C336">
        <f t="shared" si="60"/>
        <v>0</v>
      </c>
      <c r="D336" t="str">
        <f t="shared" si="61"/>
        <v>00</v>
      </c>
      <c r="E336">
        <f t="shared" si="62"/>
        <v>0</v>
      </c>
      <c r="F336">
        <f t="shared" si="63"/>
        <v>0</v>
      </c>
      <c r="G336" s="23" t="str">
        <f t="shared" si="64"/>
        <v>00.000</v>
      </c>
      <c r="H336" s="1" t="str">
        <f t="shared" si="65"/>
        <v>0000.000</v>
      </c>
      <c r="I336">
        <f t="shared" si="66"/>
        <v>0</v>
      </c>
      <c r="J336" t="str">
        <f t="shared" si="67"/>
        <v>000</v>
      </c>
      <c r="K336">
        <f t="shared" si="68"/>
        <v>0</v>
      </c>
      <c r="L336">
        <f t="shared" si="69"/>
        <v>0</v>
      </c>
      <c r="M336" t="str">
        <f t="shared" si="70"/>
        <v>00.000</v>
      </c>
      <c r="N336" s="1" t="str">
        <f t="shared" si="71"/>
        <v>00000.000</v>
      </c>
      <c r="O336" t="str">
        <f>IF('Import OpenCPN'!W337&gt;0,"N","S")</f>
        <v>S</v>
      </c>
      <c r="P336" t="str">
        <f>IF('Import OpenCPN'!X337&gt;0,"E","W")</f>
        <v>W</v>
      </c>
    </row>
    <row r="337" spans="1:16" x14ac:dyDescent="0.2">
      <c r="A337">
        <f>'Import OpenCPN'!W338</f>
        <v>0</v>
      </c>
      <c r="B337">
        <f>'Import OpenCPN'!X338</f>
        <v>0</v>
      </c>
      <c r="C337">
        <f t="shared" si="60"/>
        <v>0</v>
      </c>
      <c r="D337" t="str">
        <f t="shared" si="61"/>
        <v>00</v>
      </c>
      <c r="E337">
        <f t="shared" si="62"/>
        <v>0</v>
      </c>
      <c r="F337">
        <f t="shared" si="63"/>
        <v>0</v>
      </c>
      <c r="G337" s="23" t="str">
        <f t="shared" si="64"/>
        <v>00.000</v>
      </c>
      <c r="H337" s="1" t="str">
        <f t="shared" si="65"/>
        <v>0000.000</v>
      </c>
      <c r="I337">
        <f t="shared" si="66"/>
        <v>0</v>
      </c>
      <c r="J337" t="str">
        <f t="shared" si="67"/>
        <v>000</v>
      </c>
      <c r="K337">
        <f t="shared" si="68"/>
        <v>0</v>
      </c>
      <c r="L337">
        <f t="shared" si="69"/>
        <v>0</v>
      </c>
      <c r="M337" t="str">
        <f t="shared" si="70"/>
        <v>00.000</v>
      </c>
      <c r="N337" s="1" t="str">
        <f t="shared" si="71"/>
        <v>00000.000</v>
      </c>
      <c r="O337" t="str">
        <f>IF('Import OpenCPN'!W338&gt;0,"N","S")</f>
        <v>S</v>
      </c>
      <c r="P337" t="str">
        <f>IF('Import OpenCPN'!X338&gt;0,"E","W")</f>
        <v>W</v>
      </c>
    </row>
    <row r="338" spans="1:16" x14ac:dyDescent="0.2">
      <c r="A338">
        <f>'Import OpenCPN'!W339</f>
        <v>0</v>
      </c>
      <c r="B338">
        <f>'Import OpenCPN'!X339</f>
        <v>0</v>
      </c>
      <c r="C338">
        <f t="shared" si="60"/>
        <v>0</v>
      </c>
      <c r="D338" t="str">
        <f t="shared" si="61"/>
        <v>00</v>
      </c>
      <c r="E338">
        <f t="shared" si="62"/>
        <v>0</v>
      </c>
      <c r="F338">
        <f t="shared" si="63"/>
        <v>0</v>
      </c>
      <c r="G338" s="23" t="str">
        <f t="shared" si="64"/>
        <v>00.000</v>
      </c>
      <c r="H338" s="1" t="str">
        <f t="shared" si="65"/>
        <v>0000.000</v>
      </c>
      <c r="I338">
        <f t="shared" si="66"/>
        <v>0</v>
      </c>
      <c r="J338" t="str">
        <f t="shared" si="67"/>
        <v>000</v>
      </c>
      <c r="K338">
        <f t="shared" si="68"/>
        <v>0</v>
      </c>
      <c r="L338">
        <f t="shared" si="69"/>
        <v>0</v>
      </c>
      <c r="M338" t="str">
        <f t="shared" si="70"/>
        <v>00.000</v>
      </c>
      <c r="N338" s="1" t="str">
        <f t="shared" si="71"/>
        <v>00000.000</v>
      </c>
      <c r="O338" t="str">
        <f>IF('Import OpenCPN'!W339&gt;0,"N","S")</f>
        <v>S</v>
      </c>
      <c r="P338" t="str">
        <f>IF('Import OpenCPN'!X339&gt;0,"E","W")</f>
        <v>W</v>
      </c>
    </row>
    <row r="339" spans="1:16" x14ac:dyDescent="0.2">
      <c r="A339">
        <f>'Import OpenCPN'!W340</f>
        <v>0</v>
      </c>
      <c r="B339">
        <f>'Import OpenCPN'!X340</f>
        <v>0</v>
      </c>
      <c r="C339">
        <f t="shared" si="60"/>
        <v>0</v>
      </c>
      <c r="D339" t="str">
        <f t="shared" si="61"/>
        <v>00</v>
      </c>
      <c r="E339">
        <f t="shared" si="62"/>
        <v>0</v>
      </c>
      <c r="F339">
        <f t="shared" si="63"/>
        <v>0</v>
      </c>
      <c r="G339" s="23" t="str">
        <f t="shared" si="64"/>
        <v>00.000</v>
      </c>
      <c r="H339" s="1" t="str">
        <f t="shared" si="65"/>
        <v>0000.000</v>
      </c>
      <c r="I339">
        <f t="shared" si="66"/>
        <v>0</v>
      </c>
      <c r="J339" t="str">
        <f t="shared" si="67"/>
        <v>000</v>
      </c>
      <c r="K339">
        <f t="shared" si="68"/>
        <v>0</v>
      </c>
      <c r="L339">
        <f t="shared" si="69"/>
        <v>0</v>
      </c>
      <c r="M339" t="str">
        <f t="shared" si="70"/>
        <v>00.000</v>
      </c>
      <c r="N339" s="1" t="str">
        <f t="shared" si="71"/>
        <v>00000.000</v>
      </c>
      <c r="O339" t="str">
        <f>IF('Import OpenCPN'!W340&gt;0,"N","S")</f>
        <v>S</v>
      </c>
      <c r="P339" t="str">
        <f>IF('Import OpenCPN'!X340&gt;0,"E","W")</f>
        <v>W</v>
      </c>
    </row>
    <row r="340" spans="1:16" x14ac:dyDescent="0.2">
      <c r="A340">
        <f>'Import OpenCPN'!W341</f>
        <v>0</v>
      </c>
      <c r="B340">
        <f>'Import OpenCPN'!X341</f>
        <v>0</v>
      </c>
      <c r="C340">
        <f t="shared" si="60"/>
        <v>0</v>
      </c>
      <c r="D340" t="str">
        <f t="shared" si="61"/>
        <v>00</v>
      </c>
      <c r="E340">
        <f t="shared" si="62"/>
        <v>0</v>
      </c>
      <c r="F340">
        <f t="shared" si="63"/>
        <v>0</v>
      </c>
      <c r="G340" s="23" t="str">
        <f t="shared" si="64"/>
        <v>00.000</v>
      </c>
      <c r="H340" s="1" t="str">
        <f t="shared" si="65"/>
        <v>0000.000</v>
      </c>
      <c r="I340">
        <f t="shared" si="66"/>
        <v>0</v>
      </c>
      <c r="J340" t="str">
        <f t="shared" si="67"/>
        <v>000</v>
      </c>
      <c r="K340">
        <f t="shared" si="68"/>
        <v>0</v>
      </c>
      <c r="L340">
        <f t="shared" si="69"/>
        <v>0</v>
      </c>
      <c r="M340" t="str">
        <f t="shared" si="70"/>
        <v>00.000</v>
      </c>
      <c r="N340" s="1" t="str">
        <f t="shared" si="71"/>
        <v>00000.000</v>
      </c>
      <c r="O340" t="str">
        <f>IF('Import OpenCPN'!W341&gt;0,"N","S")</f>
        <v>S</v>
      </c>
      <c r="P340" t="str">
        <f>IF('Import OpenCPN'!X341&gt;0,"E","W")</f>
        <v>W</v>
      </c>
    </row>
    <row r="341" spans="1:16" x14ac:dyDescent="0.2">
      <c r="A341">
        <f>'Import OpenCPN'!W342</f>
        <v>0</v>
      </c>
      <c r="B341">
        <f>'Import OpenCPN'!X342</f>
        <v>0</v>
      </c>
      <c r="C341">
        <f t="shared" si="60"/>
        <v>0</v>
      </c>
      <c r="D341" t="str">
        <f t="shared" si="61"/>
        <v>00</v>
      </c>
      <c r="E341">
        <f t="shared" si="62"/>
        <v>0</v>
      </c>
      <c r="F341">
        <f t="shared" si="63"/>
        <v>0</v>
      </c>
      <c r="G341" s="23" t="str">
        <f t="shared" si="64"/>
        <v>00.000</v>
      </c>
      <c r="H341" s="1" t="str">
        <f t="shared" si="65"/>
        <v>0000.000</v>
      </c>
      <c r="I341">
        <f t="shared" si="66"/>
        <v>0</v>
      </c>
      <c r="J341" t="str">
        <f t="shared" si="67"/>
        <v>000</v>
      </c>
      <c r="K341">
        <f t="shared" si="68"/>
        <v>0</v>
      </c>
      <c r="L341">
        <f t="shared" si="69"/>
        <v>0</v>
      </c>
      <c r="M341" t="str">
        <f t="shared" si="70"/>
        <v>00.000</v>
      </c>
      <c r="N341" s="1" t="str">
        <f t="shared" si="71"/>
        <v>00000.000</v>
      </c>
      <c r="O341" t="str">
        <f>IF('Import OpenCPN'!W342&gt;0,"N","S")</f>
        <v>S</v>
      </c>
      <c r="P341" t="str">
        <f>IF('Import OpenCPN'!X342&gt;0,"E","W")</f>
        <v>W</v>
      </c>
    </row>
    <row r="342" spans="1:16" x14ac:dyDescent="0.2">
      <c r="A342">
        <f>'Import OpenCPN'!W343</f>
        <v>0</v>
      </c>
      <c r="B342">
        <f>'Import OpenCPN'!X343</f>
        <v>0</v>
      </c>
      <c r="C342">
        <f t="shared" si="60"/>
        <v>0</v>
      </c>
      <c r="D342" t="str">
        <f t="shared" si="61"/>
        <v>00</v>
      </c>
      <c r="E342">
        <f t="shared" si="62"/>
        <v>0</v>
      </c>
      <c r="F342">
        <f t="shared" si="63"/>
        <v>0</v>
      </c>
      <c r="G342" s="23" t="str">
        <f t="shared" si="64"/>
        <v>00.000</v>
      </c>
      <c r="H342" s="1" t="str">
        <f t="shared" si="65"/>
        <v>0000.000</v>
      </c>
      <c r="I342">
        <f t="shared" si="66"/>
        <v>0</v>
      </c>
      <c r="J342" t="str">
        <f t="shared" si="67"/>
        <v>000</v>
      </c>
      <c r="K342">
        <f t="shared" si="68"/>
        <v>0</v>
      </c>
      <c r="L342">
        <f t="shared" si="69"/>
        <v>0</v>
      </c>
      <c r="M342" t="str">
        <f t="shared" si="70"/>
        <v>00.000</v>
      </c>
      <c r="N342" s="1" t="str">
        <f t="shared" si="71"/>
        <v>00000.000</v>
      </c>
      <c r="O342" t="str">
        <f>IF('Import OpenCPN'!W343&gt;0,"N","S")</f>
        <v>S</v>
      </c>
      <c r="P342" t="str">
        <f>IF('Import OpenCPN'!X343&gt;0,"E","W")</f>
        <v>W</v>
      </c>
    </row>
    <row r="343" spans="1:16" x14ac:dyDescent="0.2">
      <c r="A343">
        <f>'Import OpenCPN'!W344</f>
        <v>0</v>
      </c>
      <c r="B343">
        <f>'Import OpenCPN'!X344</f>
        <v>0</v>
      </c>
      <c r="C343">
        <f t="shared" si="60"/>
        <v>0</v>
      </c>
      <c r="D343" t="str">
        <f t="shared" si="61"/>
        <v>00</v>
      </c>
      <c r="E343">
        <f t="shared" si="62"/>
        <v>0</v>
      </c>
      <c r="F343">
        <f t="shared" si="63"/>
        <v>0</v>
      </c>
      <c r="G343" s="23" t="str">
        <f t="shared" si="64"/>
        <v>00.000</v>
      </c>
      <c r="H343" s="1" t="str">
        <f t="shared" si="65"/>
        <v>0000.000</v>
      </c>
      <c r="I343">
        <f t="shared" si="66"/>
        <v>0</v>
      </c>
      <c r="J343" t="str">
        <f t="shared" si="67"/>
        <v>000</v>
      </c>
      <c r="K343">
        <f t="shared" si="68"/>
        <v>0</v>
      </c>
      <c r="L343">
        <f t="shared" si="69"/>
        <v>0</v>
      </c>
      <c r="M343" t="str">
        <f t="shared" si="70"/>
        <v>00.000</v>
      </c>
      <c r="N343" s="1" t="str">
        <f t="shared" si="71"/>
        <v>00000.000</v>
      </c>
      <c r="O343" t="str">
        <f>IF('Import OpenCPN'!W344&gt;0,"N","S")</f>
        <v>S</v>
      </c>
      <c r="P343" t="str">
        <f>IF('Import OpenCPN'!X344&gt;0,"E","W")</f>
        <v>W</v>
      </c>
    </row>
    <row r="344" spans="1:16" x14ac:dyDescent="0.2">
      <c r="A344">
        <f>'Import OpenCPN'!W345</f>
        <v>0</v>
      </c>
      <c r="B344">
        <f>'Import OpenCPN'!X345</f>
        <v>0</v>
      </c>
      <c r="C344">
        <f t="shared" si="60"/>
        <v>0</v>
      </c>
      <c r="D344" t="str">
        <f t="shared" si="61"/>
        <v>00</v>
      </c>
      <c r="E344">
        <f t="shared" si="62"/>
        <v>0</v>
      </c>
      <c r="F344">
        <f t="shared" si="63"/>
        <v>0</v>
      </c>
      <c r="G344" s="23" t="str">
        <f t="shared" si="64"/>
        <v>00.000</v>
      </c>
      <c r="H344" s="1" t="str">
        <f t="shared" si="65"/>
        <v>0000.000</v>
      </c>
      <c r="I344">
        <f t="shared" si="66"/>
        <v>0</v>
      </c>
      <c r="J344" t="str">
        <f t="shared" si="67"/>
        <v>000</v>
      </c>
      <c r="K344">
        <f t="shared" si="68"/>
        <v>0</v>
      </c>
      <c r="L344">
        <f t="shared" si="69"/>
        <v>0</v>
      </c>
      <c r="M344" t="str">
        <f t="shared" si="70"/>
        <v>00.000</v>
      </c>
      <c r="N344" s="1" t="str">
        <f t="shared" si="71"/>
        <v>00000.000</v>
      </c>
      <c r="O344" t="str">
        <f>IF('Import OpenCPN'!W345&gt;0,"N","S")</f>
        <v>S</v>
      </c>
      <c r="P344" t="str">
        <f>IF('Import OpenCPN'!X345&gt;0,"E","W")</f>
        <v>W</v>
      </c>
    </row>
    <row r="345" spans="1:16" x14ac:dyDescent="0.2">
      <c r="A345">
        <f>'Import OpenCPN'!W346</f>
        <v>0</v>
      </c>
      <c r="B345">
        <f>'Import OpenCPN'!X346</f>
        <v>0</v>
      </c>
      <c r="C345">
        <f t="shared" si="60"/>
        <v>0</v>
      </c>
      <c r="D345" t="str">
        <f t="shared" si="61"/>
        <v>00</v>
      </c>
      <c r="E345">
        <f t="shared" si="62"/>
        <v>0</v>
      </c>
      <c r="F345">
        <f t="shared" si="63"/>
        <v>0</v>
      </c>
      <c r="G345" s="23" t="str">
        <f t="shared" si="64"/>
        <v>00.000</v>
      </c>
      <c r="H345" s="1" t="str">
        <f t="shared" si="65"/>
        <v>0000.000</v>
      </c>
      <c r="I345">
        <f t="shared" si="66"/>
        <v>0</v>
      </c>
      <c r="J345" t="str">
        <f t="shared" si="67"/>
        <v>000</v>
      </c>
      <c r="K345">
        <f t="shared" si="68"/>
        <v>0</v>
      </c>
      <c r="L345">
        <f t="shared" si="69"/>
        <v>0</v>
      </c>
      <c r="M345" t="str">
        <f t="shared" si="70"/>
        <v>00.000</v>
      </c>
      <c r="N345" s="1" t="str">
        <f t="shared" si="71"/>
        <v>00000.000</v>
      </c>
      <c r="O345" t="str">
        <f>IF('Import OpenCPN'!W346&gt;0,"N","S")</f>
        <v>S</v>
      </c>
      <c r="P345" t="str">
        <f>IF('Import OpenCPN'!X346&gt;0,"E","W")</f>
        <v>W</v>
      </c>
    </row>
    <row r="346" spans="1:16" x14ac:dyDescent="0.2">
      <c r="A346">
        <f>'Import OpenCPN'!W347</f>
        <v>0</v>
      </c>
      <c r="B346">
        <f>'Import OpenCPN'!X347</f>
        <v>0</v>
      </c>
      <c r="C346">
        <f t="shared" si="60"/>
        <v>0</v>
      </c>
      <c r="D346" t="str">
        <f t="shared" si="61"/>
        <v>00</v>
      </c>
      <c r="E346">
        <f t="shared" si="62"/>
        <v>0</v>
      </c>
      <c r="F346">
        <f t="shared" si="63"/>
        <v>0</v>
      </c>
      <c r="G346" s="23" t="str">
        <f t="shared" si="64"/>
        <v>00.000</v>
      </c>
      <c r="H346" s="1" t="str">
        <f t="shared" si="65"/>
        <v>0000.000</v>
      </c>
      <c r="I346">
        <f t="shared" si="66"/>
        <v>0</v>
      </c>
      <c r="J346" t="str">
        <f t="shared" si="67"/>
        <v>000</v>
      </c>
      <c r="K346">
        <f t="shared" si="68"/>
        <v>0</v>
      </c>
      <c r="L346">
        <f t="shared" si="69"/>
        <v>0</v>
      </c>
      <c r="M346" t="str">
        <f t="shared" si="70"/>
        <v>00.000</v>
      </c>
      <c r="N346" s="1" t="str">
        <f t="shared" si="71"/>
        <v>00000.000</v>
      </c>
      <c r="O346" t="str">
        <f>IF('Import OpenCPN'!W347&gt;0,"N","S")</f>
        <v>S</v>
      </c>
      <c r="P346" t="str">
        <f>IF('Import OpenCPN'!X347&gt;0,"E","W")</f>
        <v>W</v>
      </c>
    </row>
    <row r="347" spans="1:16" x14ac:dyDescent="0.2">
      <c r="A347">
        <f>'Import OpenCPN'!W348</f>
        <v>0</v>
      </c>
      <c r="B347">
        <f>'Import OpenCPN'!X348</f>
        <v>0</v>
      </c>
      <c r="C347">
        <f t="shared" si="60"/>
        <v>0</v>
      </c>
      <c r="D347" t="str">
        <f t="shared" si="61"/>
        <v>00</v>
      </c>
      <c r="E347">
        <f t="shared" si="62"/>
        <v>0</v>
      </c>
      <c r="F347">
        <f t="shared" si="63"/>
        <v>0</v>
      </c>
      <c r="G347" s="23" t="str">
        <f t="shared" si="64"/>
        <v>00.000</v>
      </c>
      <c r="H347" s="1" t="str">
        <f t="shared" si="65"/>
        <v>0000.000</v>
      </c>
      <c r="I347">
        <f t="shared" si="66"/>
        <v>0</v>
      </c>
      <c r="J347" t="str">
        <f t="shared" si="67"/>
        <v>000</v>
      </c>
      <c r="K347">
        <f t="shared" si="68"/>
        <v>0</v>
      </c>
      <c r="L347">
        <f t="shared" si="69"/>
        <v>0</v>
      </c>
      <c r="M347" t="str">
        <f t="shared" si="70"/>
        <v>00.000</v>
      </c>
      <c r="N347" s="1" t="str">
        <f t="shared" si="71"/>
        <v>00000.000</v>
      </c>
      <c r="O347" t="str">
        <f>IF('Import OpenCPN'!W348&gt;0,"N","S")</f>
        <v>S</v>
      </c>
      <c r="P347" t="str">
        <f>IF('Import OpenCPN'!X348&gt;0,"E","W")</f>
        <v>W</v>
      </c>
    </row>
    <row r="348" spans="1:16" x14ac:dyDescent="0.2">
      <c r="A348">
        <f>'Import OpenCPN'!W349</f>
        <v>0</v>
      </c>
      <c r="B348">
        <f>'Import OpenCPN'!X349</f>
        <v>0</v>
      </c>
      <c r="C348">
        <f t="shared" si="60"/>
        <v>0</v>
      </c>
      <c r="D348" t="str">
        <f t="shared" si="61"/>
        <v>00</v>
      </c>
      <c r="E348">
        <f t="shared" si="62"/>
        <v>0</v>
      </c>
      <c r="F348">
        <f t="shared" si="63"/>
        <v>0</v>
      </c>
      <c r="G348" s="23" t="str">
        <f t="shared" si="64"/>
        <v>00.000</v>
      </c>
      <c r="H348" s="1" t="str">
        <f t="shared" si="65"/>
        <v>0000.000</v>
      </c>
      <c r="I348">
        <f t="shared" si="66"/>
        <v>0</v>
      </c>
      <c r="J348" t="str">
        <f t="shared" si="67"/>
        <v>000</v>
      </c>
      <c r="K348">
        <f t="shared" si="68"/>
        <v>0</v>
      </c>
      <c r="L348">
        <f t="shared" si="69"/>
        <v>0</v>
      </c>
      <c r="M348" t="str">
        <f t="shared" si="70"/>
        <v>00.000</v>
      </c>
      <c r="N348" s="1" t="str">
        <f t="shared" si="71"/>
        <v>00000.000</v>
      </c>
      <c r="O348" t="str">
        <f>IF('Import OpenCPN'!W349&gt;0,"N","S")</f>
        <v>S</v>
      </c>
      <c r="P348" t="str">
        <f>IF('Import OpenCPN'!X349&gt;0,"E","W")</f>
        <v>W</v>
      </c>
    </row>
    <row r="349" spans="1:16" x14ac:dyDescent="0.2">
      <c r="A349">
        <f>'Import OpenCPN'!W350</f>
        <v>0</v>
      </c>
      <c r="B349">
        <f>'Import OpenCPN'!X350</f>
        <v>0</v>
      </c>
      <c r="C349">
        <f t="shared" si="60"/>
        <v>0</v>
      </c>
      <c r="D349" t="str">
        <f t="shared" si="61"/>
        <v>00</v>
      </c>
      <c r="E349">
        <f t="shared" si="62"/>
        <v>0</v>
      </c>
      <c r="F349">
        <f t="shared" si="63"/>
        <v>0</v>
      </c>
      <c r="G349" s="23" t="str">
        <f t="shared" si="64"/>
        <v>00.000</v>
      </c>
      <c r="H349" s="1" t="str">
        <f t="shared" si="65"/>
        <v>0000.000</v>
      </c>
      <c r="I349">
        <f t="shared" si="66"/>
        <v>0</v>
      </c>
      <c r="J349" t="str">
        <f t="shared" si="67"/>
        <v>000</v>
      </c>
      <c r="K349">
        <f t="shared" si="68"/>
        <v>0</v>
      </c>
      <c r="L349">
        <f t="shared" si="69"/>
        <v>0</v>
      </c>
      <c r="M349" t="str">
        <f t="shared" si="70"/>
        <v>00.000</v>
      </c>
      <c r="N349" s="1" t="str">
        <f t="shared" si="71"/>
        <v>00000.000</v>
      </c>
      <c r="O349" t="str">
        <f>IF('Import OpenCPN'!W350&gt;0,"N","S")</f>
        <v>S</v>
      </c>
      <c r="P349" t="str">
        <f>IF('Import OpenCPN'!X350&gt;0,"E","W")</f>
        <v>W</v>
      </c>
    </row>
    <row r="350" spans="1:16" x14ac:dyDescent="0.2">
      <c r="A350">
        <f>'Import OpenCPN'!W351</f>
        <v>0</v>
      </c>
      <c r="B350">
        <f>'Import OpenCPN'!X351</f>
        <v>0</v>
      </c>
      <c r="C350">
        <f t="shared" si="60"/>
        <v>0</v>
      </c>
      <c r="D350" t="str">
        <f t="shared" si="61"/>
        <v>00</v>
      </c>
      <c r="E350">
        <f t="shared" si="62"/>
        <v>0</v>
      </c>
      <c r="F350">
        <f t="shared" si="63"/>
        <v>0</v>
      </c>
      <c r="G350" s="23" t="str">
        <f t="shared" si="64"/>
        <v>00.000</v>
      </c>
      <c r="H350" s="1" t="str">
        <f t="shared" si="65"/>
        <v>0000.000</v>
      </c>
      <c r="I350">
        <f t="shared" si="66"/>
        <v>0</v>
      </c>
      <c r="J350" t="str">
        <f t="shared" si="67"/>
        <v>000</v>
      </c>
      <c r="K350">
        <f t="shared" si="68"/>
        <v>0</v>
      </c>
      <c r="L350">
        <f t="shared" si="69"/>
        <v>0</v>
      </c>
      <c r="M350" t="str">
        <f t="shared" si="70"/>
        <v>00.000</v>
      </c>
      <c r="N350" s="1" t="str">
        <f t="shared" si="71"/>
        <v>00000.000</v>
      </c>
      <c r="O350" t="str">
        <f>IF('Import OpenCPN'!W351&gt;0,"N","S")</f>
        <v>S</v>
      </c>
      <c r="P350" t="str">
        <f>IF('Import OpenCPN'!X351&gt;0,"E","W")</f>
        <v>W</v>
      </c>
    </row>
    <row r="351" spans="1:16" x14ac:dyDescent="0.2">
      <c r="A351">
        <f>'Import OpenCPN'!W352</f>
        <v>0</v>
      </c>
      <c r="B351">
        <f>'Import OpenCPN'!X352</f>
        <v>0</v>
      </c>
      <c r="C351">
        <f t="shared" si="60"/>
        <v>0</v>
      </c>
      <c r="D351" t="str">
        <f t="shared" si="61"/>
        <v>00</v>
      </c>
      <c r="E351">
        <f t="shared" si="62"/>
        <v>0</v>
      </c>
      <c r="F351">
        <f t="shared" si="63"/>
        <v>0</v>
      </c>
      <c r="G351" s="23" t="str">
        <f t="shared" si="64"/>
        <v>00.000</v>
      </c>
      <c r="H351" s="1" t="str">
        <f t="shared" si="65"/>
        <v>0000.000</v>
      </c>
      <c r="I351">
        <f t="shared" si="66"/>
        <v>0</v>
      </c>
      <c r="J351" t="str">
        <f t="shared" si="67"/>
        <v>000</v>
      </c>
      <c r="K351">
        <f t="shared" si="68"/>
        <v>0</v>
      </c>
      <c r="L351">
        <f t="shared" si="69"/>
        <v>0</v>
      </c>
      <c r="M351" t="str">
        <f t="shared" si="70"/>
        <v>00.000</v>
      </c>
      <c r="N351" s="1" t="str">
        <f t="shared" si="71"/>
        <v>00000.000</v>
      </c>
      <c r="O351" t="str">
        <f>IF('Import OpenCPN'!W352&gt;0,"N","S")</f>
        <v>S</v>
      </c>
      <c r="P351" t="str">
        <f>IF('Import OpenCPN'!X352&gt;0,"E","W")</f>
        <v>W</v>
      </c>
    </row>
    <row r="352" spans="1:16" x14ac:dyDescent="0.2">
      <c r="A352">
        <f>'Import OpenCPN'!W353</f>
        <v>0</v>
      </c>
      <c r="B352">
        <f>'Import OpenCPN'!X353</f>
        <v>0</v>
      </c>
      <c r="C352">
        <f t="shared" si="60"/>
        <v>0</v>
      </c>
      <c r="D352" t="str">
        <f t="shared" si="61"/>
        <v>00</v>
      </c>
      <c r="E352">
        <f t="shared" si="62"/>
        <v>0</v>
      </c>
      <c r="F352">
        <f t="shared" si="63"/>
        <v>0</v>
      </c>
      <c r="G352" s="23" t="str">
        <f t="shared" si="64"/>
        <v>00.000</v>
      </c>
      <c r="H352" s="1" t="str">
        <f t="shared" si="65"/>
        <v>0000.000</v>
      </c>
      <c r="I352">
        <f t="shared" si="66"/>
        <v>0</v>
      </c>
      <c r="J352" t="str">
        <f t="shared" si="67"/>
        <v>000</v>
      </c>
      <c r="K352">
        <f t="shared" si="68"/>
        <v>0</v>
      </c>
      <c r="L352">
        <f t="shared" si="69"/>
        <v>0</v>
      </c>
      <c r="M352" t="str">
        <f t="shared" si="70"/>
        <v>00.000</v>
      </c>
      <c r="N352" s="1" t="str">
        <f t="shared" si="71"/>
        <v>00000.000</v>
      </c>
      <c r="O352" t="str">
        <f>IF('Import OpenCPN'!W353&gt;0,"N","S")</f>
        <v>S</v>
      </c>
      <c r="P352" t="str">
        <f>IF('Import OpenCPN'!X353&gt;0,"E","W")</f>
        <v>W</v>
      </c>
    </row>
    <row r="353" spans="1:16" x14ac:dyDescent="0.2">
      <c r="A353">
        <f>'Import OpenCPN'!W354</f>
        <v>0</v>
      </c>
      <c r="B353">
        <f>'Import OpenCPN'!X354</f>
        <v>0</v>
      </c>
      <c r="C353">
        <f t="shared" si="60"/>
        <v>0</v>
      </c>
      <c r="D353" t="str">
        <f t="shared" si="61"/>
        <v>00</v>
      </c>
      <c r="E353">
        <f t="shared" si="62"/>
        <v>0</v>
      </c>
      <c r="F353">
        <f t="shared" si="63"/>
        <v>0</v>
      </c>
      <c r="G353" s="23" t="str">
        <f t="shared" si="64"/>
        <v>00.000</v>
      </c>
      <c r="H353" s="1" t="str">
        <f t="shared" si="65"/>
        <v>0000.000</v>
      </c>
      <c r="I353">
        <f t="shared" si="66"/>
        <v>0</v>
      </c>
      <c r="J353" t="str">
        <f t="shared" si="67"/>
        <v>000</v>
      </c>
      <c r="K353">
        <f t="shared" si="68"/>
        <v>0</v>
      </c>
      <c r="L353">
        <f t="shared" si="69"/>
        <v>0</v>
      </c>
      <c r="M353" t="str">
        <f t="shared" si="70"/>
        <v>00.000</v>
      </c>
      <c r="N353" s="1" t="str">
        <f t="shared" si="71"/>
        <v>00000.000</v>
      </c>
      <c r="O353" t="str">
        <f>IF('Import OpenCPN'!W354&gt;0,"N","S")</f>
        <v>S</v>
      </c>
      <c r="P353" t="str">
        <f>IF('Import OpenCPN'!X354&gt;0,"E","W")</f>
        <v>W</v>
      </c>
    </row>
    <row r="354" spans="1:16" x14ac:dyDescent="0.2">
      <c r="A354">
        <f>'Import OpenCPN'!W355</f>
        <v>0</v>
      </c>
      <c r="B354">
        <f>'Import OpenCPN'!X355</f>
        <v>0</v>
      </c>
      <c r="C354">
        <f t="shared" si="60"/>
        <v>0</v>
      </c>
      <c r="D354" t="str">
        <f t="shared" si="61"/>
        <v>00</v>
      </c>
      <c r="E354">
        <f t="shared" si="62"/>
        <v>0</v>
      </c>
      <c r="F354">
        <f t="shared" si="63"/>
        <v>0</v>
      </c>
      <c r="G354" s="23" t="str">
        <f t="shared" si="64"/>
        <v>00.000</v>
      </c>
      <c r="H354" s="1" t="str">
        <f t="shared" si="65"/>
        <v>0000.000</v>
      </c>
      <c r="I354">
        <f t="shared" si="66"/>
        <v>0</v>
      </c>
      <c r="J354" t="str">
        <f t="shared" si="67"/>
        <v>000</v>
      </c>
      <c r="K354">
        <f t="shared" si="68"/>
        <v>0</v>
      </c>
      <c r="L354">
        <f t="shared" si="69"/>
        <v>0</v>
      </c>
      <c r="M354" t="str">
        <f t="shared" si="70"/>
        <v>00.000</v>
      </c>
      <c r="N354" s="1" t="str">
        <f t="shared" si="71"/>
        <v>00000.000</v>
      </c>
      <c r="O354" t="str">
        <f>IF('Import OpenCPN'!W355&gt;0,"N","S")</f>
        <v>S</v>
      </c>
      <c r="P354" t="str">
        <f>IF('Import OpenCPN'!X355&gt;0,"E","W")</f>
        <v>W</v>
      </c>
    </row>
    <row r="355" spans="1:16" x14ac:dyDescent="0.2">
      <c r="A355">
        <f>'Import OpenCPN'!W356</f>
        <v>0</v>
      </c>
      <c r="B355">
        <f>'Import OpenCPN'!X356</f>
        <v>0</v>
      </c>
      <c r="C355">
        <f t="shared" si="60"/>
        <v>0</v>
      </c>
      <c r="D355" t="str">
        <f t="shared" si="61"/>
        <v>00</v>
      </c>
      <c r="E355">
        <f t="shared" si="62"/>
        <v>0</v>
      </c>
      <c r="F355">
        <f t="shared" si="63"/>
        <v>0</v>
      </c>
      <c r="G355" s="23" t="str">
        <f t="shared" si="64"/>
        <v>00.000</v>
      </c>
      <c r="H355" s="1" t="str">
        <f t="shared" si="65"/>
        <v>0000.000</v>
      </c>
      <c r="I355">
        <f t="shared" si="66"/>
        <v>0</v>
      </c>
      <c r="J355" t="str">
        <f t="shared" si="67"/>
        <v>000</v>
      </c>
      <c r="K355">
        <f t="shared" si="68"/>
        <v>0</v>
      </c>
      <c r="L355">
        <f t="shared" si="69"/>
        <v>0</v>
      </c>
      <c r="M355" t="str">
        <f t="shared" si="70"/>
        <v>00.000</v>
      </c>
      <c r="N355" s="1" t="str">
        <f t="shared" si="71"/>
        <v>00000.000</v>
      </c>
      <c r="O355" t="str">
        <f>IF('Import OpenCPN'!W356&gt;0,"N","S")</f>
        <v>S</v>
      </c>
      <c r="P355" t="str">
        <f>IF('Import OpenCPN'!X356&gt;0,"E","W")</f>
        <v>W</v>
      </c>
    </row>
    <row r="356" spans="1:16" x14ac:dyDescent="0.2">
      <c r="A356">
        <f>'Import OpenCPN'!W357</f>
        <v>0</v>
      </c>
      <c r="B356">
        <f>'Import OpenCPN'!X357</f>
        <v>0</v>
      </c>
      <c r="C356">
        <f t="shared" si="60"/>
        <v>0</v>
      </c>
      <c r="D356" t="str">
        <f t="shared" si="61"/>
        <v>00</v>
      </c>
      <c r="E356">
        <f t="shared" si="62"/>
        <v>0</v>
      </c>
      <c r="F356">
        <f t="shared" si="63"/>
        <v>0</v>
      </c>
      <c r="G356" s="23" t="str">
        <f t="shared" si="64"/>
        <v>00.000</v>
      </c>
      <c r="H356" s="1" t="str">
        <f t="shared" si="65"/>
        <v>0000.000</v>
      </c>
      <c r="I356">
        <f t="shared" si="66"/>
        <v>0</v>
      </c>
      <c r="J356" t="str">
        <f t="shared" si="67"/>
        <v>000</v>
      </c>
      <c r="K356">
        <f t="shared" si="68"/>
        <v>0</v>
      </c>
      <c r="L356">
        <f t="shared" si="69"/>
        <v>0</v>
      </c>
      <c r="M356" t="str">
        <f t="shared" si="70"/>
        <v>00.000</v>
      </c>
      <c r="N356" s="1" t="str">
        <f t="shared" si="71"/>
        <v>00000.000</v>
      </c>
      <c r="O356" t="str">
        <f>IF('Import OpenCPN'!W357&gt;0,"N","S")</f>
        <v>S</v>
      </c>
      <c r="P356" t="str">
        <f>IF('Import OpenCPN'!X357&gt;0,"E","W")</f>
        <v>W</v>
      </c>
    </row>
    <row r="357" spans="1:16" x14ac:dyDescent="0.2">
      <c r="A357">
        <f>'Import OpenCPN'!W358</f>
        <v>0</v>
      </c>
      <c r="B357">
        <f>'Import OpenCPN'!X358</f>
        <v>0</v>
      </c>
      <c r="C357">
        <f t="shared" si="60"/>
        <v>0</v>
      </c>
      <c r="D357" t="str">
        <f t="shared" si="61"/>
        <v>00</v>
      </c>
      <c r="E357">
        <f t="shared" si="62"/>
        <v>0</v>
      </c>
      <c r="F357">
        <f t="shared" si="63"/>
        <v>0</v>
      </c>
      <c r="G357" s="23" t="str">
        <f t="shared" si="64"/>
        <v>00.000</v>
      </c>
      <c r="H357" s="1" t="str">
        <f t="shared" si="65"/>
        <v>0000.000</v>
      </c>
      <c r="I357">
        <f t="shared" si="66"/>
        <v>0</v>
      </c>
      <c r="J357" t="str">
        <f t="shared" si="67"/>
        <v>000</v>
      </c>
      <c r="K357">
        <f t="shared" si="68"/>
        <v>0</v>
      </c>
      <c r="L357">
        <f t="shared" si="69"/>
        <v>0</v>
      </c>
      <c r="M357" t="str">
        <f t="shared" si="70"/>
        <v>00.000</v>
      </c>
      <c r="N357" s="1" t="str">
        <f t="shared" si="71"/>
        <v>00000.000</v>
      </c>
      <c r="O357" t="str">
        <f>IF('Import OpenCPN'!W358&gt;0,"N","S")</f>
        <v>S</v>
      </c>
      <c r="P357" t="str">
        <f>IF('Import OpenCPN'!X358&gt;0,"E","W")</f>
        <v>W</v>
      </c>
    </row>
    <row r="358" spans="1:16" x14ac:dyDescent="0.2">
      <c r="A358">
        <f>'Import OpenCPN'!W359</f>
        <v>0</v>
      </c>
      <c r="B358">
        <f>'Import OpenCPN'!X359</f>
        <v>0</v>
      </c>
      <c r="C358">
        <f t="shared" si="60"/>
        <v>0</v>
      </c>
      <c r="D358" t="str">
        <f t="shared" si="61"/>
        <v>00</v>
      </c>
      <c r="E358">
        <f t="shared" si="62"/>
        <v>0</v>
      </c>
      <c r="F358">
        <f t="shared" si="63"/>
        <v>0</v>
      </c>
      <c r="G358" s="23" t="str">
        <f t="shared" si="64"/>
        <v>00.000</v>
      </c>
      <c r="H358" s="1" t="str">
        <f t="shared" si="65"/>
        <v>0000.000</v>
      </c>
      <c r="I358">
        <f t="shared" si="66"/>
        <v>0</v>
      </c>
      <c r="J358" t="str">
        <f t="shared" si="67"/>
        <v>000</v>
      </c>
      <c r="K358">
        <f t="shared" si="68"/>
        <v>0</v>
      </c>
      <c r="L358">
        <f t="shared" si="69"/>
        <v>0</v>
      </c>
      <c r="M358" t="str">
        <f t="shared" si="70"/>
        <v>00.000</v>
      </c>
      <c r="N358" s="1" t="str">
        <f t="shared" si="71"/>
        <v>00000.000</v>
      </c>
      <c r="O358" t="str">
        <f>IF('Import OpenCPN'!W359&gt;0,"N","S")</f>
        <v>S</v>
      </c>
      <c r="P358" t="str">
        <f>IF('Import OpenCPN'!X359&gt;0,"E","W")</f>
        <v>W</v>
      </c>
    </row>
    <row r="359" spans="1:16" x14ac:dyDescent="0.2">
      <c r="A359">
        <f>'Import OpenCPN'!W360</f>
        <v>0</v>
      </c>
      <c r="B359">
        <f>'Import OpenCPN'!X360</f>
        <v>0</v>
      </c>
      <c r="C359">
        <f t="shared" si="60"/>
        <v>0</v>
      </c>
      <c r="D359" t="str">
        <f t="shared" si="61"/>
        <v>00</v>
      </c>
      <c r="E359">
        <f t="shared" si="62"/>
        <v>0</v>
      </c>
      <c r="F359">
        <f t="shared" si="63"/>
        <v>0</v>
      </c>
      <c r="G359" s="23" t="str">
        <f t="shared" si="64"/>
        <v>00.000</v>
      </c>
      <c r="H359" s="1" t="str">
        <f t="shared" si="65"/>
        <v>0000.000</v>
      </c>
      <c r="I359">
        <f t="shared" si="66"/>
        <v>0</v>
      </c>
      <c r="J359" t="str">
        <f t="shared" si="67"/>
        <v>000</v>
      </c>
      <c r="K359">
        <f t="shared" si="68"/>
        <v>0</v>
      </c>
      <c r="L359">
        <f t="shared" si="69"/>
        <v>0</v>
      </c>
      <c r="M359" t="str">
        <f t="shared" si="70"/>
        <v>00.000</v>
      </c>
      <c r="N359" s="1" t="str">
        <f t="shared" si="71"/>
        <v>00000.000</v>
      </c>
      <c r="O359" t="str">
        <f>IF('Import OpenCPN'!W360&gt;0,"N","S")</f>
        <v>S</v>
      </c>
      <c r="P359" t="str">
        <f>IF('Import OpenCPN'!X360&gt;0,"E","W")</f>
        <v>W</v>
      </c>
    </row>
    <row r="360" spans="1:16" x14ac:dyDescent="0.2">
      <c r="A360">
        <f>'Import OpenCPN'!W361</f>
        <v>0</v>
      </c>
      <c r="B360">
        <f>'Import OpenCPN'!X361</f>
        <v>0</v>
      </c>
      <c r="C360">
        <f t="shared" si="60"/>
        <v>0</v>
      </c>
      <c r="D360" t="str">
        <f t="shared" si="61"/>
        <v>00</v>
      </c>
      <c r="E360">
        <f t="shared" si="62"/>
        <v>0</v>
      </c>
      <c r="F360">
        <f t="shared" si="63"/>
        <v>0</v>
      </c>
      <c r="G360" s="23" t="str">
        <f t="shared" si="64"/>
        <v>00.000</v>
      </c>
      <c r="H360" s="1" t="str">
        <f t="shared" si="65"/>
        <v>0000.000</v>
      </c>
      <c r="I360">
        <f t="shared" si="66"/>
        <v>0</v>
      </c>
      <c r="J360" t="str">
        <f t="shared" si="67"/>
        <v>000</v>
      </c>
      <c r="K360">
        <f t="shared" si="68"/>
        <v>0</v>
      </c>
      <c r="L360">
        <f t="shared" si="69"/>
        <v>0</v>
      </c>
      <c r="M360" t="str">
        <f t="shared" si="70"/>
        <v>00.000</v>
      </c>
      <c r="N360" s="1" t="str">
        <f t="shared" si="71"/>
        <v>00000.000</v>
      </c>
      <c r="O360" t="str">
        <f>IF('Import OpenCPN'!W361&gt;0,"N","S")</f>
        <v>S</v>
      </c>
      <c r="P360" t="str">
        <f>IF('Import OpenCPN'!X361&gt;0,"E","W")</f>
        <v>W</v>
      </c>
    </row>
    <row r="361" spans="1:16" x14ac:dyDescent="0.2">
      <c r="A361">
        <f>'Import OpenCPN'!W362</f>
        <v>0</v>
      </c>
      <c r="B361">
        <f>'Import OpenCPN'!X362</f>
        <v>0</v>
      </c>
      <c r="C361">
        <f t="shared" si="60"/>
        <v>0</v>
      </c>
      <c r="D361" t="str">
        <f t="shared" si="61"/>
        <v>00</v>
      </c>
      <c r="E361">
        <f t="shared" si="62"/>
        <v>0</v>
      </c>
      <c r="F361">
        <f t="shared" si="63"/>
        <v>0</v>
      </c>
      <c r="G361" s="23" t="str">
        <f t="shared" si="64"/>
        <v>00.000</v>
      </c>
      <c r="H361" s="1" t="str">
        <f t="shared" si="65"/>
        <v>0000.000</v>
      </c>
      <c r="I361">
        <f t="shared" si="66"/>
        <v>0</v>
      </c>
      <c r="J361" t="str">
        <f t="shared" si="67"/>
        <v>000</v>
      </c>
      <c r="K361">
        <f t="shared" si="68"/>
        <v>0</v>
      </c>
      <c r="L361">
        <f t="shared" si="69"/>
        <v>0</v>
      </c>
      <c r="M361" t="str">
        <f t="shared" si="70"/>
        <v>00.000</v>
      </c>
      <c r="N361" s="1" t="str">
        <f t="shared" si="71"/>
        <v>00000.000</v>
      </c>
      <c r="O361" t="str">
        <f>IF('Import OpenCPN'!W362&gt;0,"N","S")</f>
        <v>S</v>
      </c>
      <c r="P361" t="str">
        <f>IF('Import OpenCPN'!X362&gt;0,"E","W")</f>
        <v>W</v>
      </c>
    </row>
    <row r="362" spans="1:16" x14ac:dyDescent="0.2">
      <c r="A362">
        <f>'Import OpenCPN'!W363</f>
        <v>0</v>
      </c>
      <c r="B362">
        <f>'Import OpenCPN'!X363</f>
        <v>0</v>
      </c>
      <c r="C362">
        <f t="shared" si="60"/>
        <v>0</v>
      </c>
      <c r="D362" t="str">
        <f t="shared" si="61"/>
        <v>00</v>
      </c>
      <c r="E362">
        <f t="shared" si="62"/>
        <v>0</v>
      </c>
      <c r="F362">
        <f t="shared" si="63"/>
        <v>0</v>
      </c>
      <c r="G362" s="23" t="str">
        <f t="shared" si="64"/>
        <v>00.000</v>
      </c>
      <c r="H362" s="1" t="str">
        <f t="shared" si="65"/>
        <v>0000.000</v>
      </c>
      <c r="I362">
        <f t="shared" si="66"/>
        <v>0</v>
      </c>
      <c r="J362" t="str">
        <f t="shared" si="67"/>
        <v>000</v>
      </c>
      <c r="K362">
        <f t="shared" si="68"/>
        <v>0</v>
      </c>
      <c r="L362">
        <f t="shared" si="69"/>
        <v>0</v>
      </c>
      <c r="M362" t="str">
        <f t="shared" si="70"/>
        <v>00.000</v>
      </c>
      <c r="N362" s="1" t="str">
        <f t="shared" si="71"/>
        <v>00000.000</v>
      </c>
      <c r="O362" t="str">
        <f>IF('Import OpenCPN'!W363&gt;0,"N","S")</f>
        <v>S</v>
      </c>
      <c r="P362" t="str">
        <f>IF('Import OpenCPN'!X363&gt;0,"E","W")</f>
        <v>W</v>
      </c>
    </row>
    <row r="363" spans="1:16" x14ac:dyDescent="0.2">
      <c r="A363">
        <f>'Import OpenCPN'!W364</f>
        <v>0</v>
      </c>
      <c r="B363">
        <f>'Import OpenCPN'!X364</f>
        <v>0</v>
      </c>
      <c r="C363">
        <f t="shared" si="60"/>
        <v>0</v>
      </c>
      <c r="D363" t="str">
        <f t="shared" si="61"/>
        <v>00</v>
      </c>
      <c r="E363">
        <f t="shared" si="62"/>
        <v>0</v>
      </c>
      <c r="F363">
        <f t="shared" si="63"/>
        <v>0</v>
      </c>
      <c r="G363" s="23" t="str">
        <f t="shared" si="64"/>
        <v>00.000</v>
      </c>
      <c r="H363" s="1" t="str">
        <f t="shared" si="65"/>
        <v>0000.000</v>
      </c>
      <c r="I363">
        <f t="shared" si="66"/>
        <v>0</v>
      </c>
      <c r="J363" t="str">
        <f t="shared" si="67"/>
        <v>000</v>
      </c>
      <c r="K363">
        <f t="shared" si="68"/>
        <v>0</v>
      </c>
      <c r="L363">
        <f t="shared" si="69"/>
        <v>0</v>
      </c>
      <c r="M363" t="str">
        <f t="shared" si="70"/>
        <v>00.000</v>
      </c>
      <c r="N363" s="1" t="str">
        <f t="shared" si="71"/>
        <v>00000.000</v>
      </c>
      <c r="O363" t="str">
        <f>IF('Import OpenCPN'!W364&gt;0,"N","S")</f>
        <v>S</v>
      </c>
      <c r="P363" t="str">
        <f>IF('Import OpenCPN'!X364&gt;0,"E","W")</f>
        <v>W</v>
      </c>
    </row>
    <row r="364" spans="1:16" x14ac:dyDescent="0.2">
      <c r="A364">
        <f>'Import OpenCPN'!W365</f>
        <v>0</v>
      </c>
      <c r="B364">
        <f>'Import OpenCPN'!X365</f>
        <v>0</v>
      </c>
      <c r="C364">
        <f t="shared" si="60"/>
        <v>0</v>
      </c>
      <c r="D364" t="str">
        <f t="shared" si="61"/>
        <v>00</v>
      </c>
      <c r="E364">
        <f t="shared" si="62"/>
        <v>0</v>
      </c>
      <c r="F364">
        <f t="shared" si="63"/>
        <v>0</v>
      </c>
      <c r="G364" s="23" t="str">
        <f t="shared" si="64"/>
        <v>00.000</v>
      </c>
      <c r="H364" s="1" t="str">
        <f t="shared" si="65"/>
        <v>0000.000</v>
      </c>
      <c r="I364">
        <f t="shared" si="66"/>
        <v>0</v>
      </c>
      <c r="J364" t="str">
        <f t="shared" si="67"/>
        <v>000</v>
      </c>
      <c r="K364">
        <f t="shared" si="68"/>
        <v>0</v>
      </c>
      <c r="L364">
        <f t="shared" si="69"/>
        <v>0</v>
      </c>
      <c r="M364" t="str">
        <f t="shared" si="70"/>
        <v>00.000</v>
      </c>
      <c r="N364" s="1" t="str">
        <f t="shared" si="71"/>
        <v>00000.000</v>
      </c>
      <c r="O364" t="str">
        <f>IF('Import OpenCPN'!W365&gt;0,"N","S")</f>
        <v>S</v>
      </c>
      <c r="P364" t="str">
        <f>IF('Import OpenCPN'!X365&gt;0,"E","W")</f>
        <v>W</v>
      </c>
    </row>
    <row r="365" spans="1:16" x14ac:dyDescent="0.2">
      <c r="A365">
        <f>'Import OpenCPN'!W366</f>
        <v>0</v>
      </c>
      <c r="B365">
        <f>'Import OpenCPN'!X366</f>
        <v>0</v>
      </c>
      <c r="C365">
        <f t="shared" si="60"/>
        <v>0</v>
      </c>
      <c r="D365" t="str">
        <f t="shared" si="61"/>
        <v>00</v>
      </c>
      <c r="E365">
        <f t="shared" si="62"/>
        <v>0</v>
      </c>
      <c r="F365">
        <f t="shared" si="63"/>
        <v>0</v>
      </c>
      <c r="G365" s="23" t="str">
        <f t="shared" si="64"/>
        <v>00.000</v>
      </c>
      <c r="H365" s="1" t="str">
        <f t="shared" si="65"/>
        <v>0000.000</v>
      </c>
      <c r="I365">
        <f t="shared" si="66"/>
        <v>0</v>
      </c>
      <c r="J365" t="str">
        <f t="shared" si="67"/>
        <v>000</v>
      </c>
      <c r="K365">
        <f t="shared" si="68"/>
        <v>0</v>
      </c>
      <c r="L365">
        <f t="shared" si="69"/>
        <v>0</v>
      </c>
      <c r="M365" t="str">
        <f t="shared" si="70"/>
        <v>00.000</v>
      </c>
      <c r="N365" s="1" t="str">
        <f t="shared" si="71"/>
        <v>00000.000</v>
      </c>
      <c r="O365" t="str">
        <f>IF('Import OpenCPN'!W366&gt;0,"N","S")</f>
        <v>S</v>
      </c>
      <c r="P365" t="str">
        <f>IF('Import OpenCPN'!X366&gt;0,"E","W")</f>
        <v>W</v>
      </c>
    </row>
    <row r="366" spans="1:16" x14ac:dyDescent="0.2">
      <c r="A366">
        <f>'Import OpenCPN'!W367</f>
        <v>0</v>
      </c>
      <c r="B366">
        <f>'Import OpenCPN'!X367</f>
        <v>0</v>
      </c>
      <c r="C366">
        <f t="shared" si="60"/>
        <v>0</v>
      </c>
      <c r="D366" t="str">
        <f t="shared" si="61"/>
        <v>00</v>
      </c>
      <c r="E366">
        <f t="shared" si="62"/>
        <v>0</v>
      </c>
      <c r="F366">
        <f t="shared" si="63"/>
        <v>0</v>
      </c>
      <c r="G366" s="23" t="str">
        <f t="shared" si="64"/>
        <v>00.000</v>
      </c>
      <c r="H366" s="1" t="str">
        <f t="shared" si="65"/>
        <v>0000.000</v>
      </c>
      <c r="I366">
        <f t="shared" si="66"/>
        <v>0</v>
      </c>
      <c r="J366" t="str">
        <f t="shared" si="67"/>
        <v>000</v>
      </c>
      <c r="K366">
        <f t="shared" si="68"/>
        <v>0</v>
      </c>
      <c r="L366">
        <f t="shared" si="69"/>
        <v>0</v>
      </c>
      <c r="M366" t="str">
        <f t="shared" si="70"/>
        <v>00.000</v>
      </c>
      <c r="N366" s="1" t="str">
        <f t="shared" si="71"/>
        <v>00000.000</v>
      </c>
      <c r="O366" t="str">
        <f>IF('Import OpenCPN'!W367&gt;0,"N","S")</f>
        <v>S</v>
      </c>
      <c r="P366" t="str">
        <f>IF('Import OpenCPN'!X367&gt;0,"E","W")</f>
        <v>W</v>
      </c>
    </row>
    <row r="367" spans="1:16" x14ac:dyDescent="0.2">
      <c r="A367">
        <f>'Import OpenCPN'!W368</f>
        <v>0</v>
      </c>
      <c r="B367">
        <f>'Import OpenCPN'!X368</f>
        <v>0</v>
      </c>
      <c r="C367">
        <f t="shared" si="60"/>
        <v>0</v>
      </c>
      <c r="D367" t="str">
        <f t="shared" si="61"/>
        <v>00</v>
      </c>
      <c r="E367">
        <f t="shared" si="62"/>
        <v>0</v>
      </c>
      <c r="F367">
        <f t="shared" si="63"/>
        <v>0</v>
      </c>
      <c r="G367" s="23" t="str">
        <f t="shared" si="64"/>
        <v>00.000</v>
      </c>
      <c r="H367" s="1" t="str">
        <f t="shared" si="65"/>
        <v>0000.000</v>
      </c>
      <c r="I367">
        <f t="shared" si="66"/>
        <v>0</v>
      </c>
      <c r="J367" t="str">
        <f t="shared" si="67"/>
        <v>000</v>
      </c>
      <c r="K367">
        <f t="shared" si="68"/>
        <v>0</v>
      </c>
      <c r="L367">
        <f t="shared" si="69"/>
        <v>0</v>
      </c>
      <c r="M367" t="str">
        <f t="shared" si="70"/>
        <v>00.000</v>
      </c>
      <c r="N367" s="1" t="str">
        <f t="shared" si="71"/>
        <v>00000.000</v>
      </c>
      <c r="O367" t="str">
        <f>IF('Import OpenCPN'!W368&gt;0,"N","S")</f>
        <v>S</v>
      </c>
      <c r="P367" t="str">
        <f>IF('Import OpenCPN'!X368&gt;0,"E","W")</f>
        <v>W</v>
      </c>
    </row>
    <row r="368" spans="1:16" x14ac:dyDescent="0.2">
      <c r="A368">
        <f>'Import OpenCPN'!W369</f>
        <v>0</v>
      </c>
      <c r="B368">
        <f>'Import OpenCPN'!X369</f>
        <v>0</v>
      </c>
      <c r="C368">
        <f t="shared" si="60"/>
        <v>0</v>
      </c>
      <c r="D368" t="str">
        <f t="shared" si="61"/>
        <v>00</v>
      </c>
      <c r="E368">
        <f t="shared" si="62"/>
        <v>0</v>
      </c>
      <c r="F368">
        <f t="shared" si="63"/>
        <v>0</v>
      </c>
      <c r="G368" s="23" t="str">
        <f t="shared" si="64"/>
        <v>00.000</v>
      </c>
      <c r="H368" s="1" t="str">
        <f t="shared" si="65"/>
        <v>0000.000</v>
      </c>
      <c r="I368">
        <f t="shared" si="66"/>
        <v>0</v>
      </c>
      <c r="J368" t="str">
        <f t="shared" si="67"/>
        <v>000</v>
      </c>
      <c r="K368">
        <f t="shared" si="68"/>
        <v>0</v>
      </c>
      <c r="L368">
        <f t="shared" si="69"/>
        <v>0</v>
      </c>
      <c r="M368" t="str">
        <f t="shared" si="70"/>
        <v>00.000</v>
      </c>
      <c r="N368" s="1" t="str">
        <f t="shared" si="71"/>
        <v>00000.000</v>
      </c>
      <c r="O368" t="str">
        <f>IF('Import OpenCPN'!W369&gt;0,"N","S")</f>
        <v>S</v>
      </c>
      <c r="P368" t="str">
        <f>IF('Import OpenCPN'!X369&gt;0,"E","W")</f>
        <v>W</v>
      </c>
    </row>
    <row r="369" spans="1:16" x14ac:dyDescent="0.2">
      <c r="A369">
        <f>'Import OpenCPN'!W370</f>
        <v>0</v>
      </c>
      <c r="B369">
        <f>'Import OpenCPN'!X370</f>
        <v>0</v>
      </c>
      <c r="C369">
        <f t="shared" si="60"/>
        <v>0</v>
      </c>
      <c r="D369" t="str">
        <f t="shared" si="61"/>
        <v>00</v>
      </c>
      <c r="E369">
        <f t="shared" si="62"/>
        <v>0</v>
      </c>
      <c r="F369">
        <f t="shared" si="63"/>
        <v>0</v>
      </c>
      <c r="G369" s="23" t="str">
        <f t="shared" si="64"/>
        <v>00.000</v>
      </c>
      <c r="H369" s="1" t="str">
        <f t="shared" si="65"/>
        <v>0000.000</v>
      </c>
      <c r="I369">
        <f t="shared" si="66"/>
        <v>0</v>
      </c>
      <c r="J369" t="str">
        <f t="shared" si="67"/>
        <v>000</v>
      </c>
      <c r="K369">
        <f t="shared" si="68"/>
        <v>0</v>
      </c>
      <c r="L369">
        <f t="shared" si="69"/>
        <v>0</v>
      </c>
      <c r="M369" t="str">
        <f t="shared" si="70"/>
        <v>00.000</v>
      </c>
      <c r="N369" s="1" t="str">
        <f t="shared" si="71"/>
        <v>00000.000</v>
      </c>
      <c r="O369" t="str">
        <f>IF('Import OpenCPN'!W370&gt;0,"N","S")</f>
        <v>S</v>
      </c>
      <c r="P369" t="str">
        <f>IF('Import OpenCPN'!X370&gt;0,"E","W")</f>
        <v>W</v>
      </c>
    </row>
    <row r="370" spans="1:16" x14ac:dyDescent="0.2">
      <c r="A370">
        <f>'Import OpenCPN'!W371</f>
        <v>0</v>
      </c>
      <c r="B370">
        <f>'Import OpenCPN'!X371</f>
        <v>0</v>
      </c>
      <c r="C370">
        <f t="shared" si="60"/>
        <v>0</v>
      </c>
      <c r="D370" t="str">
        <f t="shared" si="61"/>
        <v>00</v>
      </c>
      <c r="E370">
        <f t="shared" si="62"/>
        <v>0</v>
      </c>
      <c r="F370">
        <f t="shared" si="63"/>
        <v>0</v>
      </c>
      <c r="G370" s="23" t="str">
        <f t="shared" si="64"/>
        <v>00.000</v>
      </c>
      <c r="H370" s="1" t="str">
        <f t="shared" si="65"/>
        <v>0000.000</v>
      </c>
      <c r="I370">
        <f t="shared" si="66"/>
        <v>0</v>
      </c>
      <c r="J370" t="str">
        <f t="shared" si="67"/>
        <v>000</v>
      </c>
      <c r="K370">
        <f t="shared" si="68"/>
        <v>0</v>
      </c>
      <c r="L370">
        <f t="shared" si="69"/>
        <v>0</v>
      </c>
      <c r="M370" t="str">
        <f t="shared" si="70"/>
        <v>00.000</v>
      </c>
      <c r="N370" s="1" t="str">
        <f t="shared" si="71"/>
        <v>00000.000</v>
      </c>
      <c r="O370" t="str">
        <f>IF('Import OpenCPN'!W371&gt;0,"N","S")</f>
        <v>S</v>
      </c>
      <c r="P370" t="str">
        <f>IF('Import OpenCPN'!X371&gt;0,"E","W")</f>
        <v>W</v>
      </c>
    </row>
    <row r="371" spans="1:16" x14ac:dyDescent="0.2">
      <c r="A371">
        <f>'Import OpenCPN'!W372</f>
        <v>0</v>
      </c>
      <c r="B371">
        <f>'Import OpenCPN'!X372</f>
        <v>0</v>
      </c>
      <c r="C371">
        <f t="shared" si="60"/>
        <v>0</v>
      </c>
      <c r="D371" t="str">
        <f t="shared" si="61"/>
        <v>00</v>
      </c>
      <c r="E371">
        <f t="shared" si="62"/>
        <v>0</v>
      </c>
      <c r="F371">
        <f t="shared" si="63"/>
        <v>0</v>
      </c>
      <c r="G371" s="23" t="str">
        <f t="shared" si="64"/>
        <v>00.000</v>
      </c>
      <c r="H371" s="1" t="str">
        <f t="shared" si="65"/>
        <v>0000.000</v>
      </c>
      <c r="I371">
        <f t="shared" si="66"/>
        <v>0</v>
      </c>
      <c r="J371" t="str">
        <f t="shared" si="67"/>
        <v>000</v>
      </c>
      <c r="K371">
        <f t="shared" si="68"/>
        <v>0</v>
      </c>
      <c r="L371">
        <f t="shared" si="69"/>
        <v>0</v>
      </c>
      <c r="M371" t="str">
        <f t="shared" si="70"/>
        <v>00.000</v>
      </c>
      <c r="N371" s="1" t="str">
        <f t="shared" si="71"/>
        <v>00000.000</v>
      </c>
      <c r="O371" t="str">
        <f>IF('Import OpenCPN'!W372&gt;0,"N","S")</f>
        <v>S</v>
      </c>
      <c r="P371" t="str">
        <f>IF('Import OpenCPN'!X372&gt;0,"E","W")</f>
        <v>W</v>
      </c>
    </row>
    <row r="372" spans="1:16" x14ac:dyDescent="0.2">
      <c r="A372">
        <f>'Import OpenCPN'!W373</f>
        <v>0</v>
      </c>
      <c r="B372">
        <f>'Import OpenCPN'!X373</f>
        <v>0</v>
      </c>
      <c r="C372">
        <f t="shared" si="60"/>
        <v>0</v>
      </c>
      <c r="D372" t="str">
        <f t="shared" si="61"/>
        <v>00</v>
      </c>
      <c r="E372">
        <f t="shared" si="62"/>
        <v>0</v>
      </c>
      <c r="F372">
        <f t="shared" si="63"/>
        <v>0</v>
      </c>
      <c r="G372" s="23" t="str">
        <f t="shared" si="64"/>
        <v>00.000</v>
      </c>
      <c r="H372" s="1" t="str">
        <f t="shared" si="65"/>
        <v>0000.000</v>
      </c>
      <c r="I372">
        <f t="shared" si="66"/>
        <v>0</v>
      </c>
      <c r="J372" t="str">
        <f t="shared" si="67"/>
        <v>000</v>
      </c>
      <c r="K372">
        <f t="shared" si="68"/>
        <v>0</v>
      </c>
      <c r="L372">
        <f t="shared" si="69"/>
        <v>0</v>
      </c>
      <c r="M372" t="str">
        <f t="shared" si="70"/>
        <v>00.000</v>
      </c>
      <c r="N372" s="1" t="str">
        <f t="shared" si="71"/>
        <v>00000.000</v>
      </c>
      <c r="O372" t="str">
        <f>IF('Import OpenCPN'!W373&gt;0,"N","S")</f>
        <v>S</v>
      </c>
      <c r="P372" t="str">
        <f>IF('Import OpenCPN'!X373&gt;0,"E","W")</f>
        <v>W</v>
      </c>
    </row>
    <row r="373" spans="1:16" x14ac:dyDescent="0.2">
      <c r="A373">
        <f>'Import OpenCPN'!W374</f>
        <v>0</v>
      </c>
      <c r="B373">
        <f>'Import OpenCPN'!X374</f>
        <v>0</v>
      </c>
      <c r="C373">
        <f t="shared" si="60"/>
        <v>0</v>
      </c>
      <c r="D373" t="str">
        <f t="shared" si="61"/>
        <v>00</v>
      </c>
      <c r="E373">
        <f t="shared" si="62"/>
        <v>0</v>
      </c>
      <c r="F373">
        <f t="shared" si="63"/>
        <v>0</v>
      </c>
      <c r="G373" s="23" t="str">
        <f t="shared" si="64"/>
        <v>00.000</v>
      </c>
      <c r="H373" s="1" t="str">
        <f t="shared" si="65"/>
        <v>0000.000</v>
      </c>
      <c r="I373">
        <f t="shared" si="66"/>
        <v>0</v>
      </c>
      <c r="J373" t="str">
        <f t="shared" si="67"/>
        <v>000</v>
      </c>
      <c r="K373">
        <f t="shared" si="68"/>
        <v>0</v>
      </c>
      <c r="L373">
        <f t="shared" si="69"/>
        <v>0</v>
      </c>
      <c r="M373" t="str">
        <f t="shared" si="70"/>
        <v>00.000</v>
      </c>
      <c r="N373" s="1" t="str">
        <f t="shared" si="71"/>
        <v>00000.000</v>
      </c>
      <c r="O373" t="str">
        <f>IF('Import OpenCPN'!W374&gt;0,"N","S")</f>
        <v>S</v>
      </c>
      <c r="P373" t="str">
        <f>IF('Import OpenCPN'!X374&gt;0,"E","W")</f>
        <v>W</v>
      </c>
    </row>
    <row r="374" spans="1:16" x14ac:dyDescent="0.2">
      <c r="A374">
        <f>'Import OpenCPN'!W375</f>
        <v>0</v>
      </c>
      <c r="B374">
        <f>'Import OpenCPN'!X375</f>
        <v>0</v>
      </c>
      <c r="C374">
        <f t="shared" si="60"/>
        <v>0</v>
      </c>
      <c r="D374" t="str">
        <f t="shared" si="61"/>
        <v>00</v>
      </c>
      <c r="E374">
        <f t="shared" si="62"/>
        <v>0</v>
      </c>
      <c r="F374">
        <f t="shared" si="63"/>
        <v>0</v>
      </c>
      <c r="G374" s="23" t="str">
        <f t="shared" si="64"/>
        <v>00.000</v>
      </c>
      <c r="H374" s="1" t="str">
        <f t="shared" si="65"/>
        <v>0000.000</v>
      </c>
      <c r="I374">
        <f t="shared" si="66"/>
        <v>0</v>
      </c>
      <c r="J374" t="str">
        <f t="shared" si="67"/>
        <v>000</v>
      </c>
      <c r="K374">
        <f t="shared" si="68"/>
        <v>0</v>
      </c>
      <c r="L374">
        <f t="shared" si="69"/>
        <v>0</v>
      </c>
      <c r="M374" t="str">
        <f t="shared" si="70"/>
        <v>00.000</v>
      </c>
      <c r="N374" s="1" t="str">
        <f t="shared" si="71"/>
        <v>00000.000</v>
      </c>
      <c r="O374" t="str">
        <f>IF('Import OpenCPN'!W375&gt;0,"N","S")</f>
        <v>S</v>
      </c>
      <c r="P374" t="str">
        <f>IF('Import OpenCPN'!X375&gt;0,"E","W")</f>
        <v>W</v>
      </c>
    </row>
    <row r="375" spans="1:16" x14ac:dyDescent="0.2">
      <c r="A375">
        <f>'Import OpenCPN'!W376</f>
        <v>0</v>
      </c>
      <c r="B375">
        <f>'Import OpenCPN'!X376</f>
        <v>0</v>
      </c>
      <c r="C375">
        <f t="shared" si="60"/>
        <v>0</v>
      </c>
      <c r="D375" t="str">
        <f t="shared" si="61"/>
        <v>00</v>
      </c>
      <c r="E375">
        <f t="shared" si="62"/>
        <v>0</v>
      </c>
      <c r="F375">
        <f t="shared" si="63"/>
        <v>0</v>
      </c>
      <c r="G375" s="23" t="str">
        <f t="shared" si="64"/>
        <v>00.000</v>
      </c>
      <c r="H375" s="1" t="str">
        <f t="shared" si="65"/>
        <v>0000.000</v>
      </c>
      <c r="I375">
        <f t="shared" si="66"/>
        <v>0</v>
      </c>
      <c r="J375" t="str">
        <f t="shared" si="67"/>
        <v>000</v>
      </c>
      <c r="K375">
        <f t="shared" si="68"/>
        <v>0</v>
      </c>
      <c r="L375">
        <f t="shared" si="69"/>
        <v>0</v>
      </c>
      <c r="M375" t="str">
        <f t="shared" si="70"/>
        <v>00.000</v>
      </c>
      <c r="N375" s="1" t="str">
        <f t="shared" si="71"/>
        <v>00000.000</v>
      </c>
      <c r="O375" t="str">
        <f>IF('Import OpenCPN'!W376&gt;0,"N","S")</f>
        <v>S</v>
      </c>
      <c r="P375" t="str">
        <f>IF('Import OpenCPN'!X376&gt;0,"E","W")</f>
        <v>W</v>
      </c>
    </row>
    <row r="376" spans="1:16" x14ac:dyDescent="0.2">
      <c r="A376">
        <f>'Import OpenCPN'!W377</f>
        <v>0</v>
      </c>
      <c r="B376">
        <f>'Import OpenCPN'!X377</f>
        <v>0</v>
      </c>
      <c r="C376">
        <f t="shared" si="60"/>
        <v>0</v>
      </c>
      <c r="D376" t="str">
        <f t="shared" si="61"/>
        <v>00</v>
      </c>
      <c r="E376">
        <f t="shared" si="62"/>
        <v>0</v>
      </c>
      <c r="F376">
        <f t="shared" si="63"/>
        <v>0</v>
      </c>
      <c r="G376" s="23" t="str">
        <f t="shared" si="64"/>
        <v>00.000</v>
      </c>
      <c r="H376" s="1" t="str">
        <f t="shared" si="65"/>
        <v>0000.000</v>
      </c>
      <c r="I376">
        <f t="shared" si="66"/>
        <v>0</v>
      </c>
      <c r="J376" t="str">
        <f t="shared" si="67"/>
        <v>000</v>
      </c>
      <c r="K376">
        <f t="shared" si="68"/>
        <v>0</v>
      </c>
      <c r="L376">
        <f t="shared" si="69"/>
        <v>0</v>
      </c>
      <c r="M376" t="str">
        <f t="shared" si="70"/>
        <v>00.000</v>
      </c>
      <c r="N376" s="1" t="str">
        <f t="shared" si="71"/>
        <v>00000.000</v>
      </c>
      <c r="O376" t="str">
        <f>IF('Import OpenCPN'!W377&gt;0,"N","S")</f>
        <v>S</v>
      </c>
      <c r="P376" t="str">
        <f>IF('Import OpenCPN'!X377&gt;0,"E","W")</f>
        <v>W</v>
      </c>
    </row>
    <row r="377" spans="1:16" x14ac:dyDescent="0.2">
      <c r="A377">
        <f>'Import OpenCPN'!W378</f>
        <v>0</v>
      </c>
      <c r="B377">
        <f>'Import OpenCPN'!X378</f>
        <v>0</v>
      </c>
      <c r="C377">
        <f t="shared" si="60"/>
        <v>0</v>
      </c>
      <c r="D377" t="str">
        <f t="shared" si="61"/>
        <v>00</v>
      </c>
      <c r="E377">
        <f t="shared" si="62"/>
        <v>0</v>
      </c>
      <c r="F377">
        <f t="shared" si="63"/>
        <v>0</v>
      </c>
      <c r="G377" s="23" t="str">
        <f t="shared" si="64"/>
        <v>00.000</v>
      </c>
      <c r="H377" s="1" t="str">
        <f t="shared" si="65"/>
        <v>0000.000</v>
      </c>
      <c r="I377">
        <f t="shared" si="66"/>
        <v>0</v>
      </c>
      <c r="J377" t="str">
        <f t="shared" si="67"/>
        <v>000</v>
      </c>
      <c r="K377">
        <f t="shared" si="68"/>
        <v>0</v>
      </c>
      <c r="L377">
        <f t="shared" si="69"/>
        <v>0</v>
      </c>
      <c r="M377" t="str">
        <f t="shared" si="70"/>
        <v>00.000</v>
      </c>
      <c r="N377" s="1" t="str">
        <f t="shared" si="71"/>
        <v>00000.000</v>
      </c>
      <c r="O377" t="str">
        <f>IF('Import OpenCPN'!W378&gt;0,"N","S")</f>
        <v>S</v>
      </c>
      <c r="P377" t="str">
        <f>IF('Import OpenCPN'!X378&gt;0,"E","W")</f>
        <v>W</v>
      </c>
    </row>
    <row r="378" spans="1:16" x14ac:dyDescent="0.2">
      <c r="A378">
        <f>'Import OpenCPN'!W379</f>
        <v>0</v>
      </c>
      <c r="B378">
        <f>'Import OpenCPN'!X379</f>
        <v>0</v>
      </c>
      <c r="C378">
        <f t="shared" si="60"/>
        <v>0</v>
      </c>
      <c r="D378" t="str">
        <f t="shared" si="61"/>
        <v>00</v>
      </c>
      <c r="E378">
        <f t="shared" si="62"/>
        <v>0</v>
      </c>
      <c r="F378">
        <f t="shared" si="63"/>
        <v>0</v>
      </c>
      <c r="G378" s="23" t="str">
        <f t="shared" si="64"/>
        <v>00.000</v>
      </c>
      <c r="H378" s="1" t="str">
        <f t="shared" si="65"/>
        <v>0000.000</v>
      </c>
      <c r="I378">
        <f t="shared" si="66"/>
        <v>0</v>
      </c>
      <c r="J378" t="str">
        <f t="shared" si="67"/>
        <v>000</v>
      </c>
      <c r="K378">
        <f t="shared" si="68"/>
        <v>0</v>
      </c>
      <c r="L378">
        <f t="shared" si="69"/>
        <v>0</v>
      </c>
      <c r="M378" t="str">
        <f t="shared" si="70"/>
        <v>00.000</v>
      </c>
      <c r="N378" s="1" t="str">
        <f t="shared" si="71"/>
        <v>00000.000</v>
      </c>
      <c r="O378" t="str">
        <f>IF('Import OpenCPN'!W379&gt;0,"N","S")</f>
        <v>S</v>
      </c>
      <c r="P378" t="str">
        <f>IF('Import OpenCPN'!X379&gt;0,"E","W")</f>
        <v>W</v>
      </c>
    </row>
    <row r="379" spans="1:16" x14ac:dyDescent="0.2">
      <c r="A379">
        <f>'Import OpenCPN'!W380</f>
        <v>0</v>
      </c>
      <c r="B379">
        <f>'Import OpenCPN'!X380</f>
        <v>0</v>
      </c>
      <c r="C379">
        <f t="shared" si="60"/>
        <v>0</v>
      </c>
      <c r="D379" t="str">
        <f t="shared" si="61"/>
        <v>00</v>
      </c>
      <c r="E379">
        <f t="shared" si="62"/>
        <v>0</v>
      </c>
      <c r="F379">
        <f t="shared" si="63"/>
        <v>0</v>
      </c>
      <c r="G379" s="23" t="str">
        <f t="shared" si="64"/>
        <v>00.000</v>
      </c>
      <c r="H379" s="1" t="str">
        <f t="shared" si="65"/>
        <v>0000.000</v>
      </c>
      <c r="I379">
        <f t="shared" si="66"/>
        <v>0</v>
      </c>
      <c r="J379" t="str">
        <f t="shared" si="67"/>
        <v>000</v>
      </c>
      <c r="K379">
        <f t="shared" si="68"/>
        <v>0</v>
      </c>
      <c r="L379">
        <f t="shared" si="69"/>
        <v>0</v>
      </c>
      <c r="M379" t="str">
        <f t="shared" si="70"/>
        <v>00.000</v>
      </c>
      <c r="N379" s="1" t="str">
        <f t="shared" si="71"/>
        <v>00000.000</v>
      </c>
      <c r="O379" t="str">
        <f>IF('Import OpenCPN'!W380&gt;0,"N","S")</f>
        <v>S</v>
      </c>
      <c r="P379" t="str">
        <f>IF('Import OpenCPN'!X380&gt;0,"E","W")</f>
        <v>W</v>
      </c>
    </row>
    <row r="380" spans="1:16" x14ac:dyDescent="0.2">
      <c r="A380">
        <f>'Import OpenCPN'!W381</f>
        <v>0</v>
      </c>
      <c r="B380">
        <f>'Import OpenCPN'!X381</f>
        <v>0</v>
      </c>
      <c r="C380">
        <f t="shared" si="60"/>
        <v>0</v>
      </c>
      <c r="D380" t="str">
        <f t="shared" si="61"/>
        <v>00</v>
      </c>
      <c r="E380">
        <f t="shared" si="62"/>
        <v>0</v>
      </c>
      <c r="F380">
        <f t="shared" si="63"/>
        <v>0</v>
      </c>
      <c r="G380" s="23" t="str">
        <f t="shared" si="64"/>
        <v>00.000</v>
      </c>
      <c r="H380" s="1" t="str">
        <f t="shared" si="65"/>
        <v>0000.000</v>
      </c>
      <c r="I380">
        <f t="shared" si="66"/>
        <v>0</v>
      </c>
      <c r="J380" t="str">
        <f t="shared" si="67"/>
        <v>000</v>
      </c>
      <c r="K380">
        <f t="shared" si="68"/>
        <v>0</v>
      </c>
      <c r="L380">
        <f t="shared" si="69"/>
        <v>0</v>
      </c>
      <c r="M380" t="str">
        <f t="shared" si="70"/>
        <v>00.000</v>
      </c>
      <c r="N380" s="1" t="str">
        <f t="shared" si="71"/>
        <v>00000.000</v>
      </c>
      <c r="O380" t="str">
        <f>IF('Import OpenCPN'!W381&gt;0,"N","S")</f>
        <v>S</v>
      </c>
      <c r="P380" t="str">
        <f>IF('Import OpenCPN'!X381&gt;0,"E","W")</f>
        <v>W</v>
      </c>
    </row>
    <row r="381" spans="1:16" x14ac:dyDescent="0.2">
      <c r="A381">
        <f>'Import OpenCPN'!W382</f>
        <v>0</v>
      </c>
      <c r="B381">
        <f>'Import OpenCPN'!X382</f>
        <v>0</v>
      </c>
      <c r="C381">
        <f t="shared" si="60"/>
        <v>0</v>
      </c>
      <c r="D381" t="str">
        <f t="shared" si="61"/>
        <v>00</v>
      </c>
      <c r="E381">
        <f t="shared" si="62"/>
        <v>0</v>
      </c>
      <c r="F381">
        <f t="shared" si="63"/>
        <v>0</v>
      </c>
      <c r="G381" s="23" t="str">
        <f t="shared" si="64"/>
        <v>00.000</v>
      </c>
      <c r="H381" s="1" t="str">
        <f t="shared" si="65"/>
        <v>0000.000</v>
      </c>
      <c r="I381">
        <f t="shared" si="66"/>
        <v>0</v>
      </c>
      <c r="J381" t="str">
        <f t="shared" si="67"/>
        <v>000</v>
      </c>
      <c r="K381">
        <f t="shared" si="68"/>
        <v>0</v>
      </c>
      <c r="L381">
        <f t="shared" si="69"/>
        <v>0</v>
      </c>
      <c r="M381" t="str">
        <f t="shared" si="70"/>
        <v>00.000</v>
      </c>
      <c r="N381" s="1" t="str">
        <f t="shared" si="71"/>
        <v>00000.000</v>
      </c>
      <c r="O381" t="str">
        <f>IF('Import OpenCPN'!W382&gt;0,"N","S")</f>
        <v>S</v>
      </c>
      <c r="P381" t="str">
        <f>IF('Import OpenCPN'!X382&gt;0,"E","W")</f>
        <v>W</v>
      </c>
    </row>
    <row r="382" spans="1:16" x14ac:dyDescent="0.2">
      <c r="A382">
        <f>'Import OpenCPN'!W383</f>
        <v>0</v>
      </c>
      <c r="B382">
        <f>'Import OpenCPN'!X383</f>
        <v>0</v>
      </c>
      <c r="C382">
        <f t="shared" si="60"/>
        <v>0</v>
      </c>
      <c r="D382" t="str">
        <f t="shared" si="61"/>
        <v>00</v>
      </c>
      <c r="E382">
        <f t="shared" si="62"/>
        <v>0</v>
      </c>
      <c r="F382">
        <f t="shared" si="63"/>
        <v>0</v>
      </c>
      <c r="G382" s="23" t="str">
        <f t="shared" si="64"/>
        <v>00.000</v>
      </c>
      <c r="H382" s="1" t="str">
        <f t="shared" si="65"/>
        <v>0000.000</v>
      </c>
      <c r="I382">
        <f t="shared" si="66"/>
        <v>0</v>
      </c>
      <c r="J382" t="str">
        <f t="shared" si="67"/>
        <v>000</v>
      </c>
      <c r="K382">
        <f t="shared" si="68"/>
        <v>0</v>
      </c>
      <c r="L382">
        <f t="shared" si="69"/>
        <v>0</v>
      </c>
      <c r="M382" t="str">
        <f t="shared" si="70"/>
        <v>00.000</v>
      </c>
      <c r="N382" s="1" t="str">
        <f t="shared" si="71"/>
        <v>00000.000</v>
      </c>
      <c r="O382" t="str">
        <f>IF('Import OpenCPN'!W383&gt;0,"N","S")</f>
        <v>S</v>
      </c>
      <c r="P382" t="str">
        <f>IF('Import OpenCPN'!X383&gt;0,"E","W")</f>
        <v>W</v>
      </c>
    </row>
    <row r="383" spans="1:16" x14ac:dyDescent="0.2">
      <c r="A383">
        <f>'Import OpenCPN'!W384</f>
        <v>0</v>
      </c>
      <c r="B383">
        <f>'Import OpenCPN'!X384</f>
        <v>0</v>
      </c>
      <c r="C383">
        <f t="shared" si="60"/>
        <v>0</v>
      </c>
      <c r="D383" t="str">
        <f t="shared" si="61"/>
        <v>00</v>
      </c>
      <c r="E383">
        <f t="shared" si="62"/>
        <v>0</v>
      </c>
      <c r="F383">
        <f t="shared" si="63"/>
        <v>0</v>
      </c>
      <c r="G383" s="23" t="str">
        <f t="shared" si="64"/>
        <v>00.000</v>
      </c>
      <c r="H383" s="1" t="str">
        <f t="shared" si="65"/>
        <v>0000.000</v>
      </c>
      <c r="I383">
        <f t="shared" si="66"/>
        <v>0</v>
      </c>
      <c r="J383" t="str">
        <f t="shared" si="67"/>
        <v>000</v>
      </c>
      <c r="K383">
        <f t="shared" si="68"/>
        <v>0</v>
      </c>
      <c r="L383">
        <f t="shared" si="69"/>
        <v>0</v>
      </c>
      <c r="M383" t="str">
        <f t="shared" si="70"/>
        <v>00.000</v>
      </c>
      <c r="N383" s="1" t="str">
        <f t="shared" si="71"/>
        <v>00000.000</v>
      </c>
      <c r="O383" t="str">
        <f>IF('Import OpenCPN'!W384&gt;0,"N","S")</f>
        <v>S</v>
      </c>
      <c r="P383" t="str">
        <f>IF('Import OpenCPN'!X384&gt;0,"E","W")</f>
        <v>W</v>
      </c>
    </row>
    <row r="384" spans="1:16" x14ac:dyDescent="0.2">
      <c r="A384">
        <f>'Import OpenCPN'!W385</f>
        <v>0</v>
      </c>
      <c r="B384">
        <f>'Import OpenCPN'!X385</f>
        <v>0</v>
      </c>
      <c r="C384">
        <f t="shared" si="60"/>
        <v>0</v>
      </c>
      <c r="D384" t="str">
        <f t="shared" si="61"/>
        <v>00</v>
      </c>
      <c r="E384">
        <f t="shared" si="62"/>
        <v>0</v>
      </c>
      <c r="F384">
        <f t="shared" si="63"/>
        <v>0</v>
      </c>
      <c r="G384" s="23" t="str">
        <f t="shared" si="64"/>
        <v>00.000</v>
      </c>
      <c r="H384" s="1" t="str">
        <f t="shared" si="65"/>
        <v>0000.000</v>
      </c>
      <c r="I384">
        <f t="shared" si="66"/>
        <v>0</v>
      </c>
      <c r="J384" t="str">
        <f t="shared" si="67"/>
        <v>000</v>
      </c>
      <c r="K384">
        <f t="shared" si="68"/>
        <v>0</v>
      </c>
      <c r="L384">
        <f t="shared" si="69"/>
        <v>0</v>
      </c>
      <c r="M384" t="str">
        <f t="shared" si="70"/>
        <v>00.000</v>
      </c>
      <c r="N384" s="1" t="str">
        <f t="shared" si="71"/>
        <v>00000.000</v>
      </c>
      <c r="O384" t="str">
        <f>IF('Import OpenCPN'!W385&gt;0,"N","S")</f>
        <v>S</v>
      </c>
      <c r="P384" t="str">
        <f>IF('Import OpenCPN'!X385&gt;0,"E","W")</f>
        <v>W</v>
      </c>
    </row>
    <row r="385" spans="1:16" x14ac:dyDescent="0.2">
      <c r="A385">
        <f>'Import OpenCPN'!W386</f>
        <v>0</v>
      </c>
      <c r="B385">
        <f>'Import OpenCPN'!X386</f>
        <v>0</v>
      </c>
      <c r="C385">
        <f t="shared" si="60"/>
        <v>0</v>
      </c>
      <c r="D385" t="str">
        <f t="shared" si="61"/>
        <v>00</v>
      </c>
      <c r="E385">
        <f t="shared" si="62"/>
        <v>0</v>
      </c>
      <c r="F385">
        <f t="shared" si="63"/>
        <v>0</v>
      </c>
      <c r="G385" s="23" t="str">
        <f t="shared" si="64"/>
        <v>00.000</v>
      </c>
      <c r="H385" s="1" t="str">
        <f t="shared" si="65"/>
        <v>0000.000</v>
      </c>
      <c r="I385">
        <f t="shared" si="66"/>
        <v>0</v>
      </c>
      <c r="J385" t="str">
        <f t="shared" si="67"/>
        <v>000</v>
      </c>
      <c r="K385">
        <f t="shared" si="68"/>
        <v>0</v>
      </c>
      <c r="L385">
        <f t="shared" si="69"/>
        <v>0</v>
      </c>
      <c r="M385" t="str">
        <f t="shared" si="70"/>
        <v>00.000</v>
      </c>
      <c r="N385" s="1" t="str">
        <f t="shared" si="71"/>
        <v>00000.000</v>
      </c>
      <c r="O385" t="str">
        <f>IF('Import OpenCPN'!W386&gt;0,"N","S")</f>
        <v>S</v>
      </c>
      <c r="P385" t="str">
        <f>IF('Import OpenCPN'!X386&gt;0,"E","W")</f>
        <v>W</v>
      </c>
    </row>
    <row r="386" spans="1:16" x14ac:dyDescent="0.2">
      <c r="A386">
        <f>'Import OpenCPN'!W387</f>
        <v>0</v>
      </c>
      <c r="B386">
        <f>'Import OpenCPN'!X387</f>
        <v>0</v>
      </c>
      <c r="C386">
        <f t="shared" ref="C386:C449" si="72">ABS(TRUNC(A386,0))</f>
        <v>0</v>
      </c>
      <c r="D386" t="str">
        <f t="shared" ref="D386:D449" si="73">TEXT(C386,"00")</f>
        <v>00</v>
      </c>
      <c r="E386">
        <f t="shared" ref="E386:E449" si="74">ABS(A386)-C386</f>
        <v>0</v>
      </c>
      <c r="F386">
        <f t="shared" ref="F386:F449" si="75">E386*60</f>
        <v>0</v>
      </c>
      <c r="G386" s="23" t="str">
        <f t="shared" ref="G386:G449" si="76">TEXT(F386,"00.000")</f>
        <v>00.000</v>
      </c>
      <c r="H386" s="1" t="str">
        <f t="shared" ref="H386:H449" si="77">D386&amp;G386</f>
        <v>0000.000</v>
      </c>
      <c r="I386">
        <f t="shared" ref="I386:I449" si="78">ABS(TRUNC(B386,0))</f>
        <v>0</v>
      </c>
      <c r="J386" t="str">
        <f t="shared" ref="J386:J449" si="79">TEXT(I386,"000")</f>
        <v>000</v>
      </c>
      <c r="K386">
        <f t="shared" ref="K386:K449" si="80">ABS(B386)-I386</f>
        <v>0</v>
      </c>
      <c r="L386">
        <f t="shared" ref="L386:L449" si="81">K386*60</f>
        <v>0</v>
      </c>
      <c r="M386" t="str">
        <f t="shared" ref="M386:M449" si="82">TEXT(L386,"00.000")</f>
        <v>00.000</v>
      </c>
      <c r="N386" s="1" t="str">
        <f t="shared" ref="N386:N449" si="83">J386&amp;M386</f>
        <v>00000.000</v>
      </c>
      <c r="O386" t="str">
        <f>IF('Import OpenCPN'!W387&gt;0,"N","S")</f>
        <v>S</v>
      </c>
      <c r="P386" t="str">
        <f>IF('Import OpenCPN'!X387&gt;0,"E","W")</f>
        <v>W</v>
      </c>
    </row>
    <row r="387" spans="1:16" x14ac:dyDescent="0.2">
      <c r="A387">
        <f>'Import OpenCPN'!W388</f>
        <v>0</v>
      </c>
      <c r="B387">
        <f>'Import OpenCPN'!X388</f>
        <v>0</v>
      </c>
      <c r="C387">
        <f t="shared" si="72"/>
        <v>0</v>
      </c>
      <c r="D387" t="str">
        <f t="shared" si="73"/>
        <v>00</v>
      </c>
      <c r="E387">
        <f t="shared" si="74"/>
        <v>0</v>
      </c>
      <c r="F387">
        <f t="shared" si="75"/>
        <v>0</v>
      </c>
      <c r="G387" s="23" t="str">
        <f t="shared" si="76"/>
        <v>00.000</v>
      </c>
      <c r="H387" s="1" t="str">
        <f t="shared" si="77"/>
        <v>0000.000</v>
      </c>
      <c r="I387">
        <f t="shared" si="78"/>
        <v>0</v>
      </c>
      <c r="J387" t="str">
        <f t="shared" si="79"/>
        <v>000</v>
      </c>
      <c r="K387">
        <f t="shared" si="80"/>
        <v>0</v>
      </c>
      <c r="L387">
        <f t="shared" si="81"/>
        <v>0</v>
      </c>
      <c r="M387" t="str">
        <f t="shared" si="82"/>
        <v>00.000</v>
      </c>
      <c r="N387" s="1" t="str">
        <f t="shared" si="83"/>
        <v>00000.000</v>
      </c>
      <c r="O387" t="str">
        <f>IF('Import OpenCPN'!W388&gt;0,"N","S")</f>
        <v>S</v>
      </c>
      <c r="P387" t="str">
        <f>IF('Import OpenCPN'!X388&gt;0,"E","W")</f>
        <v>W</v>
      </c>
    </row>
    <row r="388" spans="1:16" x14ac:dyDescent="0.2">
      <c r="A388">
        <f>'Import OpenCPN'!W389</f>
        <v>0</v>
      </c>
      <c r="B388">
        <f>'Import OpenCPN'!X389</f>
        <v>0</v>
      </c>
      <c r="C388">
        <f t="shared" si="72"/>
        <v>0</v>
      </c>
      <c r="D388" t="str">
        <f t="shared" si="73"/>
        <v>00</v>
      </c>
      <c r="E388">
        <f t="shared" si="74"/>
        <v>0</v>
      </c>
      <c r="F388">
        <f t="shared" si="75"/>
        <v>0</v>
      </c>
      <c r="G388" s="23" t="str">
        <f t="shared" si="76"/>
        <v>00.000</v>
      </c>
      <c r="H388" s="1" t="str">
        <f t="shared" si="77"/>
        <v>0000.000</v>
      </c>
      <c r="I388">
        <f t="shared" si="78"/>
        <v>0</v>
      </c>
      <c r="J388" t="str">
        <f t="shared" si="79"/>
        <v>000</v>
      </c>
      <c r="K388">
        <f t="shared" si="80"/>
        <v>0</v>
      </c>
      <c r="L388">
        <f t="shared" si="81"/>
        <v>0</v>
      </c>
      <c r="M388" t="str">
        <f t="shared" si="82"/>
        <v>00.000</v>
      </c>
      <c r="N388" s="1" t="str">
        <f t="shared" si="83"/>
        <v>00000.000</v>
      </c>
      <c r="O388" t="str">
        <f>IF('Import OpenCPN'!W389&gt;0,"N","S")</f>
        <v>S</v>
      </c>
      <c r="P388" t="str">
        <f>IF('Import OpenCPN'!X389&gt;0,"E","W")</f>
        <v>W</v>
      </c>
    </row>
    <row r="389" spans="1:16" x14ac:dyDescent="0.2">
      <c r="A389">
        <f>'Import OpenCPN'!W390</f>
        <v>0</v>
      </c>
      <c r="B389">
        <f>'Import OpenCPN'!X390</f>
        <v>0</v>
      </c>
      <c r="C389">
        <f t="shared" si="72"/>
        <v>0</v>
      </c>
      <c r="D389" t="str">
        <f t="shared" si="73"/>
        <v>00</v>
      </c>
      <c r="E389">
        <f t="shared" si="74"/>
        <v>0</v>
      </c>
      <c r="F389">
        <f t="shared" si="75"/>
        <v>0</v>
      </c>
      <c r="G389" s="23" t="str">
        <f t="shared" si="76"/>
        <v>00.000</v>
      </c>
      <c r="H389" s="1" t="str">
        <f t="shared" si="77"/>
        <v>0000.000</v>
      </c>
      <c r="I389">
        <f t="shared" si="78"/>
        <v>0</v>
      </c>
      <c r="J389" t="str">
        <f t="shared" si="79"/>
        <v>000</v>
      </c>
      <c r="K389">
        <f t="shared" si="80"/>
        <v>0</v>
      </c>
      <c r="L389">
        <f t="shared" si="81"/>
        <v>0</v>
      </c>
      <c r="M389" t="str">
        <f t="shared" si="82"/>
        <v>00.000</v>
      </c>
      <c r="N389" s="1" t="str">
        <f t="shared" si="83"/>
        <v>00000.000</v>
      </c>
      <c r="O389" t="str">
        <f>IF('Import OpenCPN'!W390&gt;0,"N","S")</f>
        <v>S</v>
      </c>
      <c r="P389" t="str">
        <f>IF('Import OpenCPN'!X390&gt;0,"E","W")</f>
        <v>W</v>
      </c>
    </row>
    <row r="390" spans="1:16" x14ac:dyDescent="0.2">
      <c r="A390">
        <f>'Import OpenCPN'!W391</f>
        <v>0</v>
      </c>
      <c r="B390">
        <f>'Import OpenCPN'!X391</f>
        <v>0</v>
      </c>
      <c r="C390">
        <f t="shared" si="72"/>
        <v>0</v>
      </c>
      <c r="D390" t="str">
        <f t="shared" si="73"/>
        <v>00</v>
      </c>
      <c r="E390">
        <f t="shared" si="74"/>
        <v>0</v>
      </c>
      <c r="F390">
        <f t="shared" si="75"/>
        <v>0</v>
      </c>
      <c r="G390" s="23" t="str">
        <f t="shared" si="76"/>
        <v>00.000</v>
      </c>
      <c r="H390" s="1" t="str">
        <f t="shared" si="77"/>
        <v>0000.000</v>
      </c>
      <c r="I390">
        <f t="shared" si="78"/>
        <v>0</v>
      </c>
      <c r="J390" t="str">
        <f t="shared" si="79"/>
        <v>000</v>
      </c>
      <c r="K390">
        <f t="shared" si="80"/>
        <v>0</v>
      </c>
      <c r="L390">
        <f t="shared" si="81"/>
        <v>0</v>
      </c>
      <c r="M390" t="str">
        <f t="shared" si="82"/>
        <v>00.000</v>
      </c>
      <c r="N390" s="1" t="str">
        <f t="shared" si="83"/>
        <v>00000.000</v>
      </c>
      <c r="O390" t="str">
        <f>IF('Import OpenCPN'!W391&gt;0,"N","S")</f>
        <v>S</v>
      </c>
      <c r="P390" t="str">
        <f>IF('Import OpenCPN'!X391&gt;0,"E","W")</f>
        <v>W</v>
      </c>
    </row>
    <row r="391" spans="1:16" x14ac:dyDescent="0.2">
      <c r="A391">
        <f>'Import OpenCPN'!W392</f>
        <v>0</v>
      </c>
      <c r="B391">
        <f>'Import OpenCPN'!X392</f>
        <v>0</v>
      </c>
      <c r="C391">
        <f t="shared" si="72"/>
        <v>0</v>
      </c>
      <c r="D391" t="str">
        <f t="shared" si="73"/>
        <v>00</v>
      </c>
      <c r="E391">
        <f t="shared" si="74"/>
        <v>0</v>
      </c>
      <c r="F391">
        <f t="shared" si="75"/>
        <v>0</v>
      </c>
      <c r="G391" s="23" t="str">
        <f t="shared" si="76"/>
        <v>00.000</v>
      </c>
      <c r="H391" s="1" t="str">
        <f t="shared" si="77"/>
        <v>0000.000</v>
      </c>
      <c r="I391">
        <f t="shared" si="78"/>
        <v>0</v>
      </c>
      <c r="J391" t="str">
        <f t="shared" si="79"/>
        <v>000</v>
      </c>
      <c r="K391">
        <f t="shared" si="80"/>
        <v>0</v>
      </c>
      <c r="L391">
        <f t="shared" si="81"/>
        <v>0</v>
      </c>
      <c r="M391" t="str">
        <f t="shared" si="82"/>
        <v>00.000</v>
      </c>
      <c r="N391" s="1" t="str">
        <f t="shared" si="83"/>
        <v>00000.000</v>
      </c>
      <c r="O391" t="str">
        <f>IF('Import OpenCPN'!W392&gt;0,"N","S")</f>
        <v>S</v>
      </c>
      <c r="P391" t="str">
        <f>IF('Import OpenCPN'!X392&gt;0,"E","W")</f>
        <v>W</v>
      </c>
    </row>
    <row r="392" spans="1:16" x14ac:dyDescent="0.2">
      <c r="A392">
        <f>'Import OpenCPN'!W393</f>
        <v>0</v>
      </c>
      <c r="B392">
        <f>'Import OpenCPN'!X393</f>
        <v>0</v>
      </c>
      <c r="C392">
        <f t="shared" si="72"/>
        <v>0</v>
      </c>
      <c r="D392" t="str">
        <f t="shared" si="73"/>
        <v>00</v>
      </c>
      <c r="E392">
        <f t="shared" si="74"/>
        <v>0</v>
      </c>
      <c r="F392">
        <f t="shared" si="75"/>
        <v>0</v>
      </c>
      <c r="G392" s="23" t="str">
        <f t="shared" si="76"/>
        <v>00.000</v>
      </c>
      <c r="H392" s="1" t="str">
        <f t="shared" si="77"/>
        <v>0000.000</v>
      </c>
      <c r="I392">
        <f t="shared" si="78"/>
        <v>0</v>
      </c>
      <c r="J392" t="str">
        <f t="shared" si="79"/>
        <v>000</v>
      </c>
      <c r="K392">
        <f t="shared" si="80"/>
        <v>0</v>
      </c>
      <c r="L392">
        <f t="shared" si="81"/>
        <v>0</v>
      </c>
      <c r="M392" t="str">
        <f t="shared" si="82"/>
        <v>00.000</v>
      </c>
      <c r="N392" s="1" t="str">
        <f t="shared" si="83"/>
        <v>00000.000</v>
      </c>
      <c r="O392" t="str">
        <f>IF('Import OpenCPN'!W393&gt;0,"N","S")</f>
        <v>S</v>
      </c>
      <c r="P392" t="str">
        <f>IF('Import OpenCPN'!X393&gt;0,"E","W")</f>
        <v>W</v>
      </c>
    </row>
    <row r="393" spans="1:16" x14ac:dyDescent="0.2">
      <c r="A393">
        <f>'Import OpenCPN'!W394</f>
        <v>0</v>
      </c>
      <c r="B393">
        <f>'Import OpenCPN'!X394</f>
        <v>0</v>
      </c>
      <c r="C393">
        <f t="shared" si="72"/>
        <v>0</v>
      </c>
      <c r="D393" t="str">
        <f t="shared" si="73"/>
        <v>00</v>
      </c>
      <c r="E393">
        <f t="shared" si="74"/>
        <v>0</v>
      </c>
      <c r="F393">
        <f t="shared" si="75"/>
        <v>0</v>
      </c>
      <c r="G393" s="23" t="str">
        <f t="shared" si="76"/>
        <v>00.000</v>
      </c>
      <c r="H393" s="1" t="str">
        <f t="shared" si="77"/>
        <v>0000.000</v>
      </c>
      <c r="I393">
        <f t="shared" si="78"/>
        <v>0</v>
      </c>
      <c r="J393" t="str">
        <f t="shared" si="79"/>
        <v>000</v>
      </c>
      <c r="K393">
        <f t="shared" si="80"/>
        <v>0</v>
      </c>
      <c r="L393">
        <f t="shared" si="81"/>
        <v>0</v>
      </c>
      <c r="M393" t="str">
        <f t="shared" si="82"/>
        <v>00.000</v>
      </c>
      <c r="N393" s="1" t="str">
        <f t="shared" si="83"/>
        <v>00000.000</v>
      </c>
      <c r="O393" t="str">
        <f>IF('Import OpenCPN'!W394&gt;0,"N","S")</f>
        <v>S</v>
      </c>
      <c r="P393" t="str">
        <f>IF('Import OpenCPN'!X394&gt;0,"E","W")</f>
        <v>W</v>
      </c>
    </row>
    <row r="394" spans="1:16" x14ac:dyDescent="0.2">
      <c r="A394">
        <f>'Import OpenCPN'!W395</f>
        <v>0</v>
      </c>
      <c r="B394">
        <f>'Import OpenCPN'!X395</f>
        <v>0</v>
      </c>
      <c r="C394">
        <f t="shared" si="72"/>
        <v>0</v>
      </c>
      <c r="D394" t="str">
        <f t="shared" si="73"/>
        <v>00</v>
      </c>
      <c r="E394">
        <f t="shared" si="74"/>
        <v>0</v>
      </c>
      <c r="F394">
        <f t="shared" si="75"/>
        <v>0</v>
      </c>
      <c r="G394" s="23" t="str">
        <f t="shared" si="76"/>
        <v>00.000</v>
      </c>
      <c r="H394" s="1" t="str">
        <f t="shared" si="77"/>
        <v>0000.000</v>
      </c>
      <c r="I394">
        <f t="shared" si="78"/>
        <v>0</v>
      </c>
      <c r="J394" t="str">
        <f t="shared" si="79"/>
        <v>000</v>
      </c>
      <c r="K394">
        <f t="shared" si="80"/>
        <v>0</v>
      </c>
      <c r="L394">
        <f t="shared" si="81"/>
        <v>0</v>
      </c>
      <c r="M394" t="str">
        <f t="shared" si="82"/>
        <v>00.000</v>
      </c>
      <c r="N394" s="1" t="str">
        <f t="shared" si="83"/>
        <v>00000.000</v>
      </c>
      <c r="O394" t="str">
        <f>IF('Import OpenCPN'!W395&gt;0,"N","S")</f>
        <v>S</v>
      </c>
      <c r="P394" t="str">
        <f>IF('Import OpenCPN'!X395&gt;0,"E","W")</f>
        <v>W</v>
      </c>
    </row>
    <row r="395" spans="1:16" x14ac:dyDescent="0.2">
      <c r="A395">
        <f>'Import OpenCPN'!W396</f>
        <v>0</v>
      </c>
      <c r="B395">
        <f>'Import OpenCPN'!X396</f>
        <v>0</v>
      </c>
      <c r="C395">
        <f t="shared" si="72"/>
        <v>0</v>
      </c>
      <c r="D395" t="str">
        <f t="shared" si="73"/>
        <v>00</v>
      </c>
      <c r="E395">
        <f t="shared" si="74"/>
        <v>0</v>
      </c>
      <c r="F395">
        <f t="shared" si="75"/>
        <v>0</v>
      </c>
      <c r="G395" s="23" t="str">
        <f t="shared" si="76"/>
        <v>00.000</v>
      </c>
      <c r="H395" s="1" t="str">
        <f t="shared" si="77"/>
        <v>0000.000</v>
      </c>
      <c r="I395">
        <f t="shared" si="78"/>
        <v>0</v>
      </c>
      <c r="J395" t="str">
        <f t="shared" si="79"/>
        <v>000</v>
      </c>
      <c r="K395">
        <f t="shared" si="80"/>
        <v>0</v>
      </c>
      <c r="L395">
        <f t="shared" si="81"/>
        <v>0</v>
      </c>
      <c r="M395" t="str">
        <f t="shared" si="82"/>
        <v>00.000</v>
      </c>
      <c r="N395" s="1" t="str">
        <f t="shared" si="83"/>
        <v>00000.000</v>
      </c>
      <c r="O395" t="str">
        <f>IF('Import OpenCPN'!W396&gt;0,"N","S")</f>
        <v>S</v>
      </c>
      <c r="P395" t="str">
        <f>IF('Import OpenCPN'!X396&gt;0,"E","W")</f>
        <v>W</v>
      </c>
    </row>
    <row r="396" spans="1:16" x14ac:dyDescent="0.2">
      <c r="A396">
        <f>'Import OpenCPN'!W397</f>
        <v>0</v>
      </c>
      <c r="B396">
        <f>'Import OpenCPN'!X397</f>
        <v>0</v>
      </c>
      <c r="C396">
        <f t="shared" si="72"/>
        <v>0</v>
      </c>
      <c r="D396" t="str">
        <f t="shared" si="73"/>
        <v>00</v>
      </c>
      <c r="E396">
        <f t="shared" si="74"/>
        <v>0</v>
      </c>
      <c r="F396">
        <f t="shared" si="75"/>
        <v>0</v>
      </c>
      <c r="G396" s="23" t="str">
        <f t="shared" si="76"/>
        <v>00.000</v>
      </c>
      <c r="H396" s="1" t="str">
        <f t="shared" si="77"/>
        <v>0000.000</v>
      </c>
      <c r="I396">
        <f t="shared" si="78"/>
        <v>0</v>
      </c>
      <c r="J396" t="str">
        <f t="shared" si="79"/>
        <v>000</v>
      </c>
      <c r="K396">
        <f t="shared" si="80"/>
        <v>0</v>
      </c>
      <c r="L396">
        <f t="shared" si="81"/>
        <v>0</v>
      </c>
      <c r="M396" t="str">
        <f t="shared" si="82"/>
        <v>00.000</v>
      </c>
      <c r="N396" s="1" t="str">
        <f t="shared" si="83"/>
        <v>00000.000</v>
      </c>
      <c r="O396" t="str">
        <f>IF('Import OpenCPN'!W397&gt;0,"N","S")</f>
        <v>S</v>
      </c>
      <c r="P396" t="str">
        <f>IF('Import OpenCPN'!X397&gt;0,"E","W")</f>
        <v>W</v>
      </c>
    </row>
    <row r="397" spans="1:16" x14ac:dyDescent="0.2">
      <c r="A397">
        <f>'Import OpenCPN'!W398</f>
        <v>0</v>
      </c>
      <c r="B397">
        <f>'Import OpenCPN'!X398</f>
        <v>0</v>
      </c>
      <c r="C397">
        <f t="shared" si="72"/>
        <v>0</v>
      </c>
      <c r="D397" t="str">
        <f t="shared" si="73"/>
        <v>00</v>
      </c>
      <c r="E397">
        <f t="shared" si="74"/>
        <v>0</v>
      </c>
      <c r="F397">
        <f t="shared" si="75"/>
        <v>0</v>
      </c>
      <c r="G397" s="23" t="str">
        <f t="shared" si="76"/>
        <v>00.000</v>
      </c>
      <c r="H397" s="1" t="str">
        <f t="shared" si="77"/>
        <v>0000.000</v>
      </c>
      <c r="I397">
        <f t="shared" si="78"/>
        <v>0</v>
      </c>
      <c r="J397" t="str">
        <f t="shared" si="79"/>
        <v>000</v>
      </c>
      <c r="K397">
        <f t="shared" si="80"/>
        <v>0</v>
      </c>
      <c r="L397">
        <f t="shared" si="81"/>
        <v>0</v>
      </c>
      <c r="M397" t="str">
        <f t="shared" si="82"/>
        <v>00.000</v>
      </c>
      <c r="N397" s="1" t="str">
        <f t="shared" si="83"/>
        <v>00000.000</v>
      </c>
      <c r="O397" t="str">
        <f>IF('Import OpenCPN'!W398&gt;0,"N","S")</f>
        <v>S</v>
      </c>
      <c r="P397" t="str">
        <f>IF('Import OpenCPN'!X398&gt;0,"E","W")</f>
        <v>W</v>
      </c>
    </row>
    <row r="398" spans="1:16" x14ac:dyDescent="0.2">
      <c r="A398">
        <f>'Import OpenCPN'!W399</f>
        <v>0</v>
      </c>
      <c r="B398">
        <f>'Import OpenCPN'!X399</f>
        <v>0</v>
      </c>
      <c r="C398">
        <f t="shared" si="72"/>
        <v>0</v>
      </c>
      <c r="D398" t="str">
        <f t="shared" si="73"/>
        <v>00</v>
      </c>
      <c r="E398">
        <f t="shared" si="74"/>
        <v>0</v>
      </c>
      <c r="F398">
        <f t="shared" si="75"/>
        <v>0</v>
      </c>
      <c r="G398" s="23" t="str">
        <f t="shared" si="76"/>
        <v>00.000</v>
      </c>
      <c r="H398" s="1" t="str">
        <f t="shared" si="77"/>
        <v>0000.000</v>
      </c>
      <c r="I398">
        <f t="shared" si="78"/>
        <v>0</v>
      </c>
      <c r="J398" t="str">
        <f t="shared" si="79"/>
        <v>000</v>
      </c>
      <c r="K398">
        <f t="shared" si="80"/>
        <v>0</v>
      </c>
      <c r="L398">
        <f t="shared" si="81"/>
        <v>0</v>
      </c>
      <c r="M398" t="str">
        <f t="shared" si="82"/>
        <v>00.000</v>
      </c>
      <c r="N398" s="1" t="str">
        <f t="shared" si="83"/>
        <v>00000.000</v>
      </c>
      <c r="O398" t="str">
        <f>IF('Import OpenCPN'!W399&gt;0,"N","S")</f>
        <v>S</v>
      </c>
      <c r="P398" t="str">
        <f>IF('Import OpenCPN'!X399&gt;0,"E","W")</f>
        <v>W</v>
      </c>
    </row>
    <row r="399" spans="1:16" x14ac:dyDescent="0.2">
      <c r="A399">
        <f>'Import OpenCPN'!W400</f>
        <v>0</v>
      </c>
      <c r="B399">
        <f>'Import OpenCPN'!X400</f>
        <v>0</v>
      </c>
      <c r="C399">
        <f t="shared" si="72"/>
        <v>0</v>
      </c>
      <c r="D399" t="str">
        <f t="shared" si="73"/>
        <v>00</v>
      </c>
      <c r="E399">
        <f t="shared" si="74"/>
        <v>0</v>
      </c>
      <c r="F399">
        <f t="shared" si="75"/>
        <v>0</v>
      </c>
      <c r="G399" s="23" t="str">
        <f t="shared" si="76"/>
        <v>00.000</v>
      </c>
      <c r="H399" s="1" t="str">
        <f t="shared" si="77"/>
        <v>0000.000</v>
      </c>
      <c r="I399">
        <f t="shared" si="78"/>
        <v>0</v>
      </c>
      <c r="J399" t="str">
        <f t="shared" si="79"/>
        <v>000</v>
      </c>
      <c r="K399">
        <f t="shared" si="80"/>
        <v>0</v>
      </c>
      <c r="L399">
        <f t="shared" si="81"/>
        <v>0</v>
      </c>
      <c r="M399" t="str">
        <f t="shared" si="82"/>
        <v>00.000</v>
      </c>
      <c r="N399" s="1" t="str">
        <f t="shared" si="83"/>
        <v>00000.000</v>
      </c>
      <c r="O399" t="str">
        <f>IF('Import OpenCPN'!W400&gt;0,"N","S")</f>
        <v>S</v>
      </c>
      <c r="P399" t="str">
        <f>IF('Import OpenCPN'!X400&gt;0,"E","W")</f>
        <v>W</v>
      </c>
    </row>
    <row r="400" spans="1:16" x14ac:dyDescent="0.2">
      <c r="A400">
        <f>'Import OpenCPN'!W401</f>
        <v>0</v>
      </c>
      <c r="B400">
        <f>'Import OpenCPN'!X401</f>
        <v>0</v>
      </c>
      <c r="C400">
        <f t="shared" si="72"/>
        <v>0</v>
      </c>
      <c r="D400" t="str">
        <f t="shared" si="73"/>
        <v>00</v>
      </c>
      <c r="E400">
        <f t="shared" si="74"/>
        <v>0</v>
      </c>
      <c r="F400">
        <f t="shared" si="75"/>
        <v>0</v>
      </c>
      <c r="G400" s="23" t="str">
        <f t="shared" si="76"/>
        <v>00.000</v>
      </c>
      <c r="H400" s="1" t="str">
        <f t="shared" si="77"/>
        <v>0000.000</v>
      </c>
      <c r="I400">
        <f t="shared" si="78"/>
        <v>0</v>
      </c>
      <c r="J400" t="str">
        <f t="shared" si="79"/>
        <v>000</v>
      </c>
      <c r="K400">
        <f t="shared" si="80"/>
        <v>0</v>
      </c>
      <c r="L400">
        <f t="shared" si="81"/>
        <v>0</v>
      </c>
      <c r="M400" t="str">
        <f t="shared" si="82"/>
        <v>00.000</v>
      </c>
      <c r="N400" s="1" t="str">
        <f t="shared" si="83"/>
        <v>00000.000</v>
      </c>
      <c r="O400" t="str">
        <f>IF('Import OpenCPN'!W401&gt;0,"N","S")</f>
        <v>S</v>
      </c>
      <c r="P400" t="str">
        <f>IF('Import OpenCPN'!X401&gt;0,"E","W")</f>
        <v>W</v>
      </c>
    </row>
    <row r="401" spans="1:16" x14ac:dyDescent="0.2">
      <c r="A401">
        <f>'Import OpenCPN'!W402</f>
        <v>0</v>
      </c>
      <c r="B401">
        <f>'Import OpenCPN'!X402</f>
        <v>0</v>
      </c>
      <c r="C401">
        <f t="shared" si="72"/>
        <v>0</v>
      </c>
      <c r="D401" t="str">
        <f t="shared" si="73"/>
        <v>00</v>
      </c>
      <c r="E401">
        <f t="shared" si="74"/>
        <v>0</v>
      </c>
      <c r="F401">
        <f t="shared" si="75"/>
        <v>0</v>
      </c>
      <c r="G401" s="23" t="str">
        <f t="shared" si="76"/>
        <v>00.000</v>
      </c>
      <c r="H401" s="1" t="str">
        <f t="shared" si="77"/>
        <v>0000.000</v>
      </c>
      <c r="I401">
        <f t="shared" si="78"/>
        <v>0</v>
      </c>
      <c r="J401" t="str">
        <f t="shared" si="79"/>
        <v>000</v>
      </c>
      <c r="K401">
        <f t="shared" si="80"/>
        <v>0</v>
      </c>
      <c r="L401">
        <f t="shared" si="81"/>
        <v>0</v>
      </c>
      <c r="M401" t="str">
        <f t="shared" si="82"/>
        <v>00.000</v>
      </c>
      <c r="N401" s="1" t="str">
        <f t="shared" si="83"/>
        <v>00000.000</v>
      </c>
      <c r="O401" t="str">
        <f>IF('Import OpenCPN'!W402&gt;0,"N","S")</f>
        <v>S</v>
      </c>
      <c r="P401" t="str">
        <f>IF('Import OpenCPN'!X402&gt;0,"E","W")</f>
        <v>W</v>
      </c>
    </row>
    <row r="402" spans="1:16" x14ac:dyDescent="0.2">
      <c r="A402">
        <f>'Import OpenCPN'!W403</f>
        <v>0</v>
      </c>
      <c r="B402">
        <f>'Import OpenCPN'!X403</f>
        <v>0</v>
      </c>
      <c r="C402">
        <f t="shared" si="72"/>
        <v>0</v>
      </c>
      <c r="D402" t="str">
        <f t="shared" si="73"/>
        <v>00</v>
      </c>
      <c r="E402">
        <f t="shared" si="74"/>
        <v>0</v>
      </c>
      <c r="F402">
        <f t="shared" si="75"/>
        <v>0</v>
      </c>
      <c r="G402" s="23" t="str">
        <f t="shared" si="76"/>
        <v>00.000</v>
      </c>
      <c r="H402" s="1" t="str">
        <f t="shared" si="77"/>
        <v>0000.000</v>
      </c>
      <c r="I402">
        <f t="shared" si="78"/>
        <v>0</v>
      </c>
      <c r="J402" t="str">
        <f t="shared" si="79"/>
        <v>000</v>
      </c>
      <c r="K402">
        <f t="shared" si="80"/>
        <v>0</v>
      </c>
      <c r="L402">
        <f t="shared" si="81"/>
        <v>0</v>
      </c>
      <c r="M402" t="str">
        <f t="shared" si="82"/>
        <v>00.000</v>
      </c>
      <c r="N402" s="1" t="str">
        <f t="shared" si="83"/>
        <v>00000.000</v>
      </c>
      <c r="O402" t="str">
        <f>IF('Import OpenCPN'!W403&gt;0,"N","S")</f>
        <v>S</v>
      </c>
      <c r="P402" t="str">
        <f>IF('Import OpenCPN'!X403&gt;0,"E","W")</f>
        <v>W</v>
      </c>
    </row>
    <row r="403" spans="1:16" x14ac:dyDescent="0.2">
      <c r="A403">
        <f>'Import OpenCPN'!W404</f>
        <v>0</v>
      </c>
      <c r="B403">
        <f>'Import OpenCPN'!X404</f>
        <v>0</v>
      </c>
      <c r="C403">
        <f t="shared" si="72"/>
        <v>0</v>
      </c>
      <c r="D403" t="str">
        <f t="shared" si="73"/>
        <v>00</v>
      </c>
      <c r="E403">
        <f t="shared" si="74"/>
        <v>0</v>
      </c>
      <c r="F403">
        <f t="shared" si="75"/>
        <v>0</v>
      </c>
      <c r="G403" s="23" t="str">
        <f t="shared" si="76"/>
        <v>00.000</v>
      </c>
      <c r="H403" s="1" t="str">
        <f t="shared" si="77"/>
        <v>0000.000</v>
      </c>
      <c r="I403">
        <f t="shared" si="78"/>
        <v>0</v>
      </c>
      <c r="J403" t="str">
        <f t="shared" si="79"/>
        <v>000</v>
      </c>
      <c r="K403">
        <f t="shared" si="80"/>
        <v>0</v>
      </c>
      <c r="L403">
        <f t="shared" si="81"/>
        <v>0</v>
      </c>
      <c r="M403" t="str">
        <f t="shared" si="82"/>
        <v>00.000</v>
      </c>
      <c r="N403" s="1" t="str">
        <f t="shared" si="83"/>
        <v>00000.000</v>
      </c>
      <c r="O403" t="str">
        <f>IF('Import OpenCPN'!W404&gt;0,"N","S")</f>
        <v>S</v>
      </c>
      <c r="P403" t="str">
        <f>IF('Import OpenCPN'!X404&gt;0,"E","W")</f>
        <v>W</v>
      </c>
    </row>
    <row r="404" spans="1:16" x14ac:dyDescent="0.2">
      <c r="A404">
        <f>'Import OpenCPN'!W405</f>
        <v>0</v>
      </c>
      <c r="B404">
        <f>'Import OpenCPN'!X405</f>
        <v>0</v>
      </c>
      <c r="C404">
        <f t="shared" si="72"/>
        <v>0</v>
      </c>
      <c r="D404" t="str">
        <f t="shared" si="73"/>
        <v>00</v>
      </c>
      <c r="E404">
        <f t="shared" si="74"/>
        <v>0</v>
      </c>
      <c r="F404">
        <f t="shared" si="75"/>
        <v>0</v>
      </c>
      <c r="G404" s="23" t="str">
        <f t="shared" si="76"/>
        <v>00.000</v>
      </c>
      <c r="H404" s="1" t="str">
        <f t="shared" si="77"/>
        <v>0000.000</v>
      </c>
      <c r="I404">
        <f t="shared" si="78"/>
        <v>0</v>
      </c>
      <c r="J404" t="str">
        <f t="shared" si="79"/>
        <v>000</v>
      </c>
      <c r="K404">
        <f t="shared" si="80"/>
        <v>0</v>
      </c>
      <c r="L404">
        <f t="shared" si="81"/>
        <v>0</v>
      </c>
      <c r="M404" t="str">
        <f t="shared" si="82"/>
        <v>00.000</v>
      </c>
      <c r="N404" s="1" t="str">
        <f t="shared" si="83"/>
        <v>00000.000</v>
      </c>
      <c r="O404" t="str">
        <f>IF('Import OpenCPN'!W405&gt;0,"N","S")</f>
        <v>S</v>
      </c>
      <c r="P404" t="str">
        <f>IF('Import OpenCPN'!X405&gt;0,"E","W")</f>
        <v>W</v>
      </c>
    </row>
    <row r="405" spans="1:16" x14ac:dyDescent="0.2">
      <c r="A405">
        <f>'Import OpenCPN'!W406</f>
        <v>0</v>
      </c>
      <c r="B405">
        <f>'Import OpenCPN'!X406</f>
        <v>0</v>
      </c>
      <c r="C405">
        <f t="shared" si="72"/>
        <v>0</v>
      </c>
      <c r="D405" t="str">
        <f t="shared" si="73"/>
        <v>00</v>
      </c>
      <c r="E405">
        <f t="shared" si="74"/>
        <v>0</v>
      </c>
      <c r="F405">
        <f t="shared" si="75"/>
        <v>0</v>
      </c>
      <c r="G405" s="23" t="str">
        <f t="shared" si="76"/>
        <v>00.000</v>
      </c>
      <c r="H405" s="1" t="str">
        <f t="shared" si="77"/>
        <v>0000.000</v>
      </c>
      <c r="I405">
        <f t="shared" si="78"/>
        <v>0</v>
      </c>
      <c r="J405" t="str">
        <f t="shared" si="79"/>
        <v>000</v>
      </c>
      <c r="K405">
        <f t="shared" si="80"/>
        <v>0</v>
      </c>
      <c r="L405">
        <f t="shared" si="81"/>
        <v>0</v>
      </c>
      <c r="M405" t="str">
        <f t="shared" si="82"/>
        <v>00.000</v>
      </c>
      <c r="N405" s="1" t="str">
        <f t="shared" si="83"/>
        <v>00000.000</v>
      </c>
      <c r="O405" t="str">
        <f>IF('Import OpenCPN'!W406&gt;0,"N","S")</f>
        <v>S</v>
      </c>
      <c r="P405" t="str">
        <f>IF('Import OpenCPN'!X406&gt;0,"E","W")</f>
        <v>W</v>
      </c>
    </row>
    <row r="406" spans="1:16" x14ac:dyDescent="0.2">
      <c r="A406">
        <f>'Import OpenCPN'!W407</f>
        <v>0</v>
      </c>
      <c r="B406">
        <f>'Import OpenCPN'!X407</f>
        <v>0</v>
      </c>
      <c r="C406">
        <f t="shared" si="72"/>
        <v>0</v>
      </c>
      <c r="D406" t="str">
        <f t="shared" si="73"/>
        <v>00</v>
      </c>
      <c r="E406">
        <f t="shared" si="74"/>
        <v>0</v>
      </c>
      <c r="F406">
        <f t="shared" si="75"/>
        <v>0</v>
      </c>
      <c r="G406" s="23" t="str">
        <f t="shared" si="76"/>
        <v>00.000</v>
      </c>
      <c r="H406" s="1" t="str">
        <f t="shared" si="77"/>
        <v>0000.000</v>
      </c>
      <c r="I406">
        <f t="shared" si="78"/>
        <v>0</v>
      </c>
      <c r="J406" t="str">
        <f t="shared" si="79"/>
        <v>000</v>
      </c>
      <c r="K406">
        <f t="shared" si="80"/>
        <v>0</v>
      </c>
      <c r="L406">
        <f t="shared" si="81"/>
        <v>0</v>
      </c>
      <c r="M406" t="str">
        <f t="shared" si="82"/>
        <v>00.000</v>
      </c>
      <c r="N406" s="1" t="str">
        <f t="shared" si="83"/>
        <v>00000.000</v>
      </c>
      <c r="O406" t="str">
        <f>IF('Import OpenCPN'!W407&gt;0,"N","S")</f>
        <v>S</v>
      </c>
      <c r="P406" t="str">
        <f>IF('Import OpenCPN'!X407&gt;0,"E","W")</f>
        <v>W</v>
      </c>
    </row>
    <row r="407" spans="1:16" x14ac:dyDescent="0.2">
      <c r="A407">
        <f>'Import OpenCPN'!W408</f>
        <v>0</v>
      </c>
      <c r="B407">
        <f>'Import OpenCPN'!X408</f>
        <v>0</v>
      </c>
      <c r="C407">
        <f t="shared" si="72"/>
        <v>0</v>
      </c>
      <c r="D407" t="str">
        <f t="shared" si="73"/>
        <v>00</v>
      </c>
      <c r="E407">
        <f t="shared" si="74"/>
        <v>0</v>
      </c>
      <c r="F407">
        <f t="shared" si="75"/>
        <v>0</v>
      </c>
      <c r="G407" s="23" t="str">
        <f t="shared" si="76"/>
        <v>00.000</v>
      </c>
      <c r="H407" s="1" t="str">
        <f t="shared" si="77"/>
        <v>0000.000</v>
      </c>
      <c r="I407">
        <f t="shared" si="78"/>
        <v>0</v>
      </c>
      <c r="J407" t="str">
        <f t="shared" si="79"/>
        <v>000</v>
      </c>
      <c r="K407">
        <f t="shared" si="80"/>
        <v>0</v>
      </c>
      <c r="L407">
        <f t="shared" si="81"/>
        <v>0</v>
      </c>
      <c r="M407" t="str">
        <f t="shared" si="82"/>
        <v>00.000</v>
      </c>
      <c r="N407" s="1" t="str">
        <f t="shared" si="83"/>
        <v>00000.000</v>
      </c>
      <c r="O407" t="str">
        <f>IF('Import OpenCPN'!W408&gt;0,"N","S")</f>
        <v>S</v>
      </c>
      <c r="P407" t="str">
        <f>IF('Import OpenCPN'!X408&gt;0,"E","W")</f>
        <v>W</v>
      </c>
    </row>
    <row r="408" spans="1:16" x14ac:dyDescent="0.2">
      <c r="A408">
        <f>'Import OpenCPN'!W409</f>
        <v>0</v>
      </c>
      <c r="B408">
        <f>'Import OpenCPN'!X409</f>
        <v>0</v>
      </c>
      <c r="C408">
        <f t="shared" si="72"/>
        <v>0</v>
      </c>
      <c r="D408" t="str">
        <f t="shared" si="73"/>
        <v>00</v>
      </c>
      <c r="E408">
        <f t="shared" si="74"/>
        <v>0</v>
      </c>
      <c r="F408">
        <f t="shared" si="75"/>
        <v>0</v>
      </c>
      <c r="G408" s="23" t="str">
        <f t="shared" si="76"/>
        <v>00.000</v>
      </c>
      <c r="H408" s="1" t="str">
        <f t="shared" si="77"/>
        <v>0000.000</v>
      </c>
      <c r="I408">
        <f t="shared" si="78"/>
        <v>0</v>
      </c>
      <c r="J408" t="str">
        <f t="shared" si="79"/>
        <v>000</v>
      </c>
      <c r="K408">
        <f t="shared" si="80"/>
        <v>0</v>
      </c>
      <c r="L408">
        <f t="shared" si="81"/>
        <v>0</v>
      </c>
      <c r="M408" t="str">
        <f t="shared" si="82"/>
        <v>00.000</v>
      </c>
      <c r="N408" s="1" t="str">
        <f t="shared" si="83"/>
        <v>00000.000</v>
      </c>
      <c r="O408" t="str">
        <f>IF('Import OpenCPN'!W409&gt;0,"N","S")</f>
        <v>S</v>
      </c>
      <c r="P408" t="str">
        <f>IF('Import OpenCPN'!X409&gt;0,"E","W")</f>
        <v>W</v>
      </c>
    </row>
    <row r="409" spans="1:16" x14ac:dyDescent="0.2">
      <c r="A409">
        <f>'Import OpenCPN'!W410</f>
        <v>0</v>
      </c>
      <c r="B409">
        <f>'Import OpenCPN'!X410</f>
        <v>0</v>
      </c>
      <c r="C409">
        <f t="shared" si="72"/>
        <v>0</v>
      </c>
      <c r="D409" t="str">
        <f t="shared" si="73"/>
        <v>00</v>
      </c>
      <c r="E409">
        <f t="shared" si="74"/>
        <v>0</v>
      </c>
      <c r="F409">
        <f t="shared" si="75"/>
        <v>0</v>
      </c>
      <c r="G409" s="23" t="str">
        <f t="shared" si="76"/>
        <v>00.000</v>
      </c>
      <c r="H409" s="1" t="str">
        <f t="shared" si="77"/>
        <v>0000.000</v>
      </c>
      <c r="I409">
        <f t="shared" si="78"/>
        <v>0</v>
      </c>
      <c r="J409" t="str">
        <f t="shared" si="79"/>
        <v>000</v>
      </c>
      <c r="K409">
        <f t="shared" si="80"/>
        <v>0</v>
      </c>
      <c r="L409">
        <f t="shared" si="81"/>
        <v>0</v>
      </c>
      <c r="M409" t="str">
        <f t="shared" si="82"/>
        <v>00.000</v>
      </c>
      <c r="N409" s="1" t="str">
        <f t="shared" si="83"/>
        <v>00000.000</v>
      </c>
      <c r="O409" t="str">
        <f>IF('Import OpenCPN'!W410&gt;0,"N","S")</f>
        <v>S</v>
      </c>
      <c r="P409" t="str">
        <f>IF('Import OpenCPN'!X410&gt;0,"E","W")</f>
        <v>W</v>
      </c>
    </row>
    <row r="410" spans="1:16" x14ac:dyDescent="0.2">
      <c r="A410">
        <f>'Import OpenCPN'!W411</f>
        <v>0</v>
      </c>
      <c r="B410">
        <f>'Import OpenCPN'!X411</f>
        <v>0</v>
      </c>
      <c r="C410">
        <f t="shared" si="72"/>
        <v>0</v>
      </c>
      <c r="D410" t="str">
        <f t="shared" si="73"/>
        <v>00</v>
      </c>
      <c r="E410">
        <f t="shared" si="74"/>
        <v>0</v>
      </c>
      <c r="F410">
        <f t="shared" si="75"/>
        <v>0</v>
      </c>
      <c r="G410" s="23" t="str">
        <f t="shared" si="76"/>
        <v>00.000</v>
      </c>
      <c r="H410" s="1" t="str">
        <f t="shared" si="77"/>
        <v>0000.000</v>
      </c>
      <c r="I410">
        <f t="shared" si="78"/>
        <v>0</v>
      </c>
      <c r="J410" t="str">
        <f t="shared" si="79"/>
        <v>000</v>
      </c>
      <c r="K410">
        <f t="shared" si="80"/>
        <v>0</v>
      </c>
      <c r="L410">
        <f t="shared" si="81"/>
        <v>0</v>
      </c>
      <c r="M410" t="str">
        <f t="shared" si="82"/>
        <v>00.000</v>
      </c>
      <c r="N410" s="1" t="str">
        <f t="shared" si="83"/>
        <v>00000.000</v>
      </c>
      <c r="O410" t="str">
        <f>IF('Import OpenCPN'!W411&gt;0,"N","S")</f>
        <v>S</v>
      </c>
      <c r="P410" t="str">
        <f>IF('Import OpenCPN'!X411&gt;0,"E","W")</f>
        <v>W</v>
      </c>
    </row>
    <row r="411" spans="1:16" x14ac:dyDescent="0.2">
      <c r="A411">
        <f>'Import OpenCPN'!W412</f>
        <v>0</v>
      </c>
      <c r="B411">
        <f>'Import OpenCPN'!X412</f>
        <v>0</v>
      </c>
      <c r="C411">
        <f t="shared" si="72"/>
        <v>0</v>
      </c>
      <c r="D411" t="str">
        <f t="shared" si="73"/>
        <v>00</v>
      </c>
      <c r="E411">
        <f t="shared" si="74"/>
        <v>0</v>
      </c>
      <c r="F411">
        <f t="shared" si="75"/>
        <v>0</v>
      </c>
      <c r="G411" s="23" t="str">
        <f t="shared" si="76"/>
        <v>00.000</v>
      </c>
      <c r="H411" s="1" t="str">
        <f t="shared" si="77"/>
        <v>0000.000</v>
      </c>
      <c r="I411">
        <f t="shared" si="78"/>
        <v>0</v>
      </c>
      <c r="J411" t="str">
        <f t="shared" si="79"/>
        <v>000</v>
      </c>
      <c r="K411">
        <f t="shared" si="80"/>
        <v>0</v>
      </c>
      <c r="L411">
        <f t="shared" si="81"/>
        <v>0</v>
      </c>
      <c r="M411" t="str">
        <f t="shared" si="82"/>
        <v>00.000</v>
      </c>
      <c r="N411" s="1" t="str">
        <f t="shared" si="83"/>
        <v>00000.000</v>
      </c>
      <c r="O411" t="str">
        <f>IF('Import OpenCPN'!W412&gt;0,"N","S")</f>
        <v>S</v>
      </c>
      <c r="P411" t="str">
        <f>IF('Import OpenCPN'!X412&gt;0,"E","W")</f>
        <v>W</v>
      </c>
    </row>
    <row r="412" spans="1:16" x14ac:dyDescent="0.2">
      <c r="A412">
        <f>'Import OpenCPN'!W413</f>
        <v>0</v>
      </c>
      <c r="B412">
        <f>'Import OpenCPN'!X413</f>
        <v>0</v>
      </c>
      <c r="C412">
        <f t="shared" si="72"/>
        <v>0</v>
      </c>
      <c r="D412" t="str">
        <f t="shared" si="73"/>
        <v>00</v>
      </c>
      <c r="E412">
        <f t="shared" si="74"/>
        <v>0</v>
      </c>
      <c r="F412">
        <f t="shared" si="75"/>
        <v>0</v>
      </c>
      <c r="G412" s="23" t="str">
        <f t="shared" si="76"/>
        <v>00.000</v>
      </c>
      <c r="H412" s="1" t="str">
        <f t="shared" si="77"/>
        <v>0000.000</v>
      </c>
      <c r="I412">
        <f t="shared" si="78"/>
        <v>0</v>
      </c>
      <c r="J412" t="str">
        <f t="shared" si="79"/>
        <v>000</v>
      </c>
      <c r="K412">
        <f t="shared" si="80"/>
        <v>0</v>
      </c>
      <c r="L412">
        <f t="shared" si="81"/>
        <v>0</v>
      </c>
      <c r="M412" t="str">
        <f t="shared" si="82"/>
        <v>00.000</v>
      </c>
      <c r="N412" s="1" t="str">
        <f t="shared" si="83"/>
        <v>00000.000</v>
      </c>
      <c r="O412" t="str">
        <f>IF('Import OpenCPN'!W413&gt;0,"N","S")</f>
        <v>S</v>
      </c>
      <c r="P412" t="str">
        <f>IF('Import OpenCPN'!X413&gt;0,"E","W")</f>
        <v>W</v>
      </c>
    </row>
    <row r="413" spans="1:16" x14ac:dyDescent="0.2">
      <c r="A413">
        <f>'Import OpenCPN'!W414</f>
        <v>0</v>
      </c>
      <c r="B413">
        <f>'Import OpenCPN'!X414</f>
        <v>0</v>
      </c>
      <c r="C413">
        <f t="shared" si="72"/>
        <v>0</v>
      </c>
      <c r="D413" t="str">
        <f t="shared" si="73"/>
        <v>00</v>
      </c>
      <c r="E413">
        <f t="shared" si="74"/>
        <v>0</v>
      </c>
      <c r="F413">
        <f t="shared" si="75"/>
        <v>0</v>
      </c>
      <c r="G413" s="23" t="str">
        <f t="shared" si="76"/>
        <v>00.000</v>
      </c>
      <c r="H413" s="1" t="str">
        <f t="shared" si="77"/>
        <v>0000.000</v>
      </c>
      <c r="I413">
        <f t="shared" si="78"/>
        <v>0</v>
      </c>
      <c r="J413" t="str">
        <f t="shared" si="79"/>
        <v>000</v>
      </c>
      <c r="K413">
        <f t="shared" si="80"/>
        <v>0</v>
      </c>
      <c r="L413">
        <f t="shared" si="81"/>
        <v>0</v>
      </c>
      <c r="M413" t="str">
        <f t="shared" si="82"/>
        <v>00.000</v>
      </c>
      <c r="N413" s="1" t="str">
        <f t="shared" si="83"/>
        <v>00000.000</v>
      </c>
      <c r="O413" t="str">
        <f>IF('Import OpenCPN'!W414&gt;0,"N","S")</f>
        <v>S</v>
      </c>
      <c r="P413" t="str">
        <f>IF('Import OpenCPN'!X414&gt;0,"E","W")</f>
        <v>W</v>
      </c>
    </row>
    <row r="414" spans="1:16" x14ac:dyDescent="0.2">
      <c r="A414">
        <f>'Import OpenCPN'!W415</f>
        <v>0</v>
      </c>
      <c r="B414">
        <f>'Import OpenCPN'!X415</f>
        <v>0</v>
      </c>
      <c r="C414">
        <f t="shared" si="72"/>
        <v>0</v>
      </c>
      <c r="D414" t="str">
        <f t="shared" si="73"/>
        <v>00</v>
      </c>
      <c r="E414">
        <f t="shared" si="74"/>
        <v>0</v>
      </c>
      <c r="F414">
        <f t="shared" si="75"/>
        <v>0</v>
      </c>
      <c r="G414" s="23" t="str">
        <f t="shared" si="76"/>
        <v>00.000</v>
      </c>
      <c r="H414" s="1" t="str">
        <f t="shared" si="77"/>
        <v>0000.000</v>
      </c>
      <c r="I414">
        <f t="shared" si="78"/>
        <v>0</v>
      </c>
      <c r="J414" t="str">
        <f t="shared" si="79"/>
        <v>000</v>
      </c>
      <c r="K414">
        <f t="shared" si="80"/>
        <v>0</v>
      </c>
      <c r="L414">
        <f t="shared" si="81"/>
        <v>0</v>
      </c>
      <c r="M414" t="str">
        <f t="shared" si="82"/>
        <v>00.000</v>
      </c>
      <c r="N414" s="1" t="str">
        <f t="shared" si="83"/>
        <v>00000.000</v>
      </c>
      <c r="O414" t="str">
        <f>IF('Import OpenCPN'!W415&gt;0,"N","S")</f>
        <v>S</v>
      </c>
      <c r="P414" t="str">
        <f>IF('Import OpenCPN'!X415&gt;0,"E","W")</f>
        <v>W</v>
      </c>
    </row>
    <row r="415" spans="1:16" x14ac:dyDescent="0.2">
      <c r="A415">
        <f>'Import OpenCPN'!W416</f>
        <v>0</v>
      </c>
      <c r="B415">
        <f>'Import OpenCPN'!X416</f>
        <v>0</v>
      </c>
      <c r="C415">
        <f t="shared" si="72"/>
        <v>0</v>
      </c>
      <c r="D415" t="str">
        <f t="shared" si="73"/>
        <v>00</v>
      </c>
      <c r="E415">
        <f t="shared" si="74"/>
        <v>0</v>
      </c>
      <c r="F415">
        <f t="shared" si="75"/>
        <v>0</v>
      </c>
      <c r="G415" s="23" t="str">
        <f t="shared" si="76"/>
        <v>00.000</v>
      </c>
      <c r="H415" s="1" t="str">
        <f t="shared" si="77"/>
        <v>0000.000</v>
      </c>
      <c r="I415">
        <f t="shared" si="78"/>
        <v>0</v>
      </c>
      <c r="J415" t="str">
        <f t="shared" si="79"/>
        <v>000</v>
      </c>
      <c r="K415">
        <f t="shared" si="80"/>
        <v>0</v>
      </c>
      <c r="L415">
        <f t="shared" si="81"/>
        <v>0</v>
      </c>
      <c r="M415" t="str">
        <f t="shared" si="82"/>
        <v>00.000</v>
      </c>
      <c r="N415" s="1" t="str">
        <f t="shared" si="83"/>
        <v>00000.000</v>
      </c>
      <c r="O415" t="str">
        <f>IF('Import OpenCPN'!W416&gt;0,"N","S")</f>
        <v>S</v>
      </c>
      <c r="P415" t="str">
        <f>IF('Import OpenCPN'!X416&gt;0,"E","W")</f>
        <v>W</v>
      </c>
    </row>
    <row r="416" spans="1:16" x14ac:dyDescent="0.2">
      <c r="A416">
        <f>'Import OpenCPN'!W417</f>
        <v>0</v>
      </c>
      <c r="B416">
        <f>'Import OpenCPN'!X417</f>
        <v>0</v>
      </c>
      <c r="C416">
        <f t="shared" si="72"/>
        <v>0</v>
      </c>
      <c r="D416" t="str">
        <f t="shared" si="73"/>
        <v>00</v>
      </c>
      <c r="E416">
        <f t="shared" si="74"/>
        <v>0</v>
      </c>
      <c r="F416">
        <f t="shared" si="75"/>
        <v>0</v>
      </c>
      <c r="G416" s="23" t="str">
        <f t="shared" si="76"/>
        <v>00.000</v>
      </c>
      <c r="H416" s="1" t="str">
        <f t="shared" si="77"/>
        <v>0000.000</v>
      </c>
      <c r="I416">
        <f t="shared" si="78"/>
        <v>0</v>
      </c>
      <c r="J416" t="str">
        <f t="shared" si="79"/>
        <v>000</v>
      </c>
      <c r="K416">
        <f t="shared" si="80"/>
        <v>0</v>
      </c>
      <c r="L416">
        <f t="shared" si="81"/>
        <v>0</v>
      </c>
      <c r="M416" t="str">
        <f t="shared" si="82"/>
        <v>00.000</v>
      </c>
      <c r="N416" s="1" t="str">
        <f t="shared" si="83"/>
        <v>00000.000</v>
      </c>
      <c r="O416" t="str">
        <f>IF('Import OpenCPN'!W417&gt;0,"N","S")</f>
        <v>S</v>
      </c>
      <c r="P416" t="str">
        <f>IF('Import OpenCPN'!X417&gt;0,"E","W")</f>
        <v>W</v>
      </c>
    </row>
    <row r="417" spans="1:16" x14ac:dyDescent="0.2">
      <c r="A417">
        <f>'Import OpenCPN'!W418</f>
        <v>0</v>
      </c>
      <c r="B417">
        <f>'Import OpenCPN'!X418</f>
        <v>0</v>
      </c>
      <c r="C417">
        <f t="shared" si="72"/>
        <v>0</v>
      </c>
      <c r="D417" t="str">
        <f t="shared" si="73"/>
        <v>00</v>
      </c>
      <c r="E417">
        <f t="shared" si="74"/>
        <v>0</v>
      </c>
      <c r="F417">
        <f t="shared" si="75"/>
        <v>0</v>
      </c>
      <c r="G417" s="23" t="str">
        <f t="shared" si="76"/>
        <v>00.000</v>
      </c>
      <c r="H417" s="1" t="str">
        <f t="shared" si="77"/>
        <v>0000.000</v>
      </c>
      <c r="I417">
        <f t="shared" si="78"/>
        <v>0</v>
      </c>
      <c r="J417" t="str">
        <f t="shared" si="79"/>
        <v>000</v>
      </c>
      <c r="K417">
        <f t="shared" si="80"/>
        <v>0</v>
      </c>
      <c r="L417">
        <f t="shared" si="81"/>
        <v>0</v>
      </c>
      <c r="M417" t="str">
        <f t="shared" si="82"/>
        <v>00.000</v>
      </c>
      <c r="N417" s="1" t="str">
        <f t="shared" si="83"/>
        <v>00000.000</v>
      </c>
      <c r="O417" t="str">
        <f>IF('Import OpenCPN'!W418&gt;0,"N","S")</f>
        <v>S</v>
      </c>
      <c r="P417" t="str">
        <f>IF('Import OpenCPN'!X418&gt;0,"E","W")</f>
        <v>W</v>
      </c>
    </row>
    <row r="418" spans="1:16" x14ac:dyDescent="0.2">
      <c r="A418">
        <f>'Import OpenCPN'!W419</f>
        <v>0</v>
      </c>
      <c r="B418">
        <f>'Import OpenCPN'!X419</f>
        <v>0</v>
      </c>
      <c r="C418">
        <f t="shared" si="72"/>
        <v>0</v>
      </c>
      <c r="D418" t="str">
        <f t="shared" si="73"/>
        <v>00</v>
      </c>
      <c r="E418">
        <f t="shared" si="74"/>
        <v>0</v>
      </c>
      <c r="F418">
        <f t="shared" si="75"/>
        <v>0</v>
      </c>
      <c r="G418" s="23" t="str">
        <f t="shared" si="76"/>
        <v>00.000</v>
      </c>
      <c r="H418" s="1" t="str">
        <f t="shared" si="77"/>
        <v>0000.000</v>
      </c>
      <c r="I418">
        <f t="shared" si="78"/>
        <v>0</v>
      </c>
      <c r="J418" t="str">
        <f t="shared" si="79"/>
        <v>000</v>
      </c>
      <c r="K418">
        <f t="shared" si="80"/>
        <v>0</v>
      </c>
      <c r="L418">
        <f t="shared" si="81"/>
        <v>0</v>
      </c>
      <c r="M418" t="str">
        <f t="shared" si="82"/>
        <v>00.000</v>
      </c>
      <c r="N418" s="1" t="str">
        <f t="shared" si="83"/>
        <v>00000.000</v>
      </c>
      <c r="O418" t="str">
        <f>IF('Import OpenCPN'!W419&gt;0,"N","S")</f>
        <v>S</v>
      </c>
      <c r="P418" t="str">
        <f>IF('Import OpenCPN'!X419&gt;0,"E","W")</f>
        <v>W</v>
      </c>
    </row>
    <row r="419" spans="1:16" x14ac:dyDescent="0.2">
      <c r="A419">
        <f>'Import OpenCPN'!W420</f>
        <v>0</v>
      </c>
      <c r="B419">
        <f>'Import OpenCPN'!X420</f>
        <v>0</v>
      </c>
      <c r="C419">
        <f t="shared" si="72"/>
        <v>0</v>
      </c>
      <c r="D419" t="str">
        <f t="shared" si="73"/>
        <v>00</v>
      </c>
      <c r="E419">
        <f t="shared" si="74"/>
        <v>0</v>
      </c>
      <c r="F419">
        <f t="shared" si="75"/>
        <v>0</v>
      </c>
      <c r="G419" s="23" t="str">
        <f t="shared" si="76"/>
        <v>00.000</v>
      </c>
      <c r="H419" s="1" t="str">
        <f t="shared" si="77"/>
        <v>0000.000</v>
      </c>
      <c r="I419">
        <f t="shared" si="78"/>
        <v>0</v>
      </c>
      <c r="J419" t="str">
        <f t="shared" si="79"/>
        <v>000</v>
      </c>
      <c r="K419">
        <f t="shared" si="80"/>
        <v>0</v>
      </c>
      <c r="L419">
        <f t="shared" si="81"/>
        <v>0</v>
      </c>
      <c r="M419" t="str">
        <f t="shared" si="82"/>
        <v>00.000</v>
      </c>
      <c r="N419" s="1" t="str">
        <f t="shared" si="83"/>
        <v>00000.000</v>
      </c>
      <c r="O419" t="str">
        <f>IF('Import OpenCPN'!W420&gt;0,"N","S")</f>
        <v>S</v>
      </c>
      <c r="P419" t="str">
        <f>IF('Import OpenCPN'!X420&gt;0,"E","W")</f>
        <v>W</v>
      </c>
    </row>
    <row r="420" spans="1:16" x14ac:dyDescent="0.2">
      <c r="A420">
        <f>'Import OpenCPN'!W421</f>
        <v>0</v>
      </c>
      <c r="B420">
        <f>'Import OpenCPN'!X421</f>
        <v>0</v>
      </c>
      <c r="C420">
        <f t="shared" si="72"/>
        <v>0</v>
      </c>
      <c r="D420" t="str">
        <f t="shared" si="73"/>
        <v>00</v>
      </c>
      <c r="E420">
        <f t="shared" si="74"/>
        <v>0</v>
      </c>
      <c r="F420">
        <f t="shared" si="75"/>
        <v>0</v>
      </c>
      <c r="G420" s="23" t="str">
        <f t="shared" si="76"/>
        <v>00.000</v>
      </c>
      <c r="H420" s="1" t="str">
        <f t="shared" si="77"/>
        <v>0000.000</v>
      </c>
      <c r="I420">
        <f t="shared" si="78"/>
        <v>0</v>
      </c>
      <c r="J420" t="str">
        <f t="shared" si="79"/>
        <v>000</v>
      </c>
      <c r="K420">
        <f t="shared" si="80"/>
        <v>0</v>
      </c>
      <c r="L420">
        <f t="shared" si="81"/>
        <v>0</v>
      </c>
      <c r="M420" t="str">
        <f t="shared" si="82"/>
        <v>00.000</v>
      </c>
      <c r="N420" s="1" t="str">
        <f t="shared" si="83"/>
        <v>00000.000</v>
      </c>
      <c r="O420" t="str">
        <f>IF('Import OpenCPN'!W421&gt;0,"N","S")</f>
        <v>S</v>
      </c>
      <c r="P420" t="str">
        <f>IF('Import OpenCPN'!X421&gt;0,"E","W")</f>
        <v>W</v>
      </c>
    </row>
    <row r="421" spans="1:16" x14ac:dyDescent="0.2">
      <c r="A421">
        <f>'Import OpenCPN'!W422</f>
        <v>0</v>
      </c>
      <c r="B421">
        <f>'Import OpenCPN'!X422</f>
        <v>0</v>
      </c>
      <c r="C421">
        <f t="shared" si="72"/>
        <v>0</v>
      </c>
      <c r="D421" t="str">
        <f t="shared" si="73"/>
        <v>00</v>
      </c>
      <c r="E421">
        <f t="shared" si="74"/>
        <v>0</v>
      </c>
      <c r="F421">
        <f t="shared" si="75"/>
        <v>0</v>
      </c>
      <c r="G421" s="23" t="str">
        <f t="shared" si="76"/>
        <v>00.000</v>
      </c>
      <c r="H421" s="1" t="str">
        <f t="shared" si="77"/>
        <v>0000.000</v>
      </c>
      <c r="I421">
        <f t="shared" si="78"/>
        <v>0</v>
      </c>
      <c r="J421" t="str">
        <f t="shared" si="79"/>
        <v>000</v>
      </c>
      <c r="K421">
        <f t="shared" si="80"/>
        <v>0</v>
      </c>
      <c r="L421">
        <f t="shared" si="81"/>
        <v>0</v>
      </c>
      <c r="M421" t="str">
        <f t="shared" si="82"/>
        <v>00.000</v>
      </c>
      <c r="N421" s="1" t="str">
        <f t="shared" si="83"/>
        <v>00000.000</v>
      </c>
      <c r="O421" t="str">
        <f>IF('Import OpenCPN'!W422&gt;0,"N","S")</f>
        <v>S</v>
      </c>
      <c r="P421" t="str">
        <f>IF('Import OpenCPN'!X422&gt;0,"E","W")</f>
        <v>W</v>
      </c>
    </row>
    <row r="422" spans="1:16" x14ac:dyDescent="0.2">
      <c r="A422">
        <f>'Import OpenCPN'!W423</f>
        <v>0</v>
      </c>
      <c r="B422">
        <f>'Import OpenCPN'!X423</f>
        <v>0</v>
      </c>
      <c r="C422">
        <f t="shared" si="72"/>
        <v>0</v>
      </c>
      <c r="D422" t="str">
        <f t="shared" si="73"/>
        <v>00</v>
      </c>
      <c r="E422">
        <f t="shared" si="74"/>
        <v>0</v>
      </c>
      <c r="F422">
        <f t="shared" si="75"/>
        <v>0</v>
      </c>
      <c r="G422" s="23" t="str">
        <f t="shared" si="76"/>
        <v>00.000</v>
      </c>
      <c r="H422" s="1" t="str">
        <f t="shared" si="77"/>
        <v>0000.000</v>
      </c>
      <c r="I422">
        <f t="shared" si="78"/>
        <v>0</v>
      </c>
      <c r="J422" t="str">
        <f t="shared" si="79"/>
        <v>000</v>
      </c>
      <c r="K422">
        <f t="shared" si="80"/>
        <v>0</v>
      </c>
      <c r="L422">
        <f t="shared" si="81"/>
        <v>0</v>
      </c>
      <c r="M422" t="str">
        <f t="shared" si="82"/>
        <v>00.000</v>
      </c>
      <c r="N422" s="1" t="str">
        <f t="shared" si="83"/>
        <v>00000.000</v>
      </c>
      <c r="O422" t="str">
        <f>IF('Import OpenCPN'!W423&gt;0,"N","S")</f>
        <v>S</v>
      </c>
      <c r="P422" t="str">
        <f>IF('Import OpenCPN'!X423&gt;0,"E","W")</f>
        <v>W</v>
      </c>
    </row>
    <row r="423" spans="1:16" x14ac:dyDescent="0.2">
      <c r="A423">
        <f>'Import OpenCPN'!W424</f>
        <v>0</v>
      </c>
      <c r="B423">
        <f>'Import OpenCPN'!X424</f>
        <v>0</v>
      </c>
      <c r="C423">
        <f t="shared" si="72"/>
        <v>0</v>
      </c>
      <c r="D423" t="str">
        <f t="shared" si="73"/>
        <v>00</v>
      </c>
      <c r="E423">
        <f t="shared" si="74"/>
        <v>0</v>
      </c>
      <c r="F423">
        <f t="shared" si="75"/>
        <v>0</v>
      </c>
      <c r="G423" s="23" t="str">
        <f t="shared" si="76"/>
        <v>00.000</v>
      </c>
      <c r="H423" s="1" t="str">
        <f t="shared" si="77"/>
        <v>0000.000</v>
      </c>
      <c r="I423">
        <f t="shared" si="78"/>
        <v>0</v>
      </c>
      <c r="J423" t="str">
        <f t="shared" si="79"/>
        <v>000</v>
      </c>
      <c r="K423">
        <f t="shared" si="80"/>
        <v>0</v>
      </c>
      <c r="L423">
        <f t="shared" si="81"/>
        <v>0</v>
      </c>
      <c r="M423" t="str">
        <f t="shared" si="82"/>
        <v>00.000</v>
      </c>
      <c r="N423" s="1" t="str">
        <f t="shared" si="83"/>
        <v>00000.000</v>
      </c>
      <c r="O423" t="str">
        <f>IF('Import OpenCPN'!W424&gt;0,"N","S")</f>
        <v>S</v>
      </c>
      <c r="P423" t="str">
        <f>IF('Import OpenCPN'!X424&gt;0,"E","W")</f>
        <v>W</v>
      </c>
    </row>
    <row r="424" spans="1:16" x14ac:dyDescent="0.2">
      <c r="A424">
        <f>'Import OpenCPN'!W425</f>
        <v>0</v>
      </c>
      <c r="B424">
        <f>'Import OpenCPN'!X425</f>
        <v>0</v>
      </c>
      <c r="C424">
        <f t="shared" si="72"/>
        <v>0</v>
      </c>
      <c r="D424" t="str">
        <f t="shared" si="73"/>
        <v>00</v>
      </c>
      <c r="E424">
        <f t="shared" si="74"/>
        <v>0</v>
      </c>
      <c r="F424">
        <f t="shared" si="75"/>
        <v>0</v>
      </c>
      <c r="G424" s="23" t="str">
        <f t="shared" si="76"/>
        <v>00.000</v>
      </c>
      <c r="H424" s="1" t="str">
        <f t="shared" si="77"/>
        <v>0000.000</v>
      </c>
      <c r="I424">
        <f t="shared" si="78"/>
        <v>0</v>
      </c>
      <c r="J424" t="str">
        <f t="shared" si="79"/>
        <v>000</v>
      </c>
      <c r="K424">
        <f t="shared" si="80"/>
        <v>0</v>
      </c>
      <c r="L424">
        <f t="shared" si="81"/>
        <v>0</v>
      </c>
      <c r="M424" t="str">
        <f t="shared" si="82"/>
        <v>00.000</v>
      </c>
      <c r="N424" s="1" t="str">
        <f t="shared" si="83"/>
        <v>00000.000</v>
      </c>
      <c r="O424" t="str">
        <f>IF('Import OpenCPN'!W425&gt;0,"N","S")</f>
        <v>S</v>
      </c>
      <c r="P424" t="str">
        <f>IF('Import OpenCPN'!X425&gt;0,"E","W")</f>
        <v>W</v>
      </c>
    </row>
    <row r="425" spans="1:16" x14ac:dyDescent="0.2">
      <c r="A425">
        <f>'Import OpenCPN'!W426</f>
        <v>0</v>
      </c>
      <c r="B425">
        <f>'Import OpenCPN'!X426</f>
        <v>0</v>
      </c>
      <c r="C425">
        <f t="shared" si="72"/>
        <v>0</v>
      </c>
      <c r="D425" t="str">
        <f t="shared" si="73"/>
        <v>00</v>
      </c>
      <c r="E425">
        <f t="shared" si="74"/>
        <v>0</v>
      </c>
      <c r="F425">
        <f t="shared" si="75"/>
        <v>0</v>
      </c>
      <c r="G425" s="23" t="str">
        <f t="shared" si="76"/>
        <v>00.000</v>
      </c>
      <c r="H425" s="1" t="str">
        <f t="shared" si="77"/>
        <v>0000.000</v>
      </c>
      <c r="I425">
        <f t="shared" si="78"/>
        <v>0</v>
      </c>
      <c r="J425" t="str">
        <f t="shared" si="79"/>
        <v>000</v>
      </c>
      <c r="K425">
        <f t="shared" si="80"/>
        <v>0</v>
      </c>
      <c r="L425">
        <f t="shared" si="81"/>
        <v>0</v>
      </c>
      <c r="M425" t="str">
        <f t="shared" si="82"/>
        <v>00.000</v>
      </c>
      <c r="N425" s="1" t="str">
        <f t="shared" si="83"/>
        <v>00000.000</v>
      </c>
      <c r="O425" t="str">
        <f>IF('Import OpenCPN'!W426&gt;0,"N","S")</f>
        <v>S</v>
      </c>
      <c r="P425" t="str">
        <f>IF('Import OpenCPN'!X426&gt;0,"E","W")</f>
        <v>W</v>
      </c>
    </row>
    <row r="426" spans="1:16" x14ac:dyDescent="0.2">
      <c r="A426">
        <f>'Import OpenCPN'!W427</f>
        <v>0</v>
      </c>
      <c r="B426">
        <f>'Import OpenCPN'!X427</f>
        <v>0</v>
      </c>
      <c r="C426">
        <f t="shared" si="72"/>
        <v>0</v>
      </c>
      <c r="D426" t="str">
        <f t="shared" si="73"/>
        <v>00</v>
      </c>
      <c r="E426">
        <f t="shared" si="74"/>
        <v>0</v>
      </c>
      <c r="F426">
        <f t="shared" si="75"/>
        <v>0</v>
      </c>
      <c r="G426" s="23" t="str">
        <f t="shared" si="76"/>
        <v>00.000</v>
      </c>
      <c r="H426" s="1" t="str">
        <f t="shared" si="77"/>
        <v>0000.000</v>
      </c>
      <c r="I426">
        <f t="shared" si="78"/>
        <v>0</v>
      </c>
      <c r="J426" t="str">
        <f t="shared" si="79"/>
        <v>000</v>
      </c>
      <c r="K426">
        <f t="shared" si="80"/>
        <v>0</v>
      </c>
      <c r="L426">
        <f t="shared" si="81"/>
        <v>0</v>
      </c>
      <c r="M426" t="str">
        <f t="shared" si="82"/>
        <v>00.000</v>
      </c>
      <c r="N426" s="1" t="str">
        <f t="shared" si="83"/>
        <v>00000.000</v>
      </c>
      <c r="O426" t="str">
        <f>IF('Import OpenCPN'!W427&gt;0,"N","S")</f>
        <v>S</v>
      </c>
      <c r="P426" t="str">
        <f>IF('Import OpenCPN'!X427&gt;0,"E","W")</f>
        <v>W</v>
      </c>
    </row>
    <row r="427" spans="1:16" x14ac:dyDescent="0.2">
      <c r="A427">
        <f>'Import OpenCPN'!W428</f>
        <v>0</v>
      </c>
      <c r="B427">
        <f>'Import OpenCPN'!X428</f>
        <v>0</v>
      </c>
      <c r="C427">
        <f t="shared" si="72"/>
        <v>0</v>
      </c>
      <c r="D427" t="str">
        <f t="shared" si="73"/>
        <v>00</v>
      </c>
      <c r="E427">
        <f t="shared" si="74"/>
        <v>0</v>
      </c>
      <c r="F427">
        <f t="shared" si="75"/>
        <v>0</v>
      </c>
      <c r="G427" s="23" t="str">
        <f t="shared" si="76"/>
        <v>00.000</v>
      </c>
      <c r="H427" s="1" t="str">
        <f t="shared" si="77"/>
        <v>0000.000</v>
      </c>
      <c r="I427">
        <f t="shared" si="78"/>
        <v>0</v>
      </c>
      <c r="J427" t="str">
        <f t="shared" si="79"/>
        <v>000</v>
      </c>
      <c r="K427">
        <f t="shared" si="80"/>
        <v>0</v>
      </c>
      <c r="L427">
        <f t="shared" si="81"/>
        <v>0</v>
      </c>
      <c r="M427" t="str">
        <f t="shared" si="82"/>
        <v>00.000</v>
      </c>
      <c r="N427" s="1" t="str">
        <f t="shared" si="83"/>
        <v>00000.000</v>
      </c>
      <c r="O427" t="str">
        <f>IF('Import OpenCPN'!W428&gt;0,"N","S")</f>
        <v>S</v>
      </c>
      <c r="P427" t="str">
        <f>IF('Import OpenCPN'!X428&gt;0,"E","W")</f>
        <v>W</v>
      </c>
    </row>
    <row r="428" spans="1:16" x14ac:dyDescent="0.2">
      <c r="A428">
        <f>'Import OpenCPN'!W429</f>
        <v>0</v>
      </c>
      <c r="B428">
        <f>'Import OpenCPN'!X429</f>
        <v>0</v>
      </c>
      <c r="C428">
        <f t="shared" si="72"/>
        <v>0</v>
      </c>
      <c r="D428" t="str">
        <f t="shared" si="73"/>
        <v>00</v>
      </c>
      <c r="E428">
        <f t="shared" si="74"/>
        <v>0</v>
      </c>
      <c r="F428">
        <f t="shared" si="75"/>
        <v>0</v>
      </c>
      <c r="G428" s="23" t="str">
        <f t="shared" si="76"/>
        <v>00.000</v>
      </c>
      <c r="H428" s="1" t="str">
        <f t="shared" si="77"/>
        <v>0000.000</v>
      </c>
      <c r="I428">
        <f t="shared" si="78"/>
        <v>0</v>
      </c>
      <c r="J428" t="str">
        <f t="shared" si="79"/>
        <v>000</v>
      </c>
      <c r="K428">
        <f t="shared" si="80"/>
        <v>0</v>
      </c>
      <c r="L428">
        <f t="shared" si="81"/>
        <v>0</v>
      </c>
      <c r="M428" t="str">
        <f t="shared" si="82"/>
        <v>00.000</v>
      </c>
      <c r="N428" s="1" t="str">
        <f t="shared" si="83"/>
        <v>00000.000</v>
      </c>
      <c r="O428" t="str">
        <f>IF('Import OpenCPN'!W429&gt;0,"N","S")</f>
        <v>S</v>
      </c>
      <c r="P428" t="str">
        <f>IF('Import OpenCPN'!X429&gt;0,"E","W")</f>
        <v>W</v>
      </c>
    </row>
    <row r="429" spans="1:16" x14ac:dyDescent="0.2">
      <c r="A429">
        <f>'Import OpenCPN'!W430</f>
        <v>0</v>
      </c>
      <c r="B429">
        <f>'Import OpenCPN'!X430</f>
        <v>0</v>
      </c>
      <c r="C429">
        <f t="shared" si="72"/>
        <v>0</v>
      </c>
      <c r="D429" t="str">
        <f t="shared" si="73"/>
        <v>00</v>
      </c>
      <c r="E429">
        <f t="shared" si="74"/>
        <v>0</v>
      </c>
      <c r="F429">
        <f t="shared" si="75"/>
        <v>0</v>
      </c>
      <c r="G429" s="23" t="str">
        <f t="shared" si="76"/>
        <v>00.000</v>
      </c>
      <c r="H429" s="1" t="str">
        <f t="shared" si="77"/>
        <v>0000.000</v>
      </c>
      <c r="I429">
        <f t="shared" si="78"/>
        <v>0</v>
      </c>
      <c r="J429" t="str">
        <f t="shared" si="79"/>
        <v>000</v>
      </c>
      <c r="K429">
        <f t="shared" si="80"/>
        <v>0</v>
      </c>
      <c r="L429">
        <f t="shared" si="81"/>
        <v>0</v>
      </c>
      <c r="M429" t="str">
        <f t="shared" si="82"/>
        <v>00.000</v>
      </c>
      <c r="N429" s="1" t="str">
        <f t="shared" si="83"/>
        <v>00000.000</v>
      </c>
      <c r="O429" t="str">
        <f>IF('Import OpenCPN'!W430&gt;0,"N","S")</f>
        <v>S</v>
      </c>
      <c r="P429" t="str">
        <f>IF('Import OpenCPN'!X430&gt;0,"E","W")</f>
        <v>W</v>
      </c>
    </row>
    <row r="430" spans="1:16" x14ac:dyDescent="0.2">
      <c r="A430">
        <f>'Import OpenCPN'!W431</f>
        <v>0</v>
      </c>
      <c r="B430">
        <f>'Import OpenCPN'!X431</f>
        <v>0</v>
      </c>
      <c r="C430">
        <f t="shared" si="72"/>
        <v>0</v>
      </c>
      <c r="D430" t="str">
        <f t="shared" si="73"/>
        <v>00</v>
      </c>
      <c r="E430">
        <f t="shared" si="74"/>
        <v>0</v>
      </c>
      <c r="F430">
        <f t="shared" si="75"/>
        <v>0</v>
      </c>
      <c r="G430" s="23" t="str">
        <f t="shared" si="76"/>
        <v>00.000</v>
      </c>
      <c r="H430" s="1" t="str">
        <f t="shared" si="77"/>
        <v>0000.000</v>
      </c>
      <c r="I430">
        <f t="shared" si="78"/>
        <v>0</v>
      </c>
      <c r="J430" t="str">
        <f t="shared" si="79"/>
        <v>000</v>
      </c>
      <c r="K430">
        <f t="shared" si="80"/>
        <v>0</v>
      </c>
      <c r="L430">
        <f t="shared" si="81"/>
        <v>0</v>
      </c>
      <c r="M430" t="str">
        <f t="shared" si="82"/>
        <v>00.000</v>
      </c>
      <c r="N430" s="1" t="str">
        <f t="shared" si="83"/>
        <v>00000.000</v>
      </c>
      <c r="O430" t="str">
        <f>IF('Import OpenCPN'!W431&gt;0,"N","S")</f>
        <v>S</v>
      </c>
      <c r="P430" t="str">
        <f>IF('Import OpenCPN'!X431&gt;0,"E","W")</f>
        <v>W</v>
      </c>
    </row>
    <row r="431" spans="1:16" x14ac:dyDescent="0.2">
      <c r="A431">
        <f>'Import OpenCPN'!W432</f>
        <v>0</v>
      </c>
      <c r="B431">
        <f>'Import OpenCPN'!X432</f>
        <v>0</v>
      </c>
      <c r="C431">
        <f t="shared" si="72"/>
        <v>0</v>
      </c>
      <c r="D431" t="str">
        <f t="shared" si="73"/>
        <v>00</v>
      </c>
      <c r="E431">
        <f t="shared" si="74"/>
        <v>0</v>
      </c>
      <c r="F431">
        <f t="shared" si="75"/>
        <v>0</v>
      </c>
      <c r="G431" s="23" t="str">
        <f t="shared" si="76"/>
        <v>00.000</v>
      </c>
      <c r="H431" s="1" t="str">
        <f t="shared" si="77"/>
        <v>0000.000</v>
      </c>
      <c r="I431">
        <f t="shared" si="78"/>
        <v>0</v>
      </c>
      <c r="J431" t="str">
        <f t="shared" si="79"/>
        <v>000</v>
      </c>
      <c r="K431">
        <f t="shared" si="80"/>
        <v>0</v>
      </c>
      <c r="L431">
        <f t="shared" si="81"/>
        <v>0</v>
      </c>
      <c r="M431" t="str">
        <f t="shared" si="82"/>
        <v>00.000</v>
      </c>
      <c r="N431" s="1" t="str">
        <f t="shared" si="83"/>
        <v>00000.000</v>
      </c>
      <c r="O431" t="str">
        <f>IF('Import OpenCPN'!W432&gt;0,"N","S")</f>
        <v>S</v>
      </c>
      <c r="P431" t="str">
        <f>IF('Import OpenCPN'!X432&gt;0,"E","W")</f>
        <v>W</v>
      </c>
    </row>
    <row r="432" spans="1:16" x14ac:dyDescent="0.2">
      <c r="A432">
        <f>'Import OpenCPN'!W433</f>
        <v>0</v>
      </c>
      <c r="B432">
        <f>'Import OpenCPN'!X433</f>
        <v>0</v>
      </c>
      <c r="C432">
        <f t="shared" si="72"/>
        <v>0</v>
      </c>
      <c r="D432" t="str">
        <f t="shared" si="73"/>
        <v>00</v>
      </c>
      <c r="E432">
        <f t="shared" si="74"/>
        <v>0</v>
      </c>
      <c r="F432">
        <f t="shared" si="75"/>
        <v>0</v>
      </c>
      <c r="G432" s="23" t="str">
        <f t="shared" si="76"/>
        <v>00.000</v>
      </c>
      <c r="H432" s="1" t="str">
        <f t="shared" si="77"/>
        <v>0000.000</v>
      </c>
      <c r="I432">
        <f t="shared" si="78"/>
        <v>0</v>
      </c>
      <c r="J432" t="str">
        <f t="shared" si="79"/>
        <v>000</v>
      </c>
      <c r="K432">
        <f t="shared" si="80"/>
        <v>0</v>
      </c>
      <c r="L432">
        <f t="shared" si="81"/>
        <v>0</v>
      </c>
      <c r="M432" t="str">
        <f t="shared" si="82"/>
        <v>00.000</v>
      </c>
      <c r="N432" s="1" t="str">
        <f t="shared" si="83"/>
        <v>00000.000</v>
      </c>
      <c r="O432" t="str">
        <f>IF('Import OpenCPN'!W433&gt;0,"N","S")</f>
        <v>S</v>
      </c>
      <c r="P432" t="str">
        <f>IF('Import OpenCPN'!X433&gt;0,"E","W")</f>
        <v>W</v>
      </c>
    </row>
    <row r="433" spans="1:16" x14ac:dyDescent="0.2">
      <c r="A433">
        <f>'Import OpenCPN'!W434</f>
        <v>0</v>
      </c>
      <c r="B433">
        <f>'Import OpenCPN'!X434</f>
        <v>0</v>
      </c>
      <c r="C433">
        <f t="shared" si="72"/>
        <v>0</v>
      </c>
      <c r="D433" t="str">
        <f t="shared" si="73"/>
        <v>00</v>
      </c>
      <c r="E433">
        <f t="shared" si="74"/>
        <v>0</v>
      </c>
      <c r="F433">
        <f t="shared" si="75"/>
        <v>0</v>
      </c>
      <c r="G433" s="23" t="str">
        <f t="shared" si="76"/>
        <v>00.000</v>
      </c>
      <c r="H433" s="1" t="str">
        <f t="shared" si="77"/>
        <v>0000.000</v>
      </c>
      <c r="I433">
        <f t="shared" si="78"/>
        <v>0</v>
      </c>
      <c r="J433" t="str">
        <f t="shared" si="79"/>
        <v>000</v>
      </c>
      <c r="K433">
        <f t="shared" si="80"/>
        <v>0</v>
      </c>
      <c r="L433">
        <f t="shared" si="81"/>
        <v>0</v>
      </c>
      <c r="M433" t="str">
        <f t="shared" si="82"/>
        <v>00.000</v>
      </c>
      <c r="N433" s="1" t="str">
        <f t="shared" si="83"/>
        <v>00000.000</v>
      </c>
      <c r="O433" t="str">
        <f>IF('Import OpenCPN'!W434&gt;0,"N","S")</f>
        <v>S</v>
      </c>
      <c r="P433" t="str">
        <f>IF('Import OpenCPN'!X434&gt;0,"E","W")</f>
        <v>W</v>
      </c>
    </row>
    <row r="434" spans="1:16" x14ac:dyDescent="0.2">
      <c r="A434">
        <f>'Import OpenCPN'!W435</f>
        <v>0</v>
      </c>
      <c r="B434">
        <f>'Import OpenCPN'!X435</f>
        <v>0</v>
      </c>
      <c r="C434">
        <f t="shared" si="72"/>
        <v>0</v>
      </c>
      <c r="D434" t="str">
        <f t="shared" si="73"/>
        <v>00</v>
      </c>
      <c r="E434">
        <f t="shared" si="74"/>
        <v>0</v>
      </c>
      <c r="F434">
        <f t="shared" si="75"/>
        <v>0</v>
      </c>
      <c r="G434" s="23" t="str">
        <f t="shared" si="76"/>
        <v>00.000</v>
      </c>
      <c r="H434" s="1" t="str">
        <f t="shared" si="77"/>
        <v>0000.000</v>
      </c>
      <c r="I434">
        <f t="shared" si="78"/>
        <v>0</v>
      </c>
      <c r="J434" t="str">
        <f t="shared" si="79"/>
        <v>000</v>
      </c>
      <c r="K434">
        <f t="shared" si="80"/>
        <v>0</v>
      </c>
      <c r="L434">
        <f t="shared" si="81"/>
        <v>0</v>
      </c>
      <c r="M434" t="str">
        <f t="shared" si="82"/>
        <v>00.000</v>
      </c>
      <c r="N434" s="1" t="str">
        <f t="shared" si="83"/>
        <v>00000.000</v>
      </c>
      <c r="O434" t="str">
        <f>IF('Import OpenCPN'!W435&gt;0,"N","S")</f>
        <v>S</v>
      </c>
      <c r="P434" t="str">
        <f>IF('Import OpenCPN'!X435&gt;0,"E","W")</f>
        <v>W</v>
      </c>
    </row>
    <row r="435" spans="1:16" x14ac:dyDescent="0.2">
      <c r="A435">
        <f>'Import OpenCPN'!W436</f>
        <v>0</v>
      </c>
      <c r="B435">
        <f>'Import OpenCPN'!X436</f>
        <v>0</v>
      </c>
      <c r="C435">
        <f t="shared" si="72"/>
        <v>0</v>
      </c>
      <c r="D435" t="str">
        <f t="shared" si="73"/>
        <v>00</v>
      </c>
      <c r="E435">
        <f t="shared" si="74"/>
        <v>0</v>
      </c>
      <c r="F435">
        <f t="shared" si="75"/>
        <v>0</v>
      </c>
      <c r="G435" s="23" t="str">
        <f t="shared" si="76"/>
        <v>00.000</v>
      </c>
      <c r="H435" s="1" t="str">
        <f t="shared" si="77"/>
        <v>0000.000</v>
      </c>
      <c r="I435">
        <f t="shared" si="78"/>
        <v>0</v>
      </c>
      <c r="J435" t="str">
        <f t="shared" si="79"/>
        <v>000</v>
      </c>
      <c r="K435">
        <f t="shared" si="80"/>
        <v>0</v>
      </c>
      <c r="L435">
        <f t="shared" si="81"/>
        <v>0</v>
      </c>
      <c r="M435" t="str">
        <f t="shared" si="82"/>
        <v>00.000</v>
      </c>
      <c r="N435" s="1" t="str">
        <f t="shared" si="83"/>
        <v>00000.000</v>
      </c>
      <c r="O435" t="str">
        <f>IF('Import OpenCPN'!W436&gt;0,"N","S")</f>
        <v>S</v>
      </c>
      <c r="P435" t="str">
        <f>IF('Import OpenCPN'!X436&gt;0,"E","W")</f>
        <v>W</v>
      </c>
    </row>
    <row r="436" spans="1:16" x14ac:dyDescent="0.2">
      <c r="A436">
        <f>'Import OpenCPN'!W437</f>
        <v>0</v>
      </c>
      <c r="B436">
        <f>'Import OpenCPN'!X437</f>
        <v>0</v>
      </c>
      <c r="C436">
        <f t="shared" si="72"/>
        <v>0</v>
      </c>
      <c r="D436" t="str">
        <f t="shared" si="73"/>
        <v>00</v>
      </c>
      <c r="E436">
        <f t="shared" si="74"/>
        <v>0</v>
      </c>
      <c r="F436">
        <f t="shared" si="75"/>
        <v>0</v>
      </c>
      <c r="G436" s="23" t="str">
        <f t="shared" si="76"/>
        <v>00.000</v>
      </c>
      <c r="H436" s="1" t="str">
        <f t="shared" si="77"/>
        <v>0000.000</v>
      </c>
      <c r="I436">
        <f t="shared" si="78"/>
        <v>0</v>
      </c>
      <c r="J436" t="str">
        <f t="shared" si="79"/>
        <v>000</v>
      </c>
      <c r="K436">
        <f t="shared" si="80"/>
        <v>0</v>
      </c>
      <c r="L436">
        <f t="shared" si="81"/>
        <v>0</v>
      </c>
      <c r="M436" t="str">
        <f t="shared" si="82"/>
        <v>00.000</v>
      </c>
      <c r="N436" s="1" t="str">
        <f t="shared" si="83"/>
        <v>00000.000</v>
      </c>
      <c r="O436" t="str">
        <f>IF('Import OpenCPN'!W437&gt;0,"N","S")</f>
        <v>S</v>
      </c>
      <c r="P436" t="str">
        <f>IF('Import OpenCPN'!X437&gt;0,"E","W")</f>
        <v>W</v>
      </c>
    </row>
    <row r="437" spans="1:16" x14ac:dyDescent="0.2">
      <c r="A437">
        <f>'Import OpenCPN'!W438</f>
        <v>0</v>
      </c>
      <c r="B437">
        <f>'Import OpenCPN'!X438</f>
        <v>0</v>
      </c>
      <c r="C437">
        <f t="shared" si="72"/>
        <v>0</v>
      </c>
      <c r="D437" t="str">
        <f t="shared" si="73"/>
        <v>00</v>
      </c>
      <c r="E437">
        <f t="shared" si="74"/>
        <v>0</v>
      </c>
      <c r="F437">
        <f t="shared" si="75"/>
        <v>0</v>
      </c>
      <c r="G437" s="23" t="str">
        <f t="shared" si="76"/>
        <v>00.000</v>
      </c>
      <c r="H437" s="1" t="str">
        <f t="shared" si="77"/>
        <v>0000.000</v>
      </c>
      <c r="I437">
        <f t="shared" si="78"/>
        <v>0</v>
      </c>
      <c r="J437" t="str">
        <f t="shared" si="79"/>
        <v>000</v>
      </c>
      <c r="K437">
        <f t="shared" si="80"/>
        <v>0</v>
      </c>
      <c r="L437">
        <f t="shared" si="81"/>
        <v>0</v>
      </c>
      <c r="M437" t="str">
        <f t="shared" si="82"/>
        <v>00.000</v>
      </c>
      <c r="N437" s="1" t="str">
        <f t="shared" si="83"/>
        <v>00000.000</v>
      </c>
      <c r="O437" t="str">
        <f>IF('Import OpenCPN'!W438&gt;0,"N","S")</f>
        <v>S</v>
      </c>
      <c r="P437" t="str">
        <f>IF('Import OpenCPN'!X438&gt;0,"E","W")</f>
        <v>W</v>
      </c>
    </row>
    <row r="438" spans="1:16" x14ac:dyDescent="0.2">
      <c r="A438">
        <f>'Import OpenCPN'!W439</f>
        <v>0</v>
      </c>
      <c r="B438">
        <f>'Import OpenCPN'!X439</f>
        <v>0</v>
      </c>
      <c r="C438">
        <f t="shared" si="72"/>
        <v>0</v>
      </c>
      <c r="D438" t="str">
        <f t="shared" si="73"/>
        <v>00</v>
      </c>
      <c r="E438">
        <f t="shared" si="74"/>
        <v>0</v>
      </c>
      <c r="F438">
        <f t="shared" si="75"/>
        <v>0</v>
      </c>
      <c r="G438" s="23" t="str">
        <f t="shared" si="76"/>
        <v>00.000</v>
      </c>
      <c r="H438" s="1" t="str">
        <f t="shared" si="77"/>
        <v>0000.000</v>
      </c>
      <c r="I438">
        <f t="shared" si="78"/>
        <v>0</v>
      </c>
      <c r="J438" t="str">
        <f t="shared" si="79"/>
        <v>000</v>
      </c>
      <c r="K438">
        <f t="shared" si="80"/>
        <v>0</v>
      </c>
      <c r="L438">
        <f t="shared" si="81"/>
        <v>0</v>
      </c>
      <c r="M438" t="str">
        <f t="shared" si="82"/>
        <v>00.000</v>
      </c>
      <c r="N438" s="1" t="str">
        <f t="shared" si="83"/>
        <v>00000.000</v>
      </c>
      <c r="O438" t="str">
        <f>IF('Import OpenCPN'!W439&gt;0,"N","S")</f>
        <v>S</v>
      </c>
      <c r="P438" t="str">
        <f>IF('Import OpenCPN'!X439&gt;0,"E","W")</f>
        <v>W</v>
      </c>
    </row>
    <row r="439" spans="1:16" x14ac:dyDescent="0.2">
      <c r="A439">
        <f>'Import OpenCPN'!W440</f>
        <v>0</v>
      </c>
      <c r="B439">
        <f>'Import OpenCPN'!X440</f>
        <v>0</v>
      </c>
      <c r="C439">
        <f t="shared" si="72"/>
        <v>0</v>
      </c>
      <c r="D439" t="str">
        <f t="shared" si="73"/>
        <v>00</v>
      </c>
      <c r="E439">
        <f t="shared" si="74"/>
        <v>0</v>
      </c>
      <c r="F439">
        <f t="shared" si="75"/>
        <v>0</v>
      </c>
      <c r="G439" s="23" t="str">
        <f t="shared" si="76"/>
        <v>00.000</v>
      </c>
      <c r="H439" s="1" t="str">
        <f t="shared" si="77"/>
        <v>0000.000</v>
      </c>
      <c r="I439">
        <f t="shared" si="78"/>
        <v>0</v>
      </c>
      <c r="J439" t="str">
        <f t="shared" si="79"/>
        <v>000</v>
      </c>
      <c r="K439">
        <f t="shared" si="80"/>
        <v>0</v>
      </c>
      <c r="L439">
        <f t="shared" si="81"/>
        <v>0</v>
      </c>
      <c r="M439" t="str">
        <f t="shared" si="82"/>
        <v>00.000</v>
      </c>
      <c r="N439" s="1" t="str">
        <f t="shared" si="83"/>
        <v>00000.000</v>
      </c>
      <c r="O439" t="str">
        <f>IF('Import OpenCPN'!W440&gt;0,"N","S")</f>
        <v>S</v>
      </c>
      <c r="P439" t="str">
        <f>IF('Import OpenCPN'!X440&gt;0,"E","W")</f>
        <v>W</v>
      </c>
    </row>
    <row r="440" spans="1:16" x14ac:dyDescent="0.2">
      <c r="A440">
        <f>'Import OpenCPN'!W441</f>
        <v>0</v>
      </c>
      <c r="B440">
        <f>'Import OpenCPN'!X441</f>
        <v>0</v>
      </c>
      <c r="C440">
        <f t="shared" si="72"/>
        <v>0</v>
      </c>
      <c r="D440" t="str">
        <f t="shared" si="73"/>
        <v>00</v>
      </c>
      <c r="E440">
        <f t="shared" si="74"/>
        <v>0</v>
      </c>
      <c r="F440">
        <f t="shared" si="75"/>
        <v>0</v>
      </c>
      <c r="G440" s="23" t="str">
        <f t="shared" si="76"/>
        <v>00.000</v>
      </c>
      <c r="H440" s="1" t="str">
        <f t="shared" si="77"/>
        <v>0000.000</v>
      </c>
      <c r="I440">
        <f t="shared" si="78"/>
        <v>0</v>
      </c>
      <c r="J440" t="str">
        <f t="shared" si="79"/>
        <v>000</v>
      </c>
      <c r="K440">
        <f t="shared" si="80"/>
        <v>0</v>
      </c>
      <c r="L440">
        <f t="shared" si="81"/>
        <v>0</v>
      </c>
      <c r="M440" t="str">
        <f t="shared" si="82"/>
        <v>00.000</v>
      </c>
      <c r="N440" s="1" t="str">
        <f t="shared" si="83"/>
        <v>00000.000</v>
      </c>
      <c r="O440" t="str">
        <f>IF('Import OpenCPN'!W441&gt;0,"N","S")</f>
        <v>S</v>
      </c>
      <c r="P440" t="str">
        <f>IF('Import OpenCPN'!X441&gt;0,"E","W")</f>
        <v>W</v>
      </c>
    </row>
    <row r="441" spans="1:16" x14ac:dyDescent="0.2">
      <c r="A441">
        <f>'Import OpenCPN'!W442</f>
        <v>0</v>
      </c>
      <c r="B441">
        <f>'Import OpenCPN'!X442</f>
        <v>0</v>
      </c>
      <c r="C441">
        <f t="shared" si="72"/>
        <v>0</v>
      </c>
      <c r="D441" t="str">
        <f t="shared" si="73"/>
        <v>00</v>
      </c>
      <c r="E441">
        <f t="shared" si="74"/>
        <v>0</v>
      </c>
      <c r="F441">
        <f t="shared" si="75"/>
        <v>0</v>
      </c>
      <c r="G441" s="23" t="str">
        <f t="shared" si="76"/>
        <v>00.000</v>
      </c>
      <c r="H441" s="1" t="str">
        <f t="shared" si="77"/>
        <v>0000.000</v>
      </c>
      <c r="I441">
        <f t="shared" si="78"/>
        <v>0</v>
      </c>
      <c r="J441" t="str">
        <f t="shared" si="79"/>
        <v>000</v>
      </c>
      <c r="K441">
        <f t="shared" si="80"/>
        <v>0</v>
      </c>
      <c r="L441">
        <f t="shared" si="81"/>
        <v>0</v>
      </c>
      <c r="M441" t="str">
        <f t="shared" si="82"/>
        <v>00.000</v>
      </c>
      <c r="N441" s="1" t="str">
        <f t="shared" si="83"/>
        <v>00000.000</v>
      </c>
      <c r="O441" t="str">
        <f>IF('Import OpenCPN'!W442&gt;0,"N","S")</f>
        <v>S</v>
      </c>
      <c r="P441" t="str">
        <f>IF('Import OpenCPN'!X442&gt;0,"E","W")</f>
        <v>W</v>
      </c>
    </row>
    <row r="442" spans="1:16" x14ac:dyDescent="0.2">
      <c r="A442">
        <f>'Import OpenCPN'!W443</f>
        <v>0</v>
      </c>
      <c r="B442">
        <f>'Import OpenCPN'!X443</f>
        <v>0</v>
      </c>
      <c r="C442">
        <f t="shared" si="72"/>
        <v>0</v>
      </c>
      <c r="D442" t="str">
        <f t="shared" si="73"/>
        <v>00</v>
      </c>
      <c r="E442">
        <f t="shared" si="74"/>
        <v>0</v>
      </c>
      <c r="F442">
        <f t="shared" si="75"/>
        <v>0</v>
      </c>
      <c r="G442" s="23" t="str">
        <f t="shared" si="76"/>
        <v>00.000</v>
      </c>
      <c r="H442" s="1" t="str">
        <f t="shared" si="77"/>
        <v>0000.000</v>
      </c>
      <c r="I442">
        <f t="shared" si="78"/>
        <v>0</v>
      </c>
      <c r="J442" t="str">
        <f t="shared" si="79"/>
        <v>000</v>
      </c>
      <c r="K442">
        <f t="shared" si="80"/>
        <v>0</v>
      </c>
      <c r="L442">
        <f t="shared" si="81"/>
        <v>0</v>
      </c>
      <c r="M442" t="str">
        <f t="shared" si="82"/>
        <v>00.000</v>
      </c>
      <c r="N442" s="1" t="str">
        <f t="shared" si="83"/>
        <v>00000.000</v>
      </c>
      <c r="O442" t="str">
        <f>IF('Import OpenCPN'!W443&gt;0,"N","S")</f>
        <v>S</v>
      </c>
      <c r="P442" t="str">
        <f>IF('Import OpenCPN'!X443&gt;0,"E","W")</f>
        <v>W</v>
      </c>
    </row>
    <row r="443" spans="1:16" x14ac:dyDescent="0.2">
      <c r="A443">
        <f>'Import OpenCPN'!W444</f>
        <v>0</v>
      </c>
      <c r="B443">
        <f>'Import OpenCPN'!X444</f>
        <v>0</v>
      </c>
      <c r="C443">
        <f t="shared" si="72"/>
        <v>0</v>
      </c>
      <c r="D443" t="str">
        <f t="shared" si="73"/>
        <v>00</v>
      </c>
      <c r="E443">
        <f t="shared" si="74"/>
        <v>0</v>
      </c>
      <c r="F443">
        <f t="shared" si="75"/>
        <v>0</v>
      </c>
      <c r="G443" s="23" t="str">
        <f t="shared" si="76"/>
        <v>00.000</v>
      </c>
      <c r="H443" s="1" t="str">
        <f t="shared" si="77"/>
        <v>0000.000</v>
      </c>
      <c r="I443">
        <f t="shared" si="78"/>
        <v>0</v>
      </c>
      <c r="J443" t="str">
        <f t="shared" si="79"/>
        <v>000</v>
      </c>
      <c r="K443">
        <f t="shared" si="80"/>
        <v>0</v>
      </c>
      <c r="L443">
        <f t="shared" si="81"/>
        <v>0</v>
      </c>
      <c r="M443" t="str">
        <f t="shared" si="82"/>
        <v>00.000</v>
      </c>
      <c r="N443" s="1" t="str">
        <f t="shared" si="83"/>
        <v>00000.000</v>
      </c>
      <c r="O443" t="str">
        <f>IF('Import OpenCPN'!W444&gt;0,"N","S")</f>
        <v>S</v>
      </c>
      <c r="P443" t="str">
        <f>IF('Import OpenCPN'!X444&gt;0,"E","W")</f>
        <v>W</v>
      </c>
    </row>
    <row r="444" spans="1:16" x14ac:dyDescent="0.2">
      <c r="A444">
        <f>'Import OpenCPN'!W445</f>
        <v>0</v>
      </c>
      <c r="B444">
        <f>'Import OpenCPN'!X445</f>
        <v>0</v>
      </c>
      <c r="C444">
        <f t="shared" si="72"/>
        <v>0</v>
      </c>
      <c r="D444" t="str">
        <f t="shared" si="73"/>
        <v>00</v>
      </c>
      <c r="E444">
        <f t="shared" si="74"/>
        <v>0</v>
      </c>
      <c r="F444">
        <f t="shared" si="75"/>
        <v>0</v>
      </c>
      <c r="G444" s="23" t="str">
        <f t="shared" si="76"/>
        <v>00.000</v>
      </c>
      <c r="H444" s="1" t="str">
        <f t="shared" si="77"/>
        <v>0000.000</v>
      </c>
      <c r="I444">
        <f t="shared" si="78"/>
        <v>0</v>
      </c>
      <c r="J444" t="str">
        <f t="shared" si="79"/>
        <v>000</v>
      </c>
      <c r="K444">
        <f t="shared" si="80"/>
        <v>0</v>
      </c>
      <c r="L444">
        <f t="shared" si="81"/>
        <v>0</v>
      </c>
      <c r="M444" t="str">
        <f t="shared" si="82"/>
        <v>00.000</v>
      </c>
      <c r="N444" s="1" t="str">
        <f t="shared" si="83"/>
        <v>00000.000</v>
      </c>
      <c r="O444" t="str">
        <f>IF('Import OpenCPN'!W445&gt;0,"N","S")</f>
        <v>S</v>
      </c>
      <c r="P444" t="str">
        <f>IF('Import OpenCPN'!X445&gt;0,"E","W")</f>
        <v>W</v>
      </c>
    </row>
    <row r="445" spans="1:16" x14ac:dyDescent="0.2">
      <c r="A445">
        <f>'Import OpenCPN'!W446</f>
        <v>0</v>
      </c>
      <c r="B445">
        <f>'Import OpenCPN'!X446</f>
        <v>0</v>
      </c>
      <c r="C445">
        <f t="shared" si="72"/>
        <v>0</v>
      </c>
      <c r="D445" t="str">
        <f t="shared" si="73"/>
        <v>00</v>
      </c>
      <c r="E445">
        <f t="shared" si="74"/>
        <v>0</v>
      </c>
      <c r="F445">
        <f t="shared" si="75"/>
        <v>0</v>
      </c>
      <c r="G445" s="23" t="str">
        <f t="shared" si="76"/>
        <v>00.000</v>
      </c>
      <c r="H445" s="1" t="str">
        <f t="shared" si="77"/>
        <v>0000.000</v>
      </c>
      <c r="I445">
        <f t="shared" si="78"/>
        <v>0</v>
      </c>
      <c r="J445" t="str">
        <f t="shared" si="79"/>
        <v>000</v>
      </c>
      <c r="K445">
        <f t="shared" si="80"/>
        <v>0</v>
      </c>
      <c r="L445">
        <f t="shared" si="81"/>
        <v>0</v>
      </c>
      <c r="M445" t="str">
        <f t="shared" si="82"/>
        <v>00.000</v>
      </c>
      <c r="N445" s="1" t="str">
        <f t="shared" si="83"/>
        <v>00000.000</v>
      </c>
      <c r="O445" t="str">
        <f>IF('Import OpenCPN'!W446&gt;0,"N","S")</f>
        <v>S</v>
      </c>
      <c r="P445" t="str">
        <f>IF('Import OpenCPN'!X446&gt;0,"E","W")</f>
        <v>W</v>
      </c>
    </row>
    <row r="446" spans="1:16" x14ac:dyDescent="0.2">
      <c r="A446">
        <f>'Import OpenCPN'!W447</f>
        <v>0</v>
      </c>
      <c r="B446">
        <f>'Import OpenCPN'!X447</f>
        <v>0</v>
      </c>
      <c r="C446">
        <f t="shared" si="72"/>
        <v>0</v>
      </c>
      <c r="D446" t="str">
        <f t="shared" si="73"/>
        <v>00</v>
      </c>
      <c r="E446">
        <f t="shared" si="74"/>
        <v>0</v>
      </c>
      <c r="F446">
        <f t="shared" si="75"/>
        <v>0</v>
      </c>
      <c r="G446" s="23" t="str">
        <f t="shared" si="76"/>
        <v>00.000</v>
      </c>
      <c r="H446" s="1" t="str">
        <f t="shared" si="77"/>
        <v>0000.000</v>
      </c>
      <c r="I446">
        <f t="shared" si="78"/>
        <v>0</v>
      </c>
      <c r="J446" t="str">
        <f t="shared" si="79"/>
        <v>000</v>
      </c>
      <c r="K446">
        <f t="shared" si="80"/>
        <v>0</v>
      </c>
      <c r="L446">
        <f t="shared" si="81"/>
        <v>0</v>
      </c>
      <c r="M446" t="str">
        <f t="shared" si="82"/>
        <v>00.000</v>
      </c>
      <c r="N446" s="1" t="str">
        <f t="shared" si="83"/>
        <v>00000.000</v>
      </c>
      <c r="O446" t="str">
        <f>IF('Import OpenCPN'!W447&gt;0,"N","S")</f>
        <v>S</v>
      </c>
      <c r="P446" t="str">
        <f>IF('Import OpenCPN'!X447&gt;0,"E","W")</f>
        <v>W</v>
      </c>
    </row>
    <row r="447" spans="1:16" x14ac:dyDescent="0.2">
      <c r="A447">
        <f>'Import OpenCPN'!W448</f>
        <v>0</v>
      </c>
      <c r="B447">
        <f>'Import OpenCPN'!X448</f>
        <v>0</v>
      </c>
      <c r="C447">
        <f t="shared" si="72"/>
        <v>0</v>
      </c>
      <c r="D447" t="str">
        <f t="shared" si="73"/>
        <v>00</v>
      </c>
      <c r="E447">
        <f t="shared" si="74"/>
        <v>0</v>
      </c>
      <c r="F447">
        <f t="shared" si="75"/>
        <v>0</v>
      </c>
      <c r="G447" s="23" t="str">
        <f t="shared" si="76"/>
        <v>00.000</v>
      </c>
      <c r="H447" s="1" t="str">
        <f t="shared" si="77"/>
        <v>0000.000</v>
      </c>
      <c r="I447">
        <f t="shared" si="78"/>
        <v>0</v>
      </c>
      <c r="J447" t="str">
        <f t="shared" si="79"/>
        <v>000</v>
      </c>
      <c r="K447">
        <f t="shared" si="80"/>
        <v>0</v>
      </c>
      <c r="L447">
        <f t="shared" si="81"/>
        <v>0</v>
      </c>
      <c r="M447" t="str">
        <f t="shared" si="82"/>
        <v>00.000</v>
      </c>
      <c r="N447" s="1" t="str">
        <f t="shared" si="83"/>
        <v>00000.000</v>
      </c>
      <c r="O447" t="str">
        <f>IF('Import OpenCPN'!W448&gt;0,"N","S")</f>
        <v>S</v>
      </c>
      <c r="P447" t="str">
        <f>IF('Import OpenCPN'!X448&gt;0,"E","W")</f>
        <v>W</v>
      </c>
    </row>
    <row r="448" spans="1:16" x14ac:dyDescent="0.2">
      <c r="A448">
        <f>'Import OpenCPN'!W449</f>
        <v>0</v>
      </c>
      <c r="B448">
        <f>'Import OpenCPN'!X449</f>
        <v>0</v>
      </c>
      <c r="C448">
        <f t="shared" si="72"/>
        <v>0</v>
      </c>
      <c r="D448" t="str">
        <f t="shared" si="73"/>
        <v>00</v>
      </c>
      <c r="E448">
        <f t="shared" si="74"/>
        <v>0</v>
      </c>
      <c r="F448">
        <f t="shared" si="75"/>
        <v>0</v>
      </c>
      <c r="G448" s="23" t="str">
        <f t="shared" si="76"/>
        <v>00.000</v>
      </c>
      <c r="H448" s="1" t="str">
        <f t="shared" si="77"/>
        <v>0000.000</v>
      </c>
      <c r="I448">
        <f t="shared" si="78"/>
        <v>0</v>
      </c>
      <c r="J448" t="str">
        <f t="shared" si="79"/>
        <v>000</v>
      </c>
      <c r="K448">
        <f t="shared" si="80"/>
        <v>0</v>
      </c>
      <c r="L448">
        <f t="shared" si="81"/>
        <v>0</v>
      </c>
      <c r="M448" t="str">
        <f t="shared" si="82"/>
        <v>00.000</v>
      </c>
      <c r="N448" s="1" t="str">
        <f t="shared" si="83"/>
        <v>00000.000</v>
      </c>
      <c r="O448" t="str">
        <f>IF('Import OpenCPN'!W449&gt;0,"N","S")</f>
        <v>S</v>
      </c>
      <c r="P448" t="str">
        <f>IF('Import OpenCPN'!X449&gt;0,"E","W")</f>
        <v>W</v>
      </c>
    </row>
    <row r="449" spans="1:16" x14ac:dyDescent="0.2">
      <c r="A449">
        <f>'Import OpenCPN'!W450</f>
        <v>0</v>
      </c>
      <c r="B449">
        <f>'Import OpenCPN'!X450</f>
        <v>0</v>
      </c>
      <c r="C449">
        <f t="shared" si="72"/>
        <v>0</v>
      </c>
      <c r="D449" t="str">
        <f t="shared" si="73"/>
        <v>00</v>
      </c>
      <c r="E449">
        <f t="shared" si="74"/>
        <v>0</v>
      </c>
      <c r="F449">
        <f t="shared" si="75"/>
        <v>0</v>
      </c>
      <c r="G449" s="23" t="str">
        <f t="shared" si="76"/>
        <v>00.000</v>
      </c>
      <c r="H449" s="1" t="str">
        <f t="shared" si="77"/>
        <v>0000.000</v>
      </c>
      <c r="I449">
        <f t="shared" si="78"/>
        <v>0</v>
      </c>
      <c r="J449" t="str">
        <f t="shared" si="79"/>
        <v>000</v>
      </c>
      <c r="K449">
        <f t="shared" si="80"/>
        <v>0</v>
      </c>
      <c r="L449">
        <f t="shared" si="81"/>
        <v>0</v>
      </c>
      <c r="M449" t="str">
        <f t="shared" si="82"/>
        <v>00.000</v>
      </c>
      <c r="N449" s="1" t="str">
        <f t="shared" si="83"/>
        <v>00000.000</v>
      </c>
      <c r="O449" t="str">
        <f>IF('Import OpenCPN'!W450&gt;0,"N","S")</f>
        <v>S</v>
      </c>
      <c r="P449" t="str">
        <f>IF('Import OpenCPN'!X450&gt;0,"E","W")</f>
        <v>W</v>
      </c>
    </row>
    <row r="450" spans="1:16" x14ac:dyDescent="0.2">
      <c r="A450">
        <f>'Import OpenCPN'!W451</f>
        <v>0</v>
      </c>
      <c r="B450">
        <f>'Import OpenCPN'!X451</f>
        <v>0</v>
      </c>
      <c r="C450">
        <f t="shared" ref="C450:C513" si="84">ABS(TRUNC(A450,0))</f>
        <v>0</v>
      </c>
      <c r="D450" t="str">
        <f t="shared" ref="D450:D513" si="85">TEXT(C450,"00")</f>
        <v>00</v>
      </c>
      <c r="E450">
        <f t="shared" ref="E450:E513" si="86">ABS(A450)-C450</f>
        <v>0</v>
      </c>
      <c r="F450">
        <f t="shared" ref="F450:F513" si="87">E450*60</f>
        <v>0</v>
      </c>
      <c r="G450" s="23" t="str">
        <f t="shared" ref="G450:G513" si="88">TEXT(F450,"00.000")</f>
        <v>00.000</v>
      </c>
      <c r="H450" s="1" t="str">
        <f t="shared" ref="H450:H513" si="89">D450&amp;G450</f>
        <v>0000.000</v>
      </c>
      <c r="I450">
        <f t="shared" ref="I450:I513" si="90">ABS(TRUNC(B450,0))</f>
        <v>0</v>
      </c>
      <c r="J450" t="str">
        <f t="shared" ref="J450:J513" si="91">TEXT(I450,"000")</f>
        <v>000</v>
      </c>
      <c r="K450">
        <f t="shared" ref="K450:K513" si="92">ABS(B450)-I450</f>
        <v>0</v>
      </c>
      <c r="L450">
        <f t="shared" ref="L450:L513" si="93">K450*60</f>
        <v>0</v>
      </c>
      <c r="M450" t="str">
        <f t="shared" ref="M450:M513" si="94">TEXT(L450,"00.000")</f>
        <v>00.000</v>
      </c>
      <c r="N450" s="1" t="str">
        <f t="shared" ref="N450:N513" si="95">J450&amp;M450</f>
        <v>00000.000</v>
      </c>
      <c r="O450" t="str">
        <f>IF('Import OpenCPN'!W451&gt;0,"N","S")</f>
        <v>S</v>
      </c>
      <c r="P450" t="str">
        <f>IF('Import OpenCPN'!X451&gt;0,"E","W")</f>
        <v>W</v>
      </c>
    </row>
    <row r="451" spans="1:16" x14ac:dyDescent="0.2">
      <c r="A451">
        <f>'Import OpenCPN'!W452</f>
        <v>0</v>
      </c>
      <c r="B451">
        <f>'Import OpenCPN'!X452</f>
        <v>0</v>
      </c>
      <c r="C451">
        <f t="shared" si="84"/>
        <v>0</v>
      </c>
      <c r="D451" t="str">
        <f t="shared" si="85"/>
        <v>00</v>
      </c>
      <c r="E451">
        <f t="shared" si="86"/>
        <v>0</v>
      </c>
      <c r="F451">
        <f t="shared" si="87"/>
        <v>0</v>
      </c>
      <c r="G451" s="23" t="str">
        <f t="shared" si="88"/>
        <v>00.000</v>
      </c>
      <c r="H451" s="1" t="str">
        <f t="shared" si="89"/>
        <v>0000.000</v>
      </c>
      <c r="I451">
        <f t="shared" si="90"/>
        <v>0</v>
      </c>
      <c r="J451" t="str">
        <f t="shared" si="91"/>
        <v>000</v>
      </c>
      <c r="K451">
        <f t="shared" si="92"/>
        <v>0</v>
      </c>
      <c r="L451">
        <f t="shared" si="93"/>
        <v>0</v>
      </c>
      <c r="M451" t="str">
        <f t="shared" si="94"/>
        <v>00.000</v>
      </c>
      <c r="N451" s="1" t="str">
        <f t="shared" si="95"/>
        <v>00000.000</v>
      </c>
      <c r="O451" t="str">
        <f>IF('Import OpenCPN'!W452&gt;0,"N","S")</f>
        <v>S</v>
      </c>
      <c r="P451" t="str">
        <f>IF('Import OpenCPN'!X452&gt;0,"E","W")</f>
        <v>W</v>
      </c>
    </row>
    <row r="452" spans="1:16" x14ac:dyDescent="0.2">
      <c r="A452">
        <f>'Import OpenCPN'!W453</f>
        <v>0</v>
      </c>
      <c r="B452">
        <f>'Import OpenCPN'!X453</f>
        <v>0</v>
      </c>
      <c r="C452">
        <f t="shared" si="84"/>
        <v>0</v>
      </c>
      <c r="D452" t="str">
        <f t="shared" si="85"/>
        <v>00</v>
      </c>
      <c r="E452">
        <f t="shared" si="86"/>
        <v>0</v>
      </c>
      <c r="F452">
        <f t="shared" si="87"/>
        <v>0</v>
      </c>
      <c r="G452" s="23" t="str">
        <f t="shared" si="88"/>
        <v>00.000</v>
      </c>
      <c r="H452" s="1" t="str">
        <f t="shared" si="89"/>
        <v>0000.000</v>
      </c>
      <c r="I452">
        <f t="shared" si="90"/>
        <v>0</v>
      </c>
      <c r="J452" t="str">
        <f t="shared" si="91"/>
        <v>000</v>
      </c>
      <c r="K452">
        <f t="shared" si="92"/>
        <v>0</v>
      </c>
      <c r="L452">
        <f t="shared" si="93"/>
        <v>0</v>
      </c>
      <c r="M452" t="str">
        <f t="shared" si="94"/>
        <v>00.000</v>
      </c>
      <c r="N452" s="1" t="str">
        <f t="shared" si="95"/>
        <v>00000.000</v>
      </c>
      <c r="O452" t="str">
        <f>IF('Import OpenCPN'!W453&gt;0,"N","S")</f>
        <v>S</v>
      </c>
      <c r="P452" t="str">
        <f>IF('Import OpenCPN'!X453&gt;0,"E","W")</f>
        <v>W</v>
      </c>
    </row>
    <row r="453" spans="1:16" x14ac:dyDescent="0.2">
      <c r="A453">
        <f>'Import OpenCPN'!W454</f>
        <v>0</v>
      </c>
      <c r="B453">
        <f>'Import OpenCPN'!X454</f>
        <v>0</v>
      </c>
      <c r="C453">
        <f t="shared" si="84"/>
        <v>0</v>
      </c>
      <c r="D453" t="str">
        <f t="shared" si="85"/>
        <v>00</v>
      </c>
      <c r="E453">
        <f t="shared" si="86"/>
        <v>0</v>
      </c>
      <c r="F453">
        <f t="shared" si="87"/>
        <v>0</v>
      </c>
      <c r="G453" s="23" t="str">
        <f t="shared" si="88"/>
        <v>00.000</v>
      </c>
      <c r="H453" s="1" t="str">
        <f t="shared" si="89"/>
        <v>0000.000</v>
      </c>
      <c r="I453">
        <f t="shared" si="90"/>
        <v>0</v>
      </c>
      <c r="J453" t="str">
        <f t="shared" si="91"/>
        <v>000</v>
      </c>
      <c r="K453">
        <f t="shared" si="92"/>
        <v>0</v>
      </c>
      <c r="L453">
        <f t="shared" si="93"/>
        <v>0</v>
      </c>
      <c r="M453" t="str">
        <f t="shared" si="94"/>
        <v>00.000</v>
      </c>
      <c r="N453" s="1" t="str">
        <f t="shared" si="95"/>
        <v>00000.000</v>
      </c>
      <c r="O453" t="str">
        <f>IF('Import OpenCPN'!W454&gt;0,"N","S")</f>
        <v>S</v>
      </c>
      <c r="P453" t="str">
        <f>IF('Import OpenCPN'!X454&gt;0,"E","W")</f>
        <v>W</v>
      </c>
    </row>
    <row r="454" spans="1:16" x14ac:dyDescent="0.2">
      <c r="A454">
        <f>'Import OpenCPN'!W455</f>
        <v>0</v>
      </c>
      <c r="B454">
        <f>'Import OpenCPN'!X455</f>
        <v>0</v>
      </c>
      <c r="C454">
        <f t="shared" si="84"/>
        <v>0</v>
      </c>
      <c r="D454" t="str">
        <f t="shared" si="85"/>
        <v>00</v>
      </c>
      <c r="E454">
        <f t="shared" si="86"/>
        <v>0</v>
      </c>
      <c r="F454">
        <f t="shared" si="87"/>
        <v>0</v>
      </c>
      <c r="G454" s="23" t="str">
        <f t="shared" si="88"/>
        <v>00.000</v>
      </c>
      <c r="H454" s="1" t="str">
        <f t="shared" si="89"/>
        <v>0000.000</v>
      </c>
      <c r="I454">
        <f t="shared" si="90"/>
        <v>0</v>
      </c>
      <c r="J454" t="str">
        <f t="shared" si="91"/>
        <v>000</v>
      </c>
      <c r="K454">
        <f t="shared" si="92"/>
        <v>0</v>
      </c>
      <c r="L454">
        <f t="shared" si="93"/>
        <v>0</v>
      </c>
      <c r="M454" t="str">
        <f t="shared" si="94"/>
        <v>00.000</v>
      </c>
      <c r="N454" s="1" t="str">
        <f t="shared" si="95"/>
        <v>00000.000</v>
      </c>
      <c r="O454" t="str">
        <f>IF('Import OpenCPN'!W455&gt;0,"N","S")</f>
        <v>S</v>
      </c>
      <c r="P454" t="str">
        <f>IF('Import OpenCPN'!X455&gt;0,"E","W")</f>
        <v>W</v>
      </c>
    </row>
    <row r="455" spans="1:16" x14ac:dyDescent="0.2">
      <c r="A455">
        <f>'Import OpenCPN'!W456</f>
        <v>0</v>
      </c>
      <c r="B455">
        <f>'Import OpenCPN'!X456</f>
        <v>0</v>
      </c>
      <c r="C455">
        <f t="shared" si="84"/>
        <v>0</v>
      </c>
      <c r="D455" t="str">
        <f t="shared" si="85"/>
        <v>00</v>
      </c>
      <c r="E455">
        <f t="shared" si="86"/>
        <v>0</v>
      </c>
      <c r="F455">
        <f t="shared" si="87"/>
        <v>0</v>
      </c>
      <c r="G455" s="23" t="str">
        <f t="shared" si="88"/>
        <v>00.000</v>
      </c>
      <c r="H455" s="1" t="str">
        <f t="shared" si="89"/>
        <v>0000.000</v>
      </c>
      <c r="I455">
        <f t="shared" si="90"/>
        <v>0</v>
      </c>
      <c r="J455" t="str">
        <f t="shared" si="91"/>
        <v>000</v>
      </c>
      <c r="K455">
        <f t="shared" si="92"/>
        <v>0</v>
      </c>
      <c r="L455">
        <f t="shared" si="93"/>
        <v>0</v>
      </c>
      <c r="M455" t="str">
        <f t="shared" si="94"/>
        <v>00.000</v>
      </c>
      <c r="N455" s="1" t="str">
        <f t="shared" si="95"/>
        <v>00000.000</v>
      </c>
      <c r="O455" t="str">
        <f>IF('Import OpenCPN'!W456&gt;0,"N","S")</f>
        <v>S</v>
      </c>
      <c r="P455" t="str">
        <f>IF('Import OpenCPN'!X456&gt;0,"E","W")</f>
        <v>W</v>
      </c>
    </row>
    <row r="456" spans="1:16" x14ac:dyDescent="0.2">
      <c r="A456">
        <f>'Import OpenCPN'!W457</f>
        <v>0</v>
      </c>
      <c r="B456">
        <f>'Import OpenCPN'!X457</f>
        <v>0</v>
      </c>
      <c r="C456">
        <f t="shared" si="84"/>
        <v>0</v>
      </c>
      <c r="D456" t="str">
        <f t="shared" si="85"/>
        <v>00</v>
      </c>
      <c r="E456">
        <f t="shared" si="86"/>
        <v>0</v>
      </c>
      <c r="F456">
        <f t="shared" si="87"/>
        <v>0</v>
      </c>
      <c r="G456" s="23" t="str">
        <f t="shared" si="88"/>
        <v>00.000</v>
      </c>
      <c r="H456" s="1" t="str">
        <f t="shared" si="89"/>
        <v>0000.000</v>
      </c>
      <c r="I456">
        <f t="shared" si="90"/>
        <v>0</v>
      </c>
      <c r="J456" t="str">
        <f t="shared" si="91"/>
        <v>000</v>
      </c>
      <c r="K456">
        <f t="shared" si="92"/>
        <v>0</v>
      </c>
      <c r="L456">
        <f t="shared" si="93"/>
        <v>0</v>
      </c>
      <c r="M456" t="str">
        <f t="shared" si="94"/>
        <v>00.000</v>
      </c>
      <c r="N456" s="1" t="str">
        <f t="shared" si="95"/>
        <v>00000.000</v>
      </c>
      <c r="O456" t="str">
        <f>IF('Import OpenCPN'!W457&gt;0,"N","S")</f>
        <v>S</v>
      </c>
      <c r="P456" t="str">
        <f>IF('Import OpenCPN'!X457&gt;0,"E","W")</f>
        <v>W</v>
      </c>
    </row>
    <row r="457" spans="1:16" x14ac:dyDescent="0.2">
      <c r="A457">
        <f>'Import OpenCPN'!W458</f>
        <v>0</v>
      </c>
      <c r="B457">
        <f>'Import OpenCPN'!X458</f>
        <v>0</v>
      </c>
      <c r="C457">
        <f t="shared" si="84"/>
        <v>0</v>
      </c>
      <c r="D457" t="str">
        <f t="shared" si="85"/>
        <v>00</v>
      </c>
      <c r="E457">
        <f t="shared" si="86"/>
        <v>0</v>
      </c>
      <c r="F457">
        <f t="shared" si="87"/>
        <v>0</v>
      </c>
      <c r="G457" s="23" t="str">
        <f t="shared" si="88"/>
        <v>00.000</v>
      </c>
      <c r="H457" s="1" t="str">
        <f t="shared" si="89"/>
        <v>0000.000</v>
      </c>
      <c r="I457">
        <f t="shared" si="90"/>
        <v>0</v>
      </c>
      <c r="J457" t="str">
        <f t="shared" si="91"/>
        <v>000</v>
      </c>
      <c r="K457">
        <f t="shared" si="92"/>
        <v>0</v>
      </c>
      <c r="L457">
        <f t="shared" si="93"/>
        <v>0</v>
      </c>
      <c r="M457" t="str">
        <f t="shared" si="94"/>
        <v>00.000</v>
      </c>
      <c r="N457" s="1" t="str">
        <f t="shared" si="95"/>
        <v>00000.000</v>
      </c>
      <c r="O457" t="str">
        <f>IF('Import OpenCPN'!W458&gt;0,"N","S")</f>
        <v>S</v>
      </c>
      <c r="P457" t="str">
        <f>IF('Import OpenCPN'!X458&gt;0,"E","W")</f>
        <v>W</v>
      </c>
    </row>
    <row r="458" spans="1:16" x14ac:dyDescent="0.2">
      <c r="A458">
        <f>'Import OpenCPN'!W459</f>
        <v>0</v>
      </c>
      <c r="B458">
        <f>'Import OpenCPN'!X459</f>
        <v>0</v>
      </c>
      <c r="C458">
        <f t="shared" si="84"/>
        <v>0</v>
      </c>
      <c r="D458" t="str">
        <f t="shared" si="85"/>
        <v>00</v>
      </c>
      <c r="E458">
        <f t="shared" si="86"/>
        <v>0</v>
      </c>
      <c r="F458">
        <f t="shared" si="87"/>
        <v>0</v>
      </c>
      <c r="G458" s="23" t="str">
        <f t="shared" si="88"/>
        <v>00.000</v>
      </c>
      <c r="H458" s="1" t="str">
        <f t="shared" si="89"/>
        <v>0000.000</v>
      </c>
      <c r="I458">
        <f t="shared" si="90"/>
        <v>0</v>
      </c>
      <c r="J458" t="str">
        <f t="shared" si="91"/>
        <v>000</v>
      </c>
      <c r="K458">
        <f t="shared" si="92"/>
        <v>0</v>
      </c>
      <c r="L458">
        <f t="shared" si="93"/>
        <v>0</v>
      </c>
      <c r="M458" t="str">
        <f t="shared" si="94"/>
        <v>00.000</v>
      </c>
      <c r="N458" s="1" t="str">
        <f t="shared" si="95"/>
        <v>00000.000</v>
      </c>
      <c r="O458" t="str">
        <f>IF('Import OpenCPN'!W459&gt;0,"N","S")</f>
        <v>S</v>
      </c>
      <c r="P458" t="str">
        <f>IF('Import OpenCPN'!X459&gt;0,"E","W")</f>
        <v>W</v>
      </c>
    </row>
    <row r="459" spans="1:16" x14ac:dyDescent="0.2">
      <c r="A459">
        <f>'Import OpenCPN'!W460</f>
        <v>0</v>
      </c>
      <c r="B459">
        <f>'Import OpenCPN'!X460</f>
        <v>0</v>
      </c>
      <c r="C459">
        <f t="shared" si="84"/>
        <v>0</v>
      </c>
      <c r="D459" t="str">
        <f t="shared" si="85"/>
        <v>00</v>
      </c>
      <c r="E459">
        <f t="shared" si="86"/>
        <v>0</v>
      </c>
      <c r="F459">
        <f t="shared" si="87"/>
        <v>0</v>
      </c>
      <c r="G459" s="23" t="str">
        <f t="shared" si="88"/>
        <v>00.000</v>
      </c>
      <c r="H459" s="1" t="str">
        <f t="shared" si="89"/>
        <v>0000.000</v>
      </c>
      <c r="I459">
        <f t="shared" si="90"/>
        <v>0</v>
      </c>
      <c r="J459" t="str">
        <f t="shared" si="91"/>
        <v>000</v>
      </c>
      <c r="K459">
        <f t="shared" si="92"/>
        <v>0</v>
      </c>
      <c r="L459">
        <f t="shared" si="93"/>
        <v>0</v>
      </c>
      <c r="M459" t="str">
        <f t="shared" si="94"/>
        <v>00.000</v>
      </c>
      <c r="N459" s="1" t="str">
        <f t="shared" si="95"/>
        <v>00000.000</v>
      </c>
      <c r="O459" t="str">
        <f>IF('Import OpenCPN'!W460&gt;0,"N","S")</f>
        <v>S</v>
      </c>
      <c r="P459" t="str">
        <f>IF('Import OpenCPN'!X460&gt;0,"E","W")</f>
        <v>W</v>
      </c>
    </row>
    <row r="460" spans="1:16" x14ac:dyDescent="0.2">
      <c r="A460">
        <f>'Import OpenCPN'!W461</f>
        <v>0</v>
      </c>
      <c r="B460">
        <f>'Import OpenCPN'!X461</f>
        <v>0</v>
      </c>
      <c r="C460">
        <f t="shared" si="84"/>
        <v>0</v>
      </c>
      <c r="D460" t="str">
        <f t="shared" si="85"/>
        <v>00</v>
      </c>
      <c r="E460">
        <f t="shared" si="86"/>
        <v>0</v>
      </c>
      <c r="F460">
        <f t="shared" si="87"/>
        <v>0</v>
      </c>
      <c r="G460" s="23" t="str">
        <f t="shared" si="88"/>
        <v>00.000</v>
      </c>
      <c r="H460" s="1" t="str">
        <f t="shared" si="89"/>
        <v>0000.000</v>
      </c>
      <c r="I460">
        <f t="shared" si="90"/>
        <v>0</v>
      </c>
      <c r="J460" t="str">
        <f t="shared" si="91"/>
        <v>000</v>
      </c>
      <c r="K460">
        <f t="shared" si="92"/>
        <v>0</v>
      </c>
      <c r="L460">
        <f t="shared" si="93"/>
        <v>0</v>
      </c>
      <c r="M460" t="str">
        <f t="shared" si="94"/>
        <v>00.000</v>
      </c>
      <c r="N460" s="1" t="str">
        <f t="shared" si="95"/>
        <v>00000.000</v>
      </c>
      <c r="O460" t="str">
        <f>IF('Import OpenCPN'!W461&gt;0,"N","S")</f>
        <v>S</v>
      </c>
      <c r="P460" t="str">
        <f>IF('Import OpenCPN'!X461&gt;0,"E","W")</f>
        <v>W</v>
      </c>
    </row>
    <row r="461" spans="1:16" x14ac:dyDescent="0.2">
      <c r="A461">
        <f>'Import OpenCPN'!W462</f>
        <v>0</v>
      </c>
      <c r="B461">
        <f>'Import OpenCPN'!X462</f>
        <v>0</v>
      </c>
      <c r="C461">
        <f t="shared" si="84"/>
        <v>0</v>
      </c>
      <c r="D461" t="str">
        <f t="shared" si="85"/>
        <v>00</v>
      </c>
      <c r="E461">
        <f t="shared" si="86"/>
        <v>0</v>
      </c>
      <c r="F461">
        <f t="shared" si="87"/>
        <v>0</v>
      </c>
      <c r="G461" s="23" t="str">
        <f t="shared" si="88"/>
        <v>00.000</v>
      </c>
      <c r="H461" s="1" t="str">
        <f t="shared" si="89"/>
        <v>0000.000</v>
      </c>
      <c r="I461">
        <f t="shared" si="90"/>
        <v>0</v>
      </c>
      <c r="J461" t="str">
        <f t="shared" si="91"/>
        <v>000</v>
      </c>
      <c r="K461">
        <f t="shared" si="92"/>
        <v>0</v>
      </c>
      <c r="L461">
        <f t="shared" si="93"/>
        <v>0</v>
      </c>
      <c r="M461" t="str">
        <f t="shared" si="94"/>
        <v>00.000</v>
      </c>
      <c r="N461" s="1" t="str">
        <f t="shared" si="95"/>
        <v>00000.000</v>
      </c>
      <c r="O461" t="str">
        <f>IF('Import OpenCPN'!W462&gt;0,"N","S")</f>
        <v>S</v>
      </c>
      <c r="P461" t="str">
        <f>IF('Import OpenCPN'!X462&gt;0,"E","W")</f>
        <v>W</v>
      </c>
    </row>
    <row r="462" spans="1:16" x14ac:dyDescent="0.2">
      <c r="A462">
        <f>'Import OpenCPN'!W463</f>
        <v>0</v>
      </c>
      <c r="B462">
        <f>'Import OpenCPN'!X463</f>
        <v>0</v>
      </c>
      <c r="C462">
        <f t="shared" si="84"/>
        <v>0</v>
      </c>
      <c r="D462" t="str">
        <f t="shared" si="85"/>
        <v>00</v>
      </c>
      <c r="E462">
        <f t="shared" si="86"/>
        <v>0</v>
      </c>
      <c r="F462">
        <f t="shared" si="87"/>
        <v>0</v>
      </c>
      <c r="G462" s="23" t="str">
        <f t="shared" si="88"/>
        <v>00.000</v>
      </c>
      <c r="H462" s="1" t="str">
        <f t="shared" si="89"/>
        <v>0000.000</v>
      </c>
      <c r="I462">
        <f t="shared" si="90"/>
        <v>0</v>
      </c>
      <c r="J462" t="str">
        <f t="shared" si="91"/>
        <v>000</v>
      </c>
      <c r="K462">
        <f t="shared" si="92"/>
        <v>0</v>
      </c>
      <c r="L462">
        <f t="shared" si="93"/>
        <v>0</v>
      </c>
      <c r="M462" t="str">
        <f t="shared" si="94"/>
        <v>00.000</v>
      </c>
      <c r="N462" s="1" t="str">
        <f t="shared" si="95"/>
        <v>00000.000</v>
      </c>
      <c r="O462" t="str">
        <f>IF('Import OpenCPN'!W463&gt;0,"N","S")</f>
        <v>S</v>
      </c>
      <c r="P462" t="str">
        <f>IF('Import OpenCPN'!X463&gt;0,"E","W")</f>
        <v>W</v>
      </c>
    </row>
    <row r="463" spans="1:16" x14ac:dyDescent="0.2">
      <c r="A463">
        <f>'Import OpenCPN'!W464</f>
        <v>0</v>
      </c>
      <c r="B463">
        <f>'Import OpenCPN'!X464</f>
        <v>0</v>
      </c>
      <c r="C463">
        <f t="shared" si="84"/>
        <v>0</v>
      </c>
      <c r="D463" t="str">
        <f t="shared" si="85"/>
        <v>00</v>
      </c>
      <c r="E463">
        <f t="shared" si="86"/>
        <v>0</v>
      </c>
      <c r="F463">
        <f t="shared" si="87"/>
        <v>0</v>
      </c>
      <c r="G463" s="23" t="str">
        <f t="shared" si="88"/>
        <v>00.000</v>
      </c>
      <c r="H463" s="1" t="str">
        <f t="shared" si="89"/>
        <v>0000.000</v>
      </c>
      <c r="I463">
        <f t="shared" si="90"/>
        <v>0</v>
      </c>
      <c r="J463" t="str">
        <f t="shared" si="91"/>
        <v>000</v>
      </c>
      <c r="K463">
        <f t="shared" si="92"/>
        <v>0</v>
      </c>
      <c r="L463">
        <f t="shared" si="93"/>
        <v>0</v>
      </c>
      <c r="M463" t="str">
        <f t="shared" si="94"/>
        <v>00.000</v>
      </c>
      <c r="N463" s="1" t="str">
        <f t="shared" si="95"/>
        <v>00000.000</v>
      </c>
      <c r="O463" t="str">
        <f>IF('Import OpenCPN'!W464&gt;0,"N","S")</f>
        <v>S</v>
      </c>
      <c r="P463" t="str">
        <f>IF('Import OpenCPN'!X464&gt;0,"E","W")</f>
        <v>W</v>
      </c>
    </row>
    <row r="464" spans="1:16" x14ac:dyDescent="0.2">
      <c r="A464">
        <f>'Import OpenCPN'!W465</f>
        <v>0</v>
      </c>
      <c r="B464">
        <f>'Import OpenCPN'!X465</f>
        <v>0</v>
      </c>
      <c r="C464">
        <f t="shared" si="84"/>
        <v>0</v>
      </c>
      <c r="D464" t="str">
        <f t="shared" si="85"/>
        <v>00</v>
      </c>
      <c r="E464">
        <f t="shared" si="86"/>
        <v>0</v>
      </c>
      <c r="F464">
        <f t="shared" si="87"/>
        <v>0</v>
      </c>
      <c r="G464" s="23" t="str">
        <f t="shared" si="88"/>
        <v>00.000</v>
      </c>
      <c r="H464" s="1" t="str">
        <f t="shared" si="89"/>
        <v>0000.000</v>
      </c>
      <c r="I464">
        <f t="shared" si="90"/>
        <v>0</v>
      </c>
      <c r="J464" t="str">
        <f t="shared" si="91"/>
        <v>000</v>
      </c>
      <c r="K464">
        <f t="shared" si="92"/>
        <v>0</v>
      </c>
      <c r="L464">
        <f t="shared" si="93"/>
        <v>0</v>
      </c>
      <c r="M464" t="str">
        <f t="shared" si="94"/>
        <v>00.000</v>
      </c>
      <c r="N464" s="1" t="str">
        <f t="shared" si="95"/>
        <v>00000.000</v>
      </c>
      <c r="O464" t="str">
        <f>IF('Import OpenCPN'!W465&gt;0,"N","S")</f>
        <v>S</v>
      </c>
      <c r="P464" t="str">
        <f>IF('Import OpenCPN'!X465&gt;0,"E","W")</f>
        <v>W</v>
      </c>
    </row>
    <row r="465" spans="1:16" x14ac:dyDescent="0.2">
      <c r="A465">
        <f>'Import OpenCPN'!W466</f>
        <v>0</v>
      </c>
      <c r="B465">
        <f>'Import OpenCPN'!X466</f>
        <v>0</v>
      </c>
      <c r="C465">
        <f t="shared" si="84"/>
        <v>0</v>
      </c>
      <c r="D465" t="str">
        <f t="shared" si="85"/>
        <v>00</v>
      </c>
      <c r="E465">
        <f t="shared" si="86"/>
        <v>0</v>
      </c>
      <c r="F465">
        <f t="shared" si="87"/>
        <v>0</v>
      </c>
      <c r="G465" s="23" t="str">
        <f t="shared" si="88"/>
        <v>00.000</v>
      </c>
      <c r="H465" s="1" t="str">
        <f t="shared" si="89"/>
        <v>0000.000</v>
      </c>
      <c r="I465">
        <f t="shared" si="90"/>
        <v>0</v>
      </c>
      <c r="J465" t="str">
        <f t="shared" si="91"/>
        <v>000</v>
      </c>
      <c r="K465">
        <f t="shared" si="92"/>
        <v>0</v>
      </c>
      <c r="L465">
        <f t="shared" si="93"/>
        <v>0</v>
      </c>
      <c r="M465" t="str">
        <f t="shared" si="94"/>
        <v>00.000</v>
      </c>
      <c r="N465" s="1" t="str">
        <f t="shared" si="95"/>
        <v>00000.000</v>
      </c>
      <c r="O465" t="str">
        <f>IF('Import OpenCPN'!W466&gt;0,"N","S")</f>
        <v>S</v>
      </c>
      <c r="P465" t="str">
        <f>IF('Import OpenCPN'!X466&gt;0,"E","W")</f>
        <v>W</v>
      </c>
    </row>
    <row r="466" spans="1:16" x14ac:dyDescent="0.2">
      <c r="A466">
        <f>'Import OpenCPN'!W467</f>
        <v>0</v>
      </c>
      <c r="B466">
        <f>'Import OpenCPN'!X467</f>
        <v>0</v>
      </c>
      <c r="C466">
        <f t="shared" si="84"/>
        <v>0</v>
      </c>
      <c r="D466" t="str">
        <f t="shared" si="85"/>
        <v>00</v>
      </c>
      <c r="E466">
        <f t="shared" si="86"/>
        <v>0</v>
      </c>
      <c r="F466">
        <f t="shared" si="87"/>
        <v>0</v>
      </c>
      <c r="G466" s="23" t="str">
        <f t="shared" si="88"/>
        <v>00.000</v>
      </c>
      <c r="H466" s="1" t="str">
        <f t="shared" si="89"/>
        <v>0000.000</v>
      </c>
      <c r="I466">
        <f t="shared" si="90"/>
        <v>0</v>
      </c>
      <c r="J466" t="str">
        <f t="shared" si="91"/>
        <v>000</v>
      </c>
      <c r="K466">
        <f t="shared" si="92"/>
        <v>0</v>
      </c>
      <c r="L466">
        <f t="shared" si="93"/>
        <v>0</v>
      </c>
      <c r="M466" t="str">
        <f t="shared" si="94"/>
        <v>00.000</v>
      </c>
      <c r="N466" s="1" t="str">
        <f t="shared" si="95"/>
        <v>00000.000</v>
      </c>
      <c r="O466" t="str">
        <f>IF('Import OpenCPN'!W467&gt;0,"N","S")</f>
        <v>S</v>
      </c>
      <c r="P466" t="str">
        <f>IF('Import OpenCPN'!X467&gt;0,"E","W")</f>
        <v>W</v>
      </c>
    </row>
    <row r="467" spans="1:16" x14ac:dyDescent="0.2">
      <c r="A467">
        <f>'Import OpenCPN'!W468</f>
        <v>0</v>
      </c>
      <c r="B467">
        <f>'Import OpenCPN'!X468</f>
        <v>0</v>
      </c>
      <c r="C467">
        <f t="shared" si="84"/>
        <v>0</v>
      </c>
      <c r="D467" t="str">
        <f t="shared" si="85"/>
        <v>00</v>
      </c>
      <c r="E467">
        <f t="shared" si="86"/>
        <v>0</v>
      </c>
      <c r="F467">
        <f t="shared" si="87"/>
        <v>0</v>
      </c>
      <c r="G467" s="23" t="str">
        <f t="shared" si="88"/>
        <v>00.000</v>
      </c>
      <c r="H467" s="1" t="str">
        <f t="shared" si="89"/>
        <v>0000.000</v>
      </c>
      <c r="I467">
        <f t="shared" si="90"/>
        <v>0</v>
      </c>
      <c r="J467" t="str">
        <f t="shared" si="91"/>
        <v>000</v>
      </c>
      <c r="K467">
        <f t="shared" si="92"/>
        <v>0</v>
      </c>
      <c r="L467">
        <f t="shared" si="93"/>
        <v>0</v>
      </c>
      <c r="M467" t="str">
        <f t="shared" si="94"/>
        <v>00.000</v>
      </c>
      <c r="N467" s="1" t="str">
        <f t="shared" si="95"/>
        <v>00000.000</v>
      </c>
      <c r="O467" t="str">
        <f>IF('Import OpenCPN'!W468&gt;0,"N","S")</f>
        <v>S</v>
      </c>
      <c r="P467" t="str">
        <f>IF('Import OpenCPN'!X468&gt;0,"E","W")</f>
        <v>W</v>
      </c>
    </row>
    <row r="468" spans="1:16" x14ac:dyDescent="0.2">
      <c r="A468">
        <f>'Import OpenCPN'!W469</f>
        <v>0</v>
      </c>
      <c r="B468">
        <f>'Import OpenCPN'!X469</f>
        <v>0</v>
      </c>
      <c r="C468">
        <f t="shared" si="84"/>
        <v>0</v>
      </c>
      <c r="D468" t="str">
        <f t="shared" si="85"/>
        <v>00</v>
      </c>
      <c r="E468">
        <f t="shared" si="86"/>
        <v>0</v>
      </c>
      <c r="F468">
        <f t="shared" si="87"/>
        <v>0</v>
      </c>
      <c r="G468" s="23" t="str">
        <f t="shared" si="88"/>
        <v>00.000</v>
      </c>
      <c r="H468" s="1" t="str">
        <f t="shared" si="89"/>
        <v>0000.000</v>
      </c>
      <c r="I468">
        <f t="shared" si="90"/>
        <v>0</v>
      </c>
      <c r="J468" t="str">
        <f t="shared" si="91"/>
        <v>000</v>
      </c>
      <c r="K468">
        <f t="shared" si="92"/>
        <v>0</v>
      </c>
      <c r="L468">
        <f t="shared" si="93"/>
        <v>0</v>
      </c>
      <c r="M468" t="str">
        <f t="shared" si="94"/>
        <v>00.000</v>
      </c>
      <c r="N468" s="1" t="str">
        <f t="shared" si="95"/>
        <v>00000.000</v>
      </c>
      <c r="O468" t="str">
        <f>IF('Import OpenCPN'!W469&gt;0,"N","S")</f>
        <v>S</v>
      </c>
      <c r="P468" t="str">
        <f>IF('Import OpenCPN'!X469&gt;0,"E","W")</f>
        <v>W</v>
      </c>
    </row>
    <row r="469" spans="1:16" x14ac:dyDescent="0.2">
      <c r="A469">
        <f>'Import OpenCPN'!W470</f>
        <v>0</v>
      </c>
      <c r="B469">
        <f>'Import OpenCPN'!X470</f>
        <v>0</v>
      </c>
      <c r="C469">
        <f t="shared" si="84"/>
        <v>0</v>
      </c>
      <c r="D469" t="str">
        <f t="shared" si="85"/>
        <v>00</v>
      </c>
      <c r="E469">
        <f t="shared" si="86"/>
        <v>0</v>
      </c>
      <c r="F469">
        <f t="shared" si="87"/>
        <v>0</v>
      </c>
      <c r="G469" s="23" t="str">
        <f t="shared" si="88"/>
        <v>00.000</v>
      </c>
      <c r="H469" s="1" t="str">
        <f t="shared" si="89"/>
        <v>0000.000</v>
      </c>
      <c r="I469">
        <f t="shared" si="90"/>
        <v>0</v>
      </c>
      <c r="J469" t="str">
        <f t="shared" si="91"/>
        <v>000</v>
      </c>
      <c r="K469">
        <f t="shared" si="92"/>
        <v>0</v>
      </c>
      <c r="L469">
        <f t="shared" si="93"/>
        <v>0</v>
      </c>
      <c r="M469" t="str">
        <f t="shared" si="94"/>
        <v>00.000</v>
      </c>
      <c r="N469" s="1" t="str">
        <f t="shared" si="95"/>
        <v>00000.000</v>
      </c>
      <c r="O469" t="str">
        <f>IF('Import OpenCPN'!W470&gt;0,"N","S")</f>
        <v>S</v>
      </c>
      <c r="P469" t="str">
        <f>IF('Import OpenCPN'!X470&gt;0,"E","W")</f>
        <v>W</v>
      </c>
    </row>
    <row r="470" spans="1:16" x14ac:dyDescent="0.2">
      <c r="A470">
        <f>'Import OpenCPN'!W471</f>
        <v>0</v>
      </c>
      <c r="B470">
        <f>'Import OpenCPN'!X471</f>
        <v>0</v>
      </c>
      <c r="C470">
        <f t="shared" si="84"/>
        <v>0</v>
      </c>
      <c r="D470" t="str">
        <f t="shared" si="85"/>
        <v>00</v>
      </c>
      <c r="E470">
        <f t="shared" si="86"/>
        <v>0</v>
      </c>
      <c r="F470">
        <f t="shared" si="87"/>
        <v>0</v>
      </c>
      <c r="G470" s="23" t="str">
        <f t="shared" si="88"/>
        <v>00.000</v>
      </c>
      <c r="H470" s="1" t="str">
        <f t="shared" si="89"/>
        <v>0000.000</v>
      </c>
      <c r="I470">
        <f t="shared" si="90"/>
        <v>0</v>
      </c>
      <c r="J470" t="str">
        <f t="shared" si="91"/>
        <v>000</v>
      </c>
      <c r="K470">
        <f t="shared" si="92"/>
        <v>0</v>
      </c>
      <c r="L470">
        <f t="shared" si="93"/>
        <v>0</v>
      </c>
      <c r="M470" t="str">
        <f t="shared" si="94"/>
        <v>00.000</v>
      </c>
      <c r="N470" s="1" t="str">
        <f t="shared" si="95"/>
        <v>00000.000</v>
      </c>
      <c r="O470" t="str">
        <f>IF('Import OpenCPN'!W471&gt;0,"N","S")</f>
        <v>S</v>
      </c>
      <c r="P470" t="str">
        <f>IF('Import OpenCPN'!X471&gt;0,"E","W")</f>
        <v>W</v>
      </c>
    </row>
    <row r="471" spans="1:16" x14ac:dyDescent="0.2">
      <c r="A471">
        <f>'Import OpenCPN'!W472</f>
        <v>0</v>
      </c>
      <c r="B471">
        <f>'Import OpenCPN'!X472</f>
        <v>0</v>
      </c>
      <c r="C471">
        <f t="shared" si="84"/>
        <v>0</v>
      </c>
      <c r="D471" t="str">
        <f t="shared" si="85"/>
        <v>00</v>
      </c>
      <c r="E471">
        <f t="shared" si="86"/>
        <v>0</v>
      </c>
      <c r="F471">
        <f t="shared" si="87"/>
        <v>0</v>
      </c>
      <c r="G471" s="23" t="str">
        <f t="shared" si="88"/>
        <v>00.000</v>
      </c>
      <c r="H471" s="1" t="str">
        <f t="shared" si="89"/>
        <v>0000.000</v>
      </c>
      <c r="I471">
        <f t="shared" si="90"/>
        <v>0</v>
      </c>
      <c r="J471" t="str">
        <f t="shared" si="91"/>
        <v>000</v>
      </c>
      <c r="K471">
        <f t="shared" si="92"/>
        <v>0</v>
      </c>
      <c r="L471">
        <f t="shared" si="93"/>
        <v>0</v>
      </c>
      <c r="M471" t="str">
        <f t="shared" si="94"/>
        <v>00.000</v>
      </c>
      <c r="N471" s="1" t="str">
        <f t="shared" si="95"/>
        <v>00000.000</v>
      </c>
      <c r="O471" t="str">
        <f>IF('Import OpenCPN'!W472&gt;0,"N","S")</f>
        <v>S</v>
      </c>
      <c r="P471" t="str">
        <f>IF('Import OpenCPN'!X472&gt;0,"E","W")</f>
        <v>W</v>
      </c>
    </row>
    <row r="472" spans="1:16" x14ac:dyDescent="0.2">
      <c r="A472">
        <f>'Import OpenCPN'!W473</f>
        <v>0</v>
      </c>
      <c r="B472">
        <f>'Import OpenCPN'!X473</f>
        <v>0</v>
      </c>
      <c r="C472">
        <f t="shared" si="84"/>
        <v>0</v>
      </c>
      <c r="D472" t="str">
        <f t="shared" si="85"/>
        <v>00</v>
      </c>
      <c r="E472">
        <f t="shared" si="86"/>
        <v>0</v>
      </c>
      <c r="F472">
        <f t="shared" si="87"/>
        <v>0</v>
      </c>
      <c r="G472" s="23" t="str">
        <f t="shared" si="88"/>
        <v>00.000</v>
      </c>
      <c r="H472" s="1" t="str">
        <f t="shared" si="89"/>
        <v>0000.000</v>
      </c>
      <c r="I472">
        <f t="shared" si="90"/>
        <v>0</v>
      </c>
      <c r="J472" t="str">
        <f t="shared" si="91"/>
        <v>000</v>
      </c>
      <c r="K472">
        <f t="shared" si="92"/>
        <v>0</v>
      </c>
      <c r="L472">
        <f t="shared" si="93"/>
        <v>0</v>
      </c>
      <c r="M472" t="str">
        <f t="shared" si="94"/>
        <v>00.000</v>
      </c>
      <c r="N472" s="1" t="str">
        <f t="shared" si="95"/>
        <v>00000.000</v>
      </c>
      <c r="O472" t="str">
        <f>IF('Import OpenCPN'!W473&gt;0,"N","S")</f>
        <v>S</v>
      </c>
      <c r="P472" t="str">
        <f>IF('Import OpenCPN'!X473&gt;0,"E","W")</f>
        <v>W</v>
      </c>
    </row>
    <row r="473" spans="1:16" x14ac:dyDescent="0.2">
      <c r="A473">
        <f>'Import OpenCPN'!W474</f>
        <v>0</v>
      </c>
      <c r="B473">
        <f>'Import OpenCPN'!X474</f>
        <v>0</v>
      </c>
      <c r="C473">
        <f t="shared" si="84"/>
        <v>0</v>
      </c>
      <c r="D473" t="str">
        <f t="shared" si="85"/>
        <v>00</v>
      </c>
      <c r="E473">
        <f t="shared" si="86"/>
        <v>0</v>
      </c>
      <c r="F473">
        <f t="shared" si="87"/>
        <v>0</v>
      </c>
      <c r="G473" s="23" t="str">
        <f t="shared" si="88"/>
        <v>00.000</v>
      </c>
      <c r="H473" s="1" t="str">
        <f t="shared" si="89"/>
        <v>0000.000</v>
      </c>
      <c r="I473">
        <f t="shared" si="90"/>
        <v>0</v>
      </c>
      <c r="J473" t="str">
        <f t="shared" si="91"/>
        <v>000</v>
      </c>
      <c r="K473">
        <f t="shared" si="92"/>
        <v>0</v>
      </c>
      <c r="L473">
        <f t="shared" si="93"/>
        <v>0</v>
      </c>
      <c r="M473" t="str">
        <f t="shared" si="94"/>
        <v>00.000</v>
      </c>
      <c r="N473" s="1" t="str">
        <f t="shared" si="95"/>
        <v>00000.000</v>
      </c>
      <c r="O473" t="str">
        <f>IF('Import OpenCPN'!W474&gt;0,"N","S")</f>
        <v>S</v>
      </c>
      <c r="P473" t="str">
        <f>IF('Import OpenCPN'!X474&gt;0,"E","W")</f>
        <v>W</v>
      </c>
    </row>
    <row r="474" spans="1:16" x14ac:dyDescent="0.2">
      <c r="A474">
        <f>'Import OpenCPN'!W475</f>
        <v>0</v>
      </c>
      <c r="B474">
        <f>'Import OpenCPN'!X475</f>
        <v>0</v>
      </c>
      <c r="C474">
        <f t="shared" si="84"/>
        <v>0</v>
      </c>
      <c r="D474" t="str">
        <f t="shared" si="85"/>
        <v>00</v>
      </c>
      <c r="E474">
        <f t="shared" si="86"/>
        <v>0</v>
      </c>
      <c r="F474">
        <f t="shared" si="87"/>
        <v>0</v>
      </c>
      <c r="G474" s="23" t="str">
        <f t="shared" si="88"/>
        <v>00.000</v>
      </c>
      <c r="H474" s="1" t="str">
        <f t="shared" si="89"/>
        <v>0000.000</v>
      </c>
      <c r="I474">
        <f t="shared" si="90"/>
        <v>0</v>
      </c>
      <c r="J474" t="str">
        <f t="shared" si="91"/>
        <v>000</v>
      </c>
      <c r="K474">
        <f t="shared" si="92"/>
        <v>0</v>
      </c>
      <c r="L474">
        <f t="shared" si="93"/>
        <v>0</v>
      </c>
      <c r="M474" t="str">
        <f t="shared" si="94"/>
        <v>00.000</v>
      </c>
      <c r="N474" s="1" t="str">
        <f t="shared" si="95"/>
        <v>00000.000</v>
      </c>
      <c r="O474" t="str">
        <f>IF('Import OpenCPN'!W475&gt;0,"N","S")</f>
        <v>S</v>
      </c>
      <c r="P474" t="str">
        <f>IF('Import OpenCPN'!X475&gt;0,"E","W")</f>
        <v>W</v>
      </c>
    </row>
    <row r="475" spans="1:16" x14ac:dyDescent="0.2">
      <c r="A475">
        <f>'Import OpenCPN'!W476</f>
        <v>0</v>
      </c>
      <c r="B475">
        <f>'Import OpenCPN'!X476</f>
        <v>0</v>
      </c>
      <c r="C475">
        <f t="shared" si="84"/>
        <v>0</v>
      </c>
      <c r="D475" t="str">
        <f t="shared" si="85"/>
        <v>00</v>
      </c>
      <c r="E475">
        <f t="shared" si="86"/>
        <v>0</v>
      </c>
      <c r="F475">
        <f t="shared" si="87"/>
        <v>0</v>
      </c>
      <c r="G475" s="23" t="str">
        <f t="shared" si="88"/>
        <v>00.000</v>
      </c>
      <c r="H475" s="1" t="str">
        <f t="shared" si="89"/>
        <v>0000.000</v>
      </c>
      <c r="I475">
        <f t="shared" si="90"/>
        <v>0</v>
      </c>
      <c r="J475" t="str">
        <f t="shared" si="91"/>
        <v>000</v>
      </c>
      <c r="K475">
        <f t="shared" si="92"/>
        <v>0</v>
      </c>
      <c r="L475">
        <f t="shared" si="93"/>
        <v>0</v>
      </c>
      <c r="M475" t="str">
        <f t="shared" si="94"/>
        <v>00.000</v>
      </c>
      <c r="N475" s="1" t="str">
        <f t="shared" si="95"/>
        <v>00000.000</v>
      </c>
      <c r="O475" t="str">
        <f>IF('Import OpenCPN'!W476&gt;0,"N","S")</f>
        <v>S</v>
      </c>
      <c r="P475" t="str">
        <f>IF('Import OpenCPN'!X476&gt;0,"E","W")</f>
        <v>W</v>
      </c>
    </row>
    <row r="476" spans="1:16" x14ac:dyDescent="0.2">
      <c r="A476">
        <f>'Import OpenCPN'!W477</f>
        <v>0</v>
      </c>
      <c r="B476">
        <f>'Import OpenCPN'!X477</f>
        <v>0</v>
      </c>
      <c r="C476">
        <f t="shared" si="84"/>
        <v>0</v>
      </c>
      <c r="D476" t="str">
        <f t="shared" si="85"/>
        <v>00</v>
      </c>
      <c r="E476">
        <f t="shared" si="86"/>
        <v>0</v>
      </c>
      <c r="F476">
        <f t="shared" si="87"/>
        <v>0</v>
      </c>
      <c r="G476" s="23" t="str">
        <f t="shared" si="88"/>
        <v>00.000</v>
      </c>
      <c r="H476" s="1" t="str">
        <f t="shared" si="89"/>
        <v>0000.000</v>
      </c>
      <c r="I476">
        <f t="shared" si="90"/>
        <v>0</v>
      </c>
      <c r="J476" t="str">
        <f t="shared" si="91"/>
        <v>000</v>
      </c>
      <c r="K476">
        <f t="shared" si="92"/>
        <v>0</v>
      </c>
      <c r="L476">
        <f t="shared" si="93"/>
        <v>0</v>
      </c>
      <c r="M476" t="str">
        <f t="shared" si="94"/>
        <v>00.000</v>
      </c>
      <c r="N476" s="1" t="str">
        <f t="shared" si="95"/>
        <v>00000.000</v>
      </c>
      <c r="O476" t="str">
        <f>IF('Import OpenCPN'!W477&gt;0,"N","S")</f>
        <v>S</v>
      </c>
      <c r="P476" t="str">
        <f>IF('Import OpenCPN'!X477&gt;0,"E","W")</f>
        <v>W</v>
      </c>
    </row>
    <row r="477" spans="1:16" x14ac:dyDescent="0.2">
      <c r="A477">
        <f>'Import OpenCPN'!W478</f>
        <v>0</v>
      </c>
      <c r="B477">
        <f>'Import OpenCPN'!X478</f>
        <v>0</v>
      </c>
      <c r="C477">
        <f t="shared" si="84"/>
        <v>0</v>
      </c>
      <c r="D477" t="str">
        <f t="shared" si="85"/>
        <v>00</v>
      </c>
      <c r="E477">
        <f t="shared" si="86"/>
        <v>0</v>
      </c>
      <c r="F477">
        <f t="shared" si="87"/>
        <v>0</v>
      </c>
      <c r="G477" s="23" t="str">
        <f t="shared" si="88"/>
        <v>00.000</v>
      </c>
      <c r="H477" s="1" t="str">
        <f t="shared" si="89"/>
        <v>0000.000</v>
      </c>
      <c r="I477">
        <f t="shared" si="90"/>
        <v>0</v>
      </c>
      <c r="J477" t="str">
        <f t="shared" si="91"/>
        <v>000</v>
      </c>
      <c r="K477">
        <f t="shared" si="92"/>
        <v>0</v>
      </c>
      <c r="L477">
        <f t="shared" si="93"/>
        <v>0</v>
      </c>
      <c r="M477" t="str">
        <f t="shared" si="94"/>
        <v>00.000</v>
      </c>
      <c r="N477" s="1" t="str">
        <f t="shared" si="95"/>
        <v>00000.000</v>
      </c>
      <c r="O477" t="str">
        <f>IF('Import OpenCPN'!W478&gt;0,"N","S")</f>
        <v>S</v>
      </c>
      <c r="P477" t="str">
        <f>IF('Import OpenCPN'!X478&gt;0,"E","W")</f>
        <v>W</v>
      </c>
    </row>
    <row r="478" spans="1:16" x14ac:dyDescent="0.2">
      <c r="A478">
        <f>'Import OpenCPN'!W479</f>
        <v>0</v>
      </c>
      <c r="B478">
        <f>'Import OpenCPN'!X479</f>
        <v>0</v>
      </c>
      <c r="C478">
        <f t="shared" si="84"/>
        <v>0</v>
      </c>
      <c r="D478" t="str">
        <f t="shared" si="85"/>
        <v>00</v>
      </c>
      <c r="E478">
        <f t="shared" si="86"/>
        <v>0</v>
      </c>
      <c r="F478">
        <f t="shared" si="87"/>
        <v>0</v>
      </c>
      <c r="G478" s="23" t="str">
        <f t="shared" si="88"/>
        <v>00.000</v>
      </c>
      <c r="H478" s="1" t="str">
        <f t="shared" si="89"/>
        <v>0000.000</v>
      </c>
      <c r="I478">
        <f t="shared" si="90"/>
        <v>0</v>
      </c>
      <c r="J478" t="str">
        <f t="shared" si="91"/>
        <v>000</v>
      </c>
      <c r="K478">
        <f t="shared" si="92"/>
        <v>0</v>
      </c>
      <c r="L478">
        <f t="shared" si="93"/>
        <v>0</v>
      </c>
      <c r="M478" t="str">
        <f t="shared" si="94"/>
        <v>00.000</v>
      </c>
      <c r="N478" s="1" t="str">
        <f t="shared" si="95"/>
        <v>00000.000</v>
      </c>
      <c r="O478" t="str">
        <f>IF('Import OpenCPN'!W479&gt;0,"N","S")</f>
        <v>S</v>
      </c>
      <c r="P478" t="str">
        <f>IF('Import OpenCPN'!X479&gt;0,"E","W")</f>
        <v>W</v>
      </c>
    </row>
    <row r="479" spans="1:16" x14ac:dyDescent="0.2">
      <c r="A479">
        <f>'Import OpenCPN'!W480</f>
        <v>0</v>
      </c>
      <c r="B479">
        <f>'Import OpenCPN'!X480</f>
        <v>0</v>
      </c>
      <c r="C479">
        <f t="shared" si="84"/>
        <v>0</v>
      </c>
      <c r="D479" t="str">
        <f t="shared" si="85"/>
        <v>00</v>
      </c>
      <c r="E479">
        <f t="shared" si="86"/>
        <v>0</v>
      </c>
      <c r="F479">
        <f t="shared" si="87"/>
        <v>0</v>
      </c>
      <c r="G479" s="23" t="str">
        <f t="shared" si="88"/>
        <v>00.000</v>
      </c>
      <c r="H479" s="1" t="str">
        <f t="shared" si="89"/>
        <v>0000.000</v>
      </c>
      <c r="I479">
        <f t="shared" si="90"/>
        <v>0</v>
      </c>
      <c r="J479" t="str">
        <f t="shared" si="91"/>
        <v>000</v>
      </c>
      <c r="K479">
        <f t="shared" si="92"/>
        <v>0</v>
      </c>
      <c r="L479">
        <f t="shared" si="93"/>
        <v>0</v>
      </c>
      <c r="M479" t="str">
        <f t="shared" si="94"/>
        <v>00.000</v>
      </c>
      <c r="N479" s="1" t="str">
        <f t="shared" si="95"/>
        <v>00000.000</v>
      </c>
      <c r="O479" t="str">
        <f>IF('Import OpenCPN'!W480&gt;0,"N","S")</f>
        <v>S</v>
      </c>
      <c r="P479" t="str">
        <f>IF('Import OpenCPN'!X480&gt;0,"E","W")</f>
        <v>W</v>
      </c>
    </row>
    <row r="480" spans="1:16" x14ac:dyDescent="0.2">
      <c r="A480">
        <f>'Import OpenCPN'!W481</f>
        <v>0</v>
      </c>
      <c r="B480">
        <f>'Import OpenCPN'!X481</f>
        <v>0</v>
      </c>
      <c r="C480">
        <f t="shared" si="84"/>
        <v>0</v>
      </c>
      <c r="D480" t="str">
        <f t="shared" si="85"/>
        <v>00</v>
      </c>
      <c r="E480">
        <f t="shared" si="86"/>
        <v>0</v>
      </c>
      <c r="F480">
        <f t="shared" si="87"/>
        <v>0</v>
      </c>
      <c r="G480" s="23" t="str">
        <f t="shared" si="88"/>
        <v>00.000</v>
      </c>
      <c r="H480" s="1" t="str">
        <f t="shared" si="89"/>
        <v>0000.000</v>
      </c>
      <c r="I480">
        <f t="shared" si="90"/>
        <v>0</v>
      </c>
      <c r="J480" t="str">
        <f t="shared" si="91"/>
        <v>000</v>
      </c>
      <c r="K480">
        <f t="shared" si="92"/>
        <v>0</v>
      </c>
      <c r="L480">
        <f t="shared" si="93"/>
        <v>0</v>
      </c>
      <c r="M480" t="str">
        <f t="shared" si="94"/>
        <v>00.000</v>
      </c>
      <c r="N480" s="1" t="str">
        <f t="shared" si="95"/>
        <v>00000.000</v>
      </c>
      <c r="O480" t="str">
        <f>IF('Import OpenCPN'!W481&gt;0,"N","S")</f>
        <v>S</v>
      </c>
      <c r="P480" t="str">
        <f>IF('Import OpenCPN'!X481&gt;0,"E","W")</f>
        <v>W</v>
      </c>
    </row>
    <row r="481" spans="1:16" x14ac:dyDescent="0.2">
      <c r="A481">
        <f>'Import OpenCPN'!W482</f>
        <v>0</v>
      </c>
      <c r="B481">
        <f>'Import OpenCPN'!X482</f>
        <v>0</v>
      </c>
      <c r="C481">
        <f t="shared" si="84"/>
        <v>0</v>
      </c>
      <c r="D481" t="str">
        <f t="shared" si="85"/>
        <v>00</v>
      </c>
      <c r="E481">
        <f t="shared" si="86"/>
        <v>0</v>
      </c>
      <c r="F481">
        <f t="shared" si="87"/>
        <v>0</v>
      </c>
      <c r="G481" s="23" t="str">
        <f t="shared" si="88"/>
        <v>00.000</v>
      </c>
      <c r="H481" s="1" t="str">
        <f t="shared" si="89"/>
        <v>0000.000</v>
      </c>
      <c r="I481">
        <f t="shared" si="90"/>
        <v>0</v>
      </c>
      <c r="J481" t="str">
        <f t="shared" si="91"/>
        <v>000</v>
      </c>
      <c r="K481">
        <f t="shared" si="92"/>
        <v>0</v>
      </c>
      <c r="L481">
        <f t="shared" si="93"/>
        <v>0</v>
      </c>
      <c r="M481" t="str">
        <f t="shared" si="94"/>
        <v>00.000</v>
      </c>
      <c r="N481" s="1" t="str">
        <f t="shared" si="95"/>
        <v>00000.000</v>
      </c>
      <c r="O481" t="str">
        <f>IF('Import OpenCPN'!W482&gt;0,"N","S")</f>
        <v>S</v>
      </c>
      <c r="P481" t="str">
        <f>IF('Import OpenCPN'!X482&gt;0,"E","W")</f>
        <v>W</v>
      </c>
    </row>
    <row r="482" spans="1:16" x14ac:dyDescent="0.2">
      <c r="A482">
        <f>'Import OpenCPN'!W483</f>
        <v>0</v>
      </c>
      <c r="B482">
        <f>'Import OpenCPN'!X483</f>
        <v>0</v>
      </c>
      <c r="C482">
        <f t="shared" si="84"/>
        <v>0</v>
      </c>
      <c r="D482" t="str">
        <f t="shared" si="85"/>
        <v>00</v>
      </c>
      <c r="E482">
        <f t="shared" si="86"/>
        <v>0</v>
      </c>
      <c r="F482">
        <f t="shared" si="87"/>
        <v>0</v>
      </c>
      <c r="G482" s="23" t="str">
        <f t="shared" si="88"/>
        <v>00.000</v>
      </c>
      <c r="H482" s="1" t="str">
        <f t="shared" si="89"/>
        <v>0000.000</v>
      </c>
      <c r="I482">
        <f t="shared" si="90"/>
        <v>0</v>
      </c>
      <c r="J482" t="str">
        <f t="shared" si="91"/>
        <v>000</v>
      </c>
      <c r="K482">
        <f t="shared" si="92"/>
        <v>0</v>
      </c>
      <c r="L482">
        <f t="shared" si="93"/>
        <v>0</v>
      </c>
      <c r="M482" t="str">
        <f t="shared" si="94"/>
        <v>00.000</v>
      </c>
      <c r="N482" s="1" t="str">
        <f t="shared" si="95"/>
        <v>00000.000</v>
      </c>
      <c r="O482" t="str">
        <f>IF('Import OpenCPN'!W483&gt;0,"N","S")</f>
        <v>S</v>
      </c>
      <c r="P482" t="str">
        <f>IF('Import OpenCPN'!X483&gt;0,"E","W")</f>
        <v>W</v>
      </c>
    </row>
    <row r="483" spans="1:16" x14ac:dyDescent="0.2">
      <c r="A483">
        <f>'Import OpenCPN'!W484</f>
        <v>0</v>
      </c>
      <c r="B483">
        <f>'Import OpenCPN'!X484</f>
        <v>0</v>
      </c>
      <c r="C483">
        <f t="shared" si="84"/>
        <v>0</v>
      </c>
      <c r="D483" t="str">
        <f t="shared" si="85"/>
        <v>00</v>
      </c>
      <c r="E483">
        <f t="shared" si="86"/>
        <v>0</v>
      </c>
      <c r="F483">
        <f t="shared" si="87"/>
        <v>0</v>
      </c>
      <c r="G483" s="23" t="str">
        <f t="shared" si="88"/>
        <v>00.000</v>
      </c>
      <c r="H483" s="1" t="str">
        <f t="shared" si="89"/>
        <v>0000.000</v>
      </c>
      <c r="I483">
        <f t="shared" si="90"/>
        <v>0</v>
      </c>
      <c r="J483" t="str">
        <f t="shared" si="91"/>
        <v>000</v>
      </c>
      <c r="K483">
        <f t="shared" si="92"/>
        <v>0</v>
      </c>
      <c r="L483">
        <f t="shared" si="93"/>
        <v>0</v>
      </c>
      <c r="M483" t="str">
        <f t="shared" si="94"/>
        <v>00.000</v>
      </c>
      <c r="N483" s="1" t="str">
        <f t="shared" si="95"/>
        <v>00000.000</v>
      </c>
      <c r="O483" t="str">
        <f>IF('Import OpenCPN'!W484&gt;0,"N","S")</f>
        <v>S</v>
      </c>
      <c r="P483" t="str">
        <f>IF('Import OpenCPN'!X484&gt;0,"E","W")</f>
        <v>W</v>
      </c>
    </row>
    <row r="484" spans="1:16" x14ac:dyDescent="0.2">
      <c r="A484">
        <f>'Import OpenCPN'!W485</f>
        <v>0</v>
      </c>
      <c r="B484">
        <f>'Import OpenCPN'!X485</f>
        <v>0</v>
      </c>
      <c r="C484">
        <f t="shared" si="84"/>
        <v>0</v>
      </c>
      <c r="D484" t="str">
        <f t="shared" si="85"/>
        <v>00</v>
      </c>
      <c r="E484">
        <f t="shared" si="86"/>
        <v>0</v>
      </c>
      <c r="F484">
        <f t="shared" si="87"/>
        <v>0</v>
      </c>
      <c r="G484" s="23" t="str">
        <f t="shared" si="88"/>
        <v>00.000</v>
      </c>
      <c r="H484" s="1" t="str">
        <f t="shared" si="89"/>
        <v>0000.000</v>
      </c>
      <c r="I484">
        <f t="shared" si="90"/>
        <v>0</v>
      </c>
      <c r="J484" t="str">
        <f t="shared" si="91"/>
        <v>000</v>
      </c>
      <c r="K484">
        <f t="shared" si="92"/>
        <v>0</v>
      </c>
      <c r="L484">
        <f t="shared" si="93"/>
        <v>0</v>
      </c>
      <c r="M484" t="str">
        <f t="shared" si="94"/>
        <v>00.000</v>
      </c>
      <c r="N484" s="1" t="str">
        <f t="shared" si="95"/>
        <v>00000.000</v>
      </c>
      <c r="O484" t="str">
        <f>IF('Import OpenCPN'!W485&gt;0,"N","S")</f>
        <v>S</v>
      </c>
      <c r="P484" t="str">
        <f>IF('Import OpenCPN'!X485&gt;0,"E","W")</f>
        <v>W</v>
      </c>
    </row>
    <row r="485" spans="1:16" x14ac:dyDescent="0.2">
      <c r="A485">
        <f>'Import OpenCPN'!W486</f>
        <v>0</v>
      </c>
      <c r="B485">
        <f>'Import OpenCPN'!X486</f>
        <v>0</v>
      </c>
      <c r="C485">
        <f t="shared" si="84"/>
        <v>0</v>
      </c>
      <c r="D485" t="str">
        <f t="shared" si="85"/>
        <v>00</v>
      </c>
      <c r="E485">
        <f t="shared" si="86"/>
        <v>0</v>
      </c>
      <c r="F485">
        <f t="shared" si="87"/>
        <v>0</v>
      </c>
      <c r="G485" s="23" t="str">
        <f t="shared" si="88"/>
        <v>00.000</v>
      </c>
      <c r="H485" s="1" t="str">
        <f t="shared" si="89"/>
        <v>0000.000</v>
      </c>
      <c r="I485">
        <f t="shared" si="90"/>
        <v>0</v>
      </c>
      <c r="J485" t="str">
        <f t="shared" si="91"/>
        <v>000</v>
      </c>
      <c r="K485">
        <f t="shared" si="92"/>
        <v>0</v>
      </c>
      <c r="L485">
        <f t="shared" si="93"/>
        <v>0</v>
      </c>
      <c r="M485" t="str">
        <f t="shared" si="94"/>
        <v>00.000</v>
      </c>
      <c r="N485" s="1" t="str">
        <f t="shared" si="95"/>
        <v>00000.000</v>
      </c>
      <c r="O485" t="str">
        <f>IF('Import OpenCPN'!W486&gt;0,"N","S")</f>
        <v>S</v>
      </c>
      <c r="P485" t="str">
        <f>IF('Import OpenCPN'!X486&gt;0,"E","W")</f>
        <v>W</v>
      </c>
    </row>
    <row r="486" spans="1:16" x14ac:dyDescent="0.2">
      <c r="A486">
        <f>'Import OpenCPN'!W487</f>
        <v>0</v>
      </c>
      <c r="B486">
        <f>'Import OpenCPN'!X487</f>
        <v>0</v>
      </c>
      <c r="C486">
        <f t="shared" si="84"/>
        <v>0</v>
      </c>
      <c r="D486" t="str">
        <f t="shared" si="85"/>
        <v>00</v>
      </c>
      <c r="E486">
        <f t="shared" si="86"/>
        <v>0</v>
      </c>
      <c r="F486">
        <f t="shared" si="87"/>
        <v>0</v>
      </c>
      <c r="G486" s="23" t="str">
        <f t="shared" si="88"/>
        <v>00.000</v>
      </c>
      <c r="H486" s="1" t="str">
        <f t="shared" si="89"/>
        <v>0000.000</v>
      </c>
      <c r="I486">
        <f t="shared" si="90"/>
        <v>0</v>
      </c>
      <c r="J486" t="str">
        <f t="shared" si="91"/>
        <v>000</v>
      </c>
      <c r="K486">
        <f t="shared" si="92"/>
        <v>0</v>
      </c>
      <c r="L486">
        <f t="shared" si="93"/>
        <v>0</v>
      </c>
      <c r="M486" t="str">
        <f t="shared" si="94"/>
        <v>00.000</v>
      </c>
      <c r="N486" s="1" t="str">
        <f t="shared" si="95"/>
        <v>00000.000</v>
      </c>
      <c r="O486" t="str">
        <f>IF('Import OpenCPN'!W487&gt;0,"N","S")</f>
        <v>S</v>
      </c>
      <c r="P486" t="str">
        <f>IF('Import OpenCPN'!X487&gt;0,"E","W")</f>
        <v>W</v>
      </c>
    </row>
    <row r="487" spans="1:16" x14ac:dyDescent="0.2">
      <c r="A487">
        <f>'Import OpenCPN'!W488</f>
        <v>0</v>
      </c>
      <c r="B487">
        <f>'Import OpenCPN'!X488</f>
        <v>0</v>
      </c>
      <c r="C487">
        <f t="shared" si="84"/>
        <v>0</v>
      </c>
      <c r="D487" t="str">
        <f t="shared" si="85"/>
        <v>00</v>
      </c>
      <c r="E487">
        <f t="shared" si="86"/>
        <v>0</v>
      </c>
      <c r="F487">
        <f t="shared" si="87"/>
        <v>0</v>
      </c>
      <c r="G487" s="23" t="str">
        <f t="shared" si="88"/>
        <v>00.000</v>
      </c>
      <c r="H487" s="1" t="str">
        <f t="shared" si="89"/>
        <v>0000.000</v>
      </c>
      <c r="I487">
        <f t="shared" si="90"/>
        <v>0</v>
      </c>
      <c r="J487" t="str">
        <f t="shared" si="91"/>
        <v>000</v>
      </c>
      <c r="K487">
        <f t="shared" si="92"/>
        <v>0</v>
      </c>
      <c r="L487">
        <f t="shared" si="93"/>
        <v>0</v>
      </c>
      <c r="M487" t="str">
        <f t="shared" si="94"/>
        <v>00.000</v>
      </c>
      <c r="N487" s="1" t="str">
        <f t="shared" si="95"/>
        <v>00000.000</v>
      </c>
      <c r="O487" t="str">
        <f>IF('Import OpenCPN'!W488&gt;0,"N","S")</f>
        <v>S</v>
      </c>
      <c r="P487" t="str">
        <f>IF('Import OpenCPN'!X488&gt;0,"E","W")</f>
        <v>W</v>
      </c>
    </row>
    <row r="488" spans="1:16" x14ac:dyDescent="0.2">
      <c r="A488">
        <f>'Import OpenCPN'!W489</f>
        <v>0</v>
      </c>
      <c r="B488">
        <f>'Import OpenCPN'!X489</f>
        <v>0</v>
      </c>
      <c r="C488">
        <f t="shared" si="84"/>
        <v>0</v>
      </c>
      <c r="D488" t="str">
        <f t="shared" si="85"/>
        <v>00</v>
      </c>
      <c r="E488">
        <f t="shared" si="86"/>
        <v>0</v>
      </c>
      <c r="F488">
        <f t="shared" si="87"/>
        <v>0</v>
      </c>
      <c r="G488" s="23" t="str">
        <f t="shared" si="88"/>
        <v>00.000</v>
      </c>
      <c r="H488" s="1" t="str">
        <f t="shared" si="89"/>
        <v>0000.000</v>
      </c>
      <c r="I488">
        <f t="shared" si="90"/>
        <v>0</v>
      </c>
      <c r="J488" t="str">
        <f t="shared" si="91"/>
        <v>000</v>
      </c>
      <c r="K488">
        <f t="shared" si="92"/>
        <v>0</v>
      </c>
      <c r="L488">
        <f t="shared" si="93"/>
        <v>0</v>
      </c>
      <c r="M488" t="str">
        <f t="shared" si="94"/>
        <v>00.000</v>
      </c>
      <c r="N488" s="1" t="str">
        <f t="shared" si="95"/>
        <v>00000.000</v>
      </c>
      <c r="O488" t="str">
        <f>IF('Import OpenCPN'!W489&gt;0,"N","S")</f>
        <v>S</v>
      </c>
      <c r="P488" t="str">
        <f>IF('Import OpenCPN'!X489&gt;0,"E","W")</f>
        <v>W</v>
      </c>
    </row>
    <row r="489" spans="1:16" x14ac:dyDescent="0.2">
      <c r="A489">
        <f>'Import OpenCPN'!W490</f>
        <v>0</v>
      </c>
      <c r="B489">
        <f>'Import OpenCPN'!X490</f>
        <v>0</v>
      </c>
      <c r="C489">
        <f t="shared" si="84"/>
        <v>0</v>
      </c>
      <c r="D489" t="str">
        <f t="shared" si="85"/>
        <v>00</v>
      </c>
      <c r="E489">
        <f t="shared" si="86"/>
        <v>0</v>
      </c>
      <c r="F489">
        <f t="shared" si="87"/>
        <v>0</v>
      </c>
      <c r="G489" s="23" t="str">
        <f t="shared" si="88"/>
        <v>00.000</v>
      </c>
      <c r="H489" s="1" t="str">
        <f t="shared" si="89"/>
        <v>0000.000</v>
      </c>
      <c r="I489">
        <f t="shared" si="90"/>
        <v>0</v>
      </c>
      <c r="J489" t="str">
        <f t="shared" si="91"/>
        <v>000</v>
      </c>
      <c r="K489">
        <f t="shared" si="92"/>
        <v>0</v>
      </c>
      <c r="L489">
        <f t="shared" si="93"/>
        <v>0</v>
      </c>
      <c r="M489" t="str">
        <f t="shared" si="94"/>
        <v>00.000</v>
      </c>
      <c r="N489" s="1" t="str">
        <f t="shared" si="95"/>
        <v>00000.000</v>
      </c>
      <c r="O489" t="str">
        <f>IF('Import OpenCPN'!W490&gt;0,"N","S")</f>
        <v>S</v>
      </c>
      <c r="P489" t="str">
        <f>IF('Import OpenCPN'!X490&gt;0,"E","W")</f>
        <v>W</v>
      </c>
    </row>
    <row r="490" spans="1:16" x14ac:dyDescent="0.2">
      <c r="A490">
        <f>'Import OpenCPN'!W491</f>
        <v>0</v>
      </c>
      <c r="B490">
        <f>'Import OpenCPN'!X491</f>
        <v>0</v>
      </c>
      <c r="C490">
        <f t="shared" si="84"/>
        <v>0</v>
      </c>
      <c r="D490" t="str">
        <f t="shared" si="85"/>
        <v>00</v>
      </c>
      <c r="E490">
        <f t="shared" si="86"/>
        <v>0</v>
      </c>
      <c r="F490">
        <f t="shared" si="87"/>
        <v>0</v>
      </c>
      <c r="G490" s="23" t="str">
        <f t="shared" si="88"/>
        <v>00.000</v>
      </c>
      <c r="H490" s="1" t="str">
        <f t="shared" si="89"/>
        <v>0000.000</v>
      </c>
      <c r="I490">
        <f t="shared" si="90"/>
        <v>0</v>
      </c>
      <c r="J490" t="str">
        <f t="shared" si="91"/>
        <v>000</v>
      </c>
      <c r="K490">
        <f t="shared" si="92"/>
        <v>0</v>
      </c>
      <c r="L490">
        <f t="shared" si="93"/>
        <v>0</v>
      </c>
      <c r="M490" t="str">
        <f t="shared" si="94"/>
        <v>00.000</v>
      </c>
      <c r="N490" s="1" t="str">
        <f t="shared" si="95"/>
        <v>00000.000</v>
      </c>
      <c r="O490" t="str">
        <f>IF('Import OpenCPN'!W491&gt;0,"N","S")</f>
        <v>S</v>
      </c>
      <c r="P490" t="str">
        <f>IF('Import OpenCPN'!X491&gt;0,"E","W")</f>
        <v>W</v>
      </c>
    </row>
    <row r="491" spans="1:16" x14ac:dyDescent="0.2">
      <c r="A491">
        <f>'Import OpenCPN'!W492</f>
        <v>0</v>
      </c>
      <c r="B491">
        <f>'Import OpenCPN'!X492</f>
        <v>0</v>
      </c>
      <c r="C491">
        <f t="shared" si="84"/>
        <v>0</v>
      </c>
      <c r="D491" t="str">
        <f t="shared" si="85"/>
        <v>00</v>
      </c>
      <c r="E491">
        <f t="shared" si="86"/>
        <v>0</v>
      </c>
      <c r="F491">
        <f t="shared" si="87"/>
        <v>0</v>
      </c>
      <c r="G491" s="23" t="str">
        <f t="shared" si="88"/>
        <v>00.000</v>
      </c>
      <c r="H491" s="1" t="str">
        <f t="shared" si="89"/>
        <v>0000.000</v>
      </c>
      <c r="I491">
        <f t="shared" si="90"/>
        <v>0</v>
      </c>
      <c r="J491" t="str">
        <f t="shared" si="91"/>
        <v>000</v>
      </c>
      <c r="K491">
        <f t="shared" si="92"/>
        <v>0</v>
      </c>
      <c r="L491">
        <f t="shared" si="93"/>
        <v>0</v>
      </c>
      <c r="M491" t="str">
        <f t="shared" si="94"/>
        <v>00.000</v>
      </c>
      <c r="N491" s="1" t="str">
        <f t="shared" si="95"/>
        <v>00000.000</v>
      </c>
      <c r="O491" t="str">
        <f>IF('Import OpenCPN'!W492&gt;0,"N","S")</f>
        <v>S</v>
      </c>
      <c r="P491" t="str">
        <f>IF('Import OpenCPN'!X492&gt;0,"E","W")</f>
        <v>W</v>
      </c>
    </row>
    <row r="492" spans="1:16" x14ac:dyDescent="0.2">
      <c r="A492">
        <f>'Import OpenCPN'!W493</f>
        <v>0</v>
      </c>
      <c r="B492">
        <f>'Import OpenCPN'!X493</f>
        <v>0</v>
      </c>
      <c r="C492">
        <f t="shared" si="84"/>
        <v>0</v>
      </c>
      <c r="D492" t="str">
        <f t="shared" si="85"/>
        <v>00</v>
      </c>
      <c r="E492">
        <f t="shared" si="86"/>
        <v>0</v>
      </c>
      <c r="F492">
        <f t="shared" si="87"/>
        <v>0</v>
      </c>
      <c r="G492" s="23" t="str">
        <f t="shared" si="88"/>
        <v>00.000</v>
      </c>
      <c r="H492" s="1" t="str">
        <f t="shared" si="89"/>
        <v>0000.000</v>
      </c>
      <c r="I492">
        <f t="shared" si="90"/>
        <v>0</v>
      </c>
      <c r="J492" t="str">
        <f t="shared" si="91"/>
        <v>000</v>
      </c>
      <c r="K492">
        <f t="shared" si="92"/>
        <v>0</v>
      </c>
      <c r="L492">
        <f t="shared" si="93"/>
        <v>0</v>
      </c>
      <c r="M492" t="str">
        <f t="shared" si="94"/>
        <v>00.000</v>
      </c>
      <c r="N492" s="1" t="str">
        <f t="shared" si="95"/>
        <v>00000.000</v>
      </c>
      <c r="O492" t="str">
        <f>IF('Import OpenCPN'!W493&gt;0,"N","S")</f>
        <v>S</v>
      </c>
      <c r="P492" t="str">
        <f>IF('Import OpenCPN'!X493&gt;0,"E","W")</f>
        <v>W</v>
      </c>
    </row>
    <row r="493" spans="1:16" x14ac:dyDescent="0.2">
      <c r="A493">
        <f>'Import OpenCPN'!W494</f>
        <v>0</v>
      </c>
      <c r="B493">
        <f>'Import OpenCPN'!X494</f>
        <v>0</v>
      </c>
      <c r="C493">
        <f t="shared" si="84"/>
        <v>0</v>
      </c>
      <c r="D493" t="str">
        <f t="shared" si="85"/>
        <v>00</v>
      </c>
      <c r="E493">
        <f t="shared" si="86"/>
        <v>0</v>
      </c>
      <c r="F493">
        <f t="shared" si="87"/>
        <v>0</v>
      </c>
      <c r="G493" s="23" t="str">
        <f t="shared" si="88"/>
        <v>00.000</v>
      </c>
      <c r="H493" s="1" t="str">
        <f t="shared" si="89"/>
        <v>0000.000</v>
      </c>
      <c r="I493">
        <f t="shared" si="90"/>
        <v>0</v>
      </c>
      <c r="J493" t="str">
        <f t="shared" si="91"/>
        <v>000</v>
      </c>
      <c r="K493">
        <f t="shared" si="92"/>
        <v>0</v>
      </c>
      <c r="L493">
        <f t="shared" si="93"/>
        <v>0</v>
      </c>
      <c r="M493" t="str">
        <f t="shared" si="94"/>
        <v>00.000</v>
      </c>
      <c r="N493" s="1" t="str">
        <f t="shared" si="95"/>
        <v>00000.000</v>
      </c>
      <c r="O493" t="str">
        <f>IF('Import OpenCPN'!W494&gt;0,"N","S")</f>
        <v>S</v>
      </c>
      <c r="P493" t="str">
        <f>IF('Import OpenCPN'!X494&gt;0,"E","W")</f>
        <v>W</v>
      </c>
    </row>
    <row r="494" spans="1:16" x14ac:dyDescent="0.2">
      <c r="A494">
        <f>'Import OpenCPN'!W495</f>
        <v>0</v>
      </c>
      <c r="B494">
        <f>'Import OpenCPN'!X495</f>
        <v>0</v>
      </c>
      <c r="C494">
        <f t="shared" si="84"/>
        <v>0</v>
      </c>
      <c r="D494" t="str">
        <f t="shared" si="85"/>
        <v>00</v>
      </c>
      <c r="E494">
        <f t="shared" si="86"/>
        <v>0</v>
      </c>
      <c r="F494">
        <f t="shared" si="87"/>
        <v>0</v>
      </c>
      <c r="G494" s="23" t="str">
        <f t="shared" si="88"/>
        <v>00.000</v>
      </c>
      <c r="H494" s="1" t="str">
        <f t="shared" si="89"/>
        <v>0000.000</v>
      </c>
      <c r="I494">
        <f t="shared" si="90"/>
        <v>0</v>
      </c>
      <c r="J494" t="str">
        <f t="shared" si="91"/>
        <v>000</v>
      </c>
      <c r="K494">
        <f t="shared" si="92"/>
        <v>0</v>
      </c>
      <c r="L494">
        <f t="shared" si="93"/>
        <v>0</v>
      </c>
      <c r="M494" t="str">
        <f t="shared" si="94"/>
        <v>00.000</v>
      </c>
      <c r="N494" s="1" t="str">
        <f t="shared" si="95"/>
        <v>00000.000</v>
      </c>
      <c r="O494" t="str">
        <f>IF('Import OpenCPN'!W495&gt;0,"N","S")</f>
        <v>S</v>
      </c>
      <c r="P494" t="str">
        <f>IF('Import OpenCPN'!X495&gt;0,"E","W")</f>
        <v>W</v>
      </c>
    </row>
    <row r="495" spans="1:16" x14ac:dyDescent="0.2">
      <c r="A495">
        <f>'Import OpenCPN'!W496</f>
        <v>0</v>
      </c>
      <c r="B495">
        <f>'Import OpenCPN'!X496</f>
        <v>0</v>
      </c>
      <c r="C495">
        <f t="shared" si="84"/>
        <v>0</v>
      </c>
      <c r="D495" t="str">
        <f t="shared" si="85"/>
        <v>00</v>
      </c>
      <c r="E495">
        <f t="shared" si="86"/>
        <v>0</v>
      </c>
      <c r="F495">
        <f t="shared" si="87"/>
        <v>0</v>
      </c>
      <c r="G495" s="23" t="str">
        <f t="shared" si="88"/>
        <v>00.000</v>
      </c>
      <c r="H495" s="1" t="str">
        <f t="shared" si="89"/>
        <v>0000.000</v>
      </c>
      <c r="I495">
        <f t="shared" si="90"/>
        <v>0</v>
      </c>
      <c r="J495" t="str">
        <f t="shared" si="91"/>
        <v>000</v>
      </c>
      <c r="K495">
        <f t="shared" si="92"/>
        <v>0</v>
      </c>
      <c r="L495">
        <f t="shared" si="93"/>
        <v>0</v>
      </c>
      <c r="M495" t="str">
        <f t="shared" si="94"/>
        <v>00.000</v>
      </c>
      <c r="N495" s="1" t="str">
        <f t="shared" si="95"/>
        <v>00000.000</v>
      </c>
      <c r="O495" t="str">
        <f>IF('Import OpenCPN'!W496&gt;0,"N","S")</f>
        <v>S</v>
      </c>
      <c r="P495" t="str">
        <f>IF('Import OpenCPN'!X496&gt;0,"E","W")</f>
        <v>W</v>
      </c>
    </row>
    <row r="496" spans="1:16" x14ac:dyDescent="0.2">
      <c r="A496">
        <f>'Import OpenCPN'!W497</f>
        <v>0</v>
      </c>
      <c r="B496">
        <f>'Import OpenCPN'!X497</f>
        <v>0</v>
      </c>
      <c r="C496">
        <f t="shared" si="84"/>
        <v>0</v>
      </c>
      <c r="D496" t="str">
        <f t="shared" si="85"/>
        <v>00</v>
      </c>
      <c r="E496">
        <f t="shared" si="86"/>
        <v>0</v>
      </c>
      <c r="F496">
        <f t="shared" si="87"/>
        <v>0</v>
      </c>
      <c r="G496" s="23" t="str">
        <f t="shared" si="88"/>
        <v>00.000</v>
      </c>
      <c r="H496" s="1" t="str">
        <f t="shared" si="89"/>
        <v>0000.000</v>
      </c>
      <c r="I496">
        <f t="shared" si="90"/>
        <v>0</v>
      </c>
      <c r="J496" t="str">
        <f t="shared" si="91"/>
        <v>000</v>
      </c>
      <c r="K496">
        <f t="shared" si="92"/>
        <v>0</v>
      </c>
      <c r="L496">
        <f t="shared" si="93"/>
        <v>0</v>
      </c>
      <c r="M496" t="str">
        <f t="shared" si="94"/>
        <v>00.000</v>
      </c>
      <c r="N496" s="1" t="str">
        <f t="shared" si="95"/>
        <v>00000.000</v>
      </c>
      <c r="O496" t="str">
        <f>IF('Import OpenCPN'!W497&gt;0,"N","S")</f>
        <v>S</v>
      </c>
      <c r="P496" t="str">
        <f>IF('Import OpenCPN'!X497&gt;0,"E","W")</f>
        <v>W</v>
      </c>
    </row>
    <row r="497" spans="1:16" x14ac:dyDescent="0.2">
      <c r="A497">
        <f>'Import OpenCPN'!W498</f>
        <v>0</v>
      </c>
      <c r="B497">
        <f>'Import OpenCPN'!X498</f>
        <v>0</v>
      </c>
      <c r="C497">
        <f t="shared" si="84"/>
        <v>0</v>
      </c>
      <c r="D497" t="str">
        <f t="shared" si="85"/>
        <v>00</v>
      </c>
      <c r="E497">
        <f t="shared" si="86"/>
        <v>0</v>
      </c>
      <c r="F497">
        <f t="shared" si="87"/>
        <v>0</v>
      </c>
      <c r="G497" s="23" t="str">
        <f t="shared" si="88"/>
        <v>00.000</v>
      </c>
      <c r="H497" s="1" t="str">
        <f t="shared" si="89"/>
        <v>0000.000</v>
      </c>
      <c r="I497">
        <f t="shared" si="90"/>
        <v>0</v>
      </c>
      <c r="J497" t="str">
        <f t="shared" si="91"/>
        <v>000</v>
      </c>
      <c r="K497">
        <f t="shared" si="92"/>
        <v>0</v>
      </c>
      <c r="L497">
        <f t="shared" si="93"/>
        <v>0</v>
      </c>
      <c r="M497" t="str">
        <f t="shared" si="94"/>
        <v>00.000</v>
      </c>
      <c r="N497" s="1" t="str">
        <f t="shared" si="95"/>
        <v>00000.000</v>
      </c>
      <c r="O497" t="str">
        <f>IF('Import OpenCPN'!W498&gt;0,"N","S")</f>
        <v>S</v>
      </c>
      <c r="P497" t="str">
        <f>IF('Import OpenCPN'!X498&gt;0,"E","W")</f>
        <v>W</v>
      </c>
    </row>
    <row r="498" spans="1:16" x14ac:dyDescent="0.2">
      <c r="A498">
        <f>'Import OpenCPN'!W499</f>
        <v>0</v>
      </c>
      <c r="B498">
        <f>'Import OpenCPN'!X499</f>
        <v>0</v>
      </c>
      <c r="C498">
        <f t="shared" si="84"/>
        <v>0</v>
      </c>
      <c r="D498" t="str">
        <f t="shared" si="85"/>
        <v>00</v>
      </c>
      <c r="E498">
        <f t="shared" si="86"/>
        <v>0</v>
      </c>
      <c r="F498">
        <f t="shared" si="87"/>
        <v>0</v>
      </c>
      <c r="G498" s="23" t="str">
        <f t="shared" si="88"/>
        <v>00.000</v>
      </c>
      <c r="H498" s="1" t="str">
        <f t="shared" si="89"/>
        <v>0000.000</v>
      </c>
      <c r="I498">
        <f t="shared" si="90"/>
        <v>0</v>
      </c>
      <c r="J498" t="str">
        <f t="shared" si="91"/>
        <v>000</v>
      </c>
      <c r="K498">
        <f t="shared" si="92"/>
        <v>0</v>
      </c>
      <c r="L498">
        <f t="shared" si="93"/>
        <v>0</v>
      </c>
      <c r="M498" t="str">
        <f t="shared" si="94"/>
        <v>00.000</v>
      </c>
      <c r="N498" s="1" t="str">
        <f t="shared" si="95"/>
        <v>00000.000</v>
      </c>
      <c r="O498" t="str">
        <f>IF('Import OpenCPN'!W499&gt;0,"N","S")</f>
        <v>S</v>
      </c>
      <c r="P498" t="str">
        <f>IF('Import OpenCPN'!X499&gt;0,"E","W")</f>
        <v>W</v>
      </c>
    </row>
    <row r="499" spans="1:16" x14ac:dyDescent="0.2">
      <c r="A499">
        <f>'Import OpenCPN'!W500</f>
        <v>0</v>
      </c>
      <c r="B499">
        <f>'Import OpenCPN'!X500</f>
        <v>0</v>
      </c>
      <c r="C499">
        <f t="shared" si="84"/>
        <v>0</v>
      </c>
      <c r="D499" t="str">
        <f t="shared" si="85"/>
        <v>00</v>
      </c>
      <c r="E499">
        <f t="shared" si="86"/>
        <v>0</v>
      </c>
      <c r="F499">
        <f t="shared" si="87"/>
        <v>0</v>
      </c>
      <c r="G499" s="23" t="str">
        <f t="shared" si="88"/>
        <v>00.000</v>
      </c>
      <c r="H499" s="1" t="str">
        <f t="shared" si="89"/>
        <v>0000.000</v>
      </c>
      <c r="I499">
        <f t="shared" si="90"/>
        <v>0</v>
      </c>
      <c r="J499" t="str">
        <f t="shared" si="91"/>
        <v>000</v>
      </c>
      <c r="K499">
        <f t="shared" si="92"/>
        <v>0</v>
      </c>
      <c r="L499">
        <f t="shared" si="93"/>
        <v>0</v>
      </c>
      <c r="M499" t="str">
        <f t="shared" si="94"/>
        <v>00.000</v>
      </c>
      <c r="N499" s="1" t="str">
        <f t="shared" si="95"/>
        <v>00000.000</v>
      </c>
      <c r="O499" t="str">
        <f>IF('Import OpenCPN'!W500&gt;0,"N","S")</f>
        <v>S</v>
      </c>
      <c r="P499" t="str">
        <f>IF('Import OpenCPN'!X500&gt;0,"E","W")</f>
        <v>W</v>
      </c>
    </row>
    <row r="500" spans="1:16" x14ac:dyDescent="0.2">
      <c r="A500">
        <f>'Import OpenCPN'!W501</f>
        <v>0</v>
      </c>
      <c r="B500">
        <f>'Import OpenCPN'!X501</f>
        <v>0</v>
      </c>
      <c r="C500">
        <f t="shared" si="84"/>
        <v>0</v>
      </c>
      <c r="D500" t="str">
        <f t="shared" si="85"/>
        <v>00</v>
      </c>
      <c r="E500">
        <f t="shared" si="86"/>
        <v>0</v>
      </c>
      <c r="F500">
        <f t="shared" si="87"/>
        <v>0</v>
      </c>
      <c r="G500" s="23" t="str">
        <f t="shared" si="88"/>
        <v>00.000</v>
      </c>
      <c r="H500" s="1" t="str">
        <f t="shared" si="89"/>
        <v>0000.000</v>
      </c>
      <c r="I500">
        <f t="shared" si="90"/>
        <v>0</v>
      </c>
      <c r="J500" t="str">
        <f t="shared" si="91"/>
        <v>000</v>
      </c>
      <c r="K500">
        <f t="shared" si="92"/>
        <v>0</v>
      </c>
      <c r="L500">
        <f t="shared" si="93"/>
        <v>0</v>
      </c>
      <c r="M500" t="str">
        <f t="shared" si="94"/>
        <v>00.000</v>
      </c>
      <c r="N500" s="1" t="str">
        <f t="shared" si="95"/>
        <v>00000.000</v>
      </c>
      <c r="O500" t="str">
        <f>IF('Import OpenCPN'!W501&gt;0,"N","S")</f>
        <v>S</v>
      </c>
      <c r="P500" t="str">
        <f>IF('Import OpenCPN'!X501&gt;0,"E","W")</f>
        <v>W</v>
      </c>
    </row>
    <row r="501" spans="1:16" x14ac:dyDescent="0.2">
      <c r="A501">
        <f>'Import OpenCPN'!W502</f>
        <v>0</v>
      </c>
      <c r="B501">
        <f>'Import OpenCPN'!X502</f>
        <v>0</v>
      </c>
      <c r="C501">
        <f t="shared" si="84"/>
        <v>0</v>
      </c>
      <c r="D501" t="str">
        <f t="shared" si="85"/>
        <v>00</v>
      </c>
      <c r="E501">
        <f t="shared" si="86"/>
        <v>0</v>
      </c>
      <c r="F501">
        <f t="shared" si="87"/>
        <v>0</v>
      </c>
      <c r="G501" s="23" t="str">
        <f t="shared" si="88"/>
        <v>00.000</v>
      </c>
      <c r="H501" s="1" t="str">
        <f t="shared" si="89"/>
        <v>0000.000</v>
      </c>
      <c r="I501">
        <f t="shared" si="90"/>
        <v>0</v>
      </c>
      <c r="J501" t="str">
        <f t="shared" si="91"/>
        <v>000</v>
      </c>
      <c r="K501">
        <f t="shared" si="92"/>
        <v>0</v>
      </c>
      <c r="L501">
        <f t="shared" si="93"/>
        <v>0</v>
      </c>
      <c r="M501" t="str">
        <f t="shared" si="94"/>
        <v>00.000</v>
      </c>
      <c r="N501" s="1" t="str">
        <f t="shared" si="95"/>
        <v>00000.000</v>
      </c>
      <c r="O501" t="str">
        <f>IF('Import OpenCPN'!W502&gt;0,"N","S")</f>
        <v>S</v>
      </c>
      <c r="P501" t="str">
        <f>IF('Import OpenCPN'!X502&gt;0,"E","W")</f>
        <v>W</v>
      </c>
    </row>
    <row r="502" spans="1:16" x14ac:dyDescent="0.2">
      <c r="A502">
        <f>'Import OpenCPN'!W503</f>
        <v>0</v>
      </c>
      <c r="B502">
        <f>'Import OpenCPN'!X503</f>
        <v>0</v>
      </c>
      <c r="C502">
        <f t="shared" si="84"/>
        <v>0</v>
      </c>
      <c r="D502" t="str">
        <f t="shared" si="85"/>
        <v>00</v>
      </c>
      <c r="E502">
        <f t="shared" si="86"/>
        <v>0</v>
      </c>
      <c r="F502">
        <f t="shared" si="87"/>
        <v>0</v>
      </c>
      <c r="G502" s="23" t="str">
        <f t="shared" si="88"/>
        <v>00.000</v>
      </c>
      <c r="H502" s="1" t="str">
        <f t="shared" si="89"/>
        <v>0000.000</v>
      </c>
      <c r="I502">
        <f t="shared" si="90"/>
        <v>0</v>
      </c>
      <c r="J502" t="str">
        <f t="shared" si="91"/>
        <v>000</v>
      </c>
      <c r="K502">
        <f t="shared" si="92"/>
        <v>0</v>
      </c>
      <c r="L502">
        <f t="shared" si="93"/>
        <v>0</v>
      </c>
      <c r="M502" t="str">
        <f t="shared" si="94"/>
        <v>00.000</v>
      </c>
      <c r="N502" s="1" t="str">
        <f t="shared" si="95"/>
        <v>00000.000</v>
      </c>
      <c r="O502" t="str">
        <f>IF('Import OpenCPN'!W503&gt;0,"N","S")</f>
        <v>S</v>
      </c>
      <c r="P502" t="str">
        <f>IF('Import OpenCPN'!X503&gt;0,"E","W")</f>
        <v>W</v>
      </c>
    </row>
    <row r="503" spans="1:16" x14ac:dyDescent="0.2">
      <c r="A503">
        <f>'Import OpenCPN'!W504</f>
        <v>0</v>
      </c>
      <c r="B503">
        <f>'Import OpenCPN'!X504</f>
        <v>0</v>
      </c>
      <c r="C503">
        <f t="shared" si="84"/>
        <v>0</v>
      </c>
      <c r="D503" t="str">
        <f t="shared" si="85"/>
        <v>00</v>
      </c>
      <c r="E503">
        <f t="shared" si="86"/>
        <v>0</v>
      </c>
      <c r="F503">
        <f t="shared" si="87"/>
        <v>0</v>
      </c>
      <c r="G503" s="23" t="str">
        <f t="shared" si="88"/>
        <v>00.000</v>
      </c>
      <c r="H503" s="1" t="str">
        <f t="shared" si="89"/>
        <v>0000.000</v>
      </c>
      <c r="I503">
        <f t="shared" si="90"/>
        <v>0</v>
      </c>
      <c r="J503" t="str">
        <f t="shared" si="91"/>
        <v>000</v>
      </c>
      <c r="K503">
        <f t="shared" si="92"/>
        <v>0</v>
      </c>
      <c r="L503">
        <f t="shared" si="93"/>
        <v>0</v>
      </c>
      <c r="M503" t="str">
        <f t="shared" si="94"/>
        <v>00.000</v>
      </c>
      <c r="N503" s="1" t="str">
        <f t="shared" si="95"/>
        <v>00000.000</v>
      </c>
      <c r="O503" t="str">
        <f>IF('Import OpenCPN'!W504&gt;0,"N","S")</f>
        <v>S</v>
      </c>
      <c r="P503" t="str">
        <f>IF('Import OpenCPN'!X504&gt;0,"E","W")</f>
        <v>W</v>
      </c>
    </row>
    <row r="504" spans="1:16" x14ac:dyDescent="0.2">
      <c r="A504">
        <f>'Import OpenCPN'!W505</f>
        <v>0</v>
      </c>
      <c r="B504">
        <f>'Import OpenCPN'!X505</f>
        <v>0</v>
      </c>
      <c r="C504">
        <f t="shared" si="84"/>
        <v>0</v>
      </c>
      <c r="D504" t="str">
        <f t="shared" si="85"/>
        <v>00</v>
      </c>
      <c r="E504">
        <f t="shared" si="86"/>
        <v>0</v>
      </c>
      <c r="F504">
        <f t="shared" si="87"/>
        <v>0</v>
      </c>
      <c r="G504" s="23" t="str">
        <f t="shared" si="88"/>
        <v>00.000</v>
      </c>
      <c r="H504" s="1" t="str">
        <f t="shared" si="89"/>
        <v>0000.000</v>
      </c>
      <c r="I504">
        <f t="shared" si="90"/>
        <v>0</v>
      </c>
      <c r="J504" t="str">
        <f t="shared" si="91"/>
        <v>000</v>
      </c>
      <c r="K504">
        <f t="shared" si="92"/>
        <v>0</v>
      </c>
      <c r="L504">
        <f t="shared" si="93"/>
        <v>0</v>
      </c>
      <c r="M504" t="str">
        <f t="shared" si="94"/>
        <v>00.000</v>
      </c>
      <c r="N504" s="1" t="str">
        <f t="shared" si="95"/>
        <v>00000.000</v>
      </c>
      <c r="O504" t="str">
        <f>IF('Import OpenCPN'!W505&gt;0,"N","S")</f>
        <v>S</v>
      </c>
      <c r="P504" t="str">
        <f>IF('Import OpenCPN'!X505&gt;0,"E","W")</f>
        <v>W</v>
      </c>
    </row>
    <row r="505" spans="1:16" x14ac:dyDescent="0.2">
      <c r="A505">
        <f>'Import OpenCPN'!W506</f>
        <v>0</v>
      </c>
      <c r="B505">
        <f>'Import OpenCPN'!X506</f>
        <v>0</v>
      </c>
      <c r="C505">
        <f t="shared" si="84"/>
        <v>0</v>
      </c>
      <c r="D505" t="str">
        <f t="shared" si="85"/>
        <v>00</v>
      </c>
      <c r="E505">
        <f t="shared" si="86"/>
        <v>0</v>
      </c>
      <c r="F505">
        <f t="shared" si="87"/>
        <v>0</v>
      </c>
      <c r="G505" s="23" t="str">
        <f t="shared" si="88"/>
        <v>00.000</v>
      </c>
      <c r="H505" s="1" t="str">
        <f t="shared" si="89"/>
        <v>0000.000</v>
      </c>
      <c r="I505">
        <f t="shared" si="90"/>
        <v>0</v>
      </c>
      <c r="J505" t="str">
        <f t="shared" si="91"/>
        <v>000</v>
      </c>
      <c r="K505">
        <f t="shared" si="92"/>
        <v>0</v>
      </c>
      <c r="L505">
        <f t="shared" si="93"/>
        <v>0</v>
      </c>
      <c r="M505" t="str">
        <f t="shared" si="94"/>
        <v>00.000</v>
      </c>
      <c r="N505" s="1" t="str">
        <f t="shared" si="95"/>
        <v>00000.000</v>
      </c>
      <c r="O505" t="str">
        <f>IF('Import OpenCPN'!W506&gt;0,"N","S")</f>
        <v>S</v>
      </c>
      <c r="P505" t="str">
        <f>IF('Import OpenCPN'!X506&gt;0,"E","W")</f>
        <v>W</v>
      </c>
    </row>
    <row r="506" spans="1:16" x14ac:dyDescent="0.2">
      <c r="A506">
        <f>'Import OpenCPN'!W507</f>
        <v>0</v>
      </c>
      <c r="B506">
        <f>'Import OpenCPN'!X507</f>
        <v>0</v>
      </c>
      <c r="C506">
        <f t="shared" si="84"/>
        <v>0</v>
      </c>
      <c r="D506" t="str">
        <f t="shared" si="85"/>
        <v>00</v>
      </c>
      <c r="E506">
        <f t="shared" si="86"/>
        <v>0</v>
      </c>
      <c r="F506">
        <f t="shared" si="87"/>
        <v>0</v>
      </c>
      <c r="G506" s="23" t="str">
        <f t="shared" si="88"/>
        <v>00.000</v>
      </c>
      <c r="H506" s="1" t="str">
        <f t="shared" si="89"/>
        <v>0000.000</v>
      </c>
      <c r="I506">
        <f t="shared" si="90"/>
        <v>0</v>
      </c>
      <c r="J506" t="str">
        <f t="shared" si="91"/>
        <v>000</v>
      </c>
      <c r="K506">
        <f t="shared" si="92"/>
        <v>0</v>
      </c>
      <c r="L506">
        <f t="shared" si="93"/>
        <v>0</v>
      </c>
      <c r="M506" t="str">
        <f t="shared" si="94"/>
        <v>00.000</v>
      </c>
      <c r="N506" s="1" t="str">
        <f t="shared" si="95"/>
        <v>00000.000</v>
      </c>
      <c r="O506" t="str">
        <f>IF('Import OpenCPN'!W507&gt;0,"N","S")</f>
        <v>S</v>
      </c>
      <c r="P506" t="str">
        <f>IF('Import OpenCPN'!X507&gt;0,"E","W")</f>
        <v>W</v>
      </c>
    </row>
    <row r="507" spans="1:16" x14ac:dyDescent="0.2">
      <c r="A507">
        <f>'Import OpenCPN'!W508</f>
        <v>0</v>
      </c>
      <c r="B507">
        <f>'Import OpenCPN'!X508</f>
        <v>0</v>
      </c>
      <c r="C507">
        <f t="shared" si="84"/>
        <v>0</v>
      </c>
      <c r="D507" t="str">
        <f t="shared" si="85"/>
        <v>00</v>
      </c>
      <c r="E507">
        <f t="shared" si="86"/>
        <v>0</v>
      </c>
      <c r="F507">
        <f t="shared" si="87"/>
        <v>0</v>
      </c>
      <c r="G507" s="23" t="str">
        <f t="shared" si="88"/>
        <v>00.000</v>
      </c>
      <c r="H507" s="1" t="str">
        <f t="shared" si="89"/>
        <v>0000.000</v>
      </c>
      <c r="I507">
        <f t="shared" si="90"/>
        <v>0</v>
      </c>
      <c r="J507" t="str">
        <f t="shared" si="91"/>
        <v>000</v>
      </c>
      <c r="K507">
        <f t="shared" si="92"/>
        <v>0</v>
      </c>
      <c r="L507">
        <f t="shared" si="93"/>
        <v>0</v>
      </c>
      <c r="M507" t="str">
        <f t="shared" si="94"/>
        <v>00.000</v>
      </c>
      <c r="N507" s="1" t="str">
        <f t="shared" si="95"/>
        <v>00000.000</v>
      </c>
      <c r="O507" t="str">
        <f>IF('Import OpenCPN'!W508&gt;0,"N","S")</f>
        <v>S</v>
      </c>
      <c r="P507" t="str">
        <f>IF('Import OpenCPN'!X508&gt;0,"E","W")</f>
        <v>W</v>
      </c>
    </row>
    <row r="508" spans="1:16" x14ac:dyDescent="0.2">
      <c r="A508">
        <f>'Import OpenCPN'!W509</f>
        <v>0</v>
      </c>
      <c r="B508">
        <f>'Import OpenCPN'!X509</f>
        <v>0</v>
      </c>
      <c r="C508">
        <f t="shared" si="84"/>
        <v>0</v>
      </c>
      <c r="D508" t="str">
        <f t="shared" si="85"/>
        <v>00</v>
      </c>
      <c r="E508">
        <f t="shared" si="86"/>
        <v>0</v>
      </c>
      <c r="F508">
        <f t="shared" si="87"/>
        <v>0</v>
      </c>
      <c r="G508" s="23" t="str">
        <f t="shared" si="88"/>
        <v>00.000</v>
      </c>
      <c r="H508" s="1" t="str">
        <f t="shared" si="89"/>
        <v>0000.000</v>
      </c>
      <c r="I508">
        <f t="shared" si="90"/>
        <v>0</v>
      </c>
      <c r="J508" t="str">
        <f t="shared" si="91"/>
        <v>000</v>
      </c>
      <c r="K508">
        <f t="shared" si="92"/>
        <v>0</v>
      </c>
      <c r="L508">
        <f t="shared" si="93"/>
        <v>0</v>
      </c>
      <c r="M508" t="str">
        <f t="shared" si="94"/>
        <v>00.000</v>
      </c>
      <c r="N508" s="1" t="str">
        <f t="shared" si="95"/>
        <v>00000.000</v>
      </c>
      <c r="O508" t="str">
        <f>IF('Import OpenCPN'!W509&gt;0,"N","S")</f>
        <v>S</v>
      </c>
      <c r="P508" t="str">
        <f>IF('Import OpenCPN'!X509&gt;0,"E","W")</f>
        <v>W</v>
      </c>
    </row>
    <row r="509" spans="1:16" x14ac:dyDescent="0.2">
      <c r="A509">
        <f>'Import OpenCPN'!W510</f>
        <v>0</v>
      </c>
      <c r="B509">
        <f>'Import OpenCPN'!X510</f>
        <v>0</v>
      </c>
      <c r="C509">
        <f t="shared" si="84"/>
        <v>0</v>
      </c>
      <c r="D509" t="str">
        <f t="shared" si="85"/>
        <v>00</v>
      </c>
      <c r="E509">
        <f t="shared" si="86"/>
        <v>0</v>
      </c>
      <c r="F509">
        <f t="shared" si="87"/>
        <v>0</v>
      </c>
      <c r="G509" s="23" t="str">
        <f t="shared" si="88"/>
        <v>00.000</v>
      </c>
      <c r="H509" s="1" t="str">
        <f t="shared" si="89"/>
        <v>0000.000</v>
      </c>
      <c r="I509">
        <f t="shared" si="90"/>
        <v>0</v>
      </c>
      <c r="J509" t="str">
        <f t="shared" si="91"/>
        <v>000</v>
      </c>
      <c r="K509">
        <f t="shared" si="92"/>
        <v>0</v>
      </c>
      <c r="L509">
        <f t="shared" si="93"/>
        <v>0</v>
      </c>
      <c r="M509" t="str">
        <f t="shared" si="94"/>
        <v>00.000</v>
      </c>
      <c r="N509" s="1" t="str">
        <f t="shared" si="95"/>
        <v>00000.000</v>
      </c>
      <c r="O509" t="str">
        <f>IF('Import OpenCPN'!W510&gt;0,"N","S")</f>
        <v>S</v>
      </c>
      <c r="P509" t="str">
        <f>IF('Import OpenCPN'!X510&gt;0,"E","W")</f>
        <v>W</v>
      </c>
    </row>
    <row r="510" spans="1:16" x14ac:dyDescent="0.2">
      <c r="A510">
        <f>'Import OpenCPN'!W511</f>
        <v>0</v>
      </c>
      <c r="B510">
        <f>'Import OpenCPN'!X511</f>
        <v>0</v>
      </c>
      <c r="C510">
        <f t="shared" si="84"/>
        <v>0</v>
      </c>
      <c r="D510" t="str">
        <f t="shared" si="85"/>
        <v>00</v>
      </c>
      <c r="E510">
        <f t="shared" si="86"/>
        <v>0</v>
      </c>
      <c r="F510">
        <f t="shared" si="87"/>
        <v>0</v>
      </c>
      <c r="G510" s="23" t="str">
        <f t="shared" si="88"/>
        <v>00.000</v>
      </c>
      <c r="H510" s="1" t="str">
        <f t="shared" si="89"/>
        <v>0000.000</v>
      </c>
      <c r="I510">
        <f t="shared" si="90"/>
        <v>0</v>
      </c>
      <c r="J510" t="str">
        <f t="shared" si="91"/>
        <v>000</v>
      </c>
      <c r="K510">
        <f t="shared" si="92"/>
        <v>0</v>
      </c>
      <c r="L510">
        <f t="shared" si="93"/>
        <v>0</v>
      </c>
      <c r="M510" t="str">
        <f t="shared" si="94"/>
        <v>00.000</v>
      </c>
      <c r="N510" s="1" t="str">
        <f t="shared" si="95"/>
        <v>00000.000</v>
      </c>
      <c r="O510" t="str">
        <f>IF('Import OpenCPN'!W511&gt;0,"N","S")</f>
        <v>S</v>
      </c>
      <c r="P510" t="str">
        <f>IF('Import OpenCPN'!X511&gt;0,"E","W")</f>
        <v>W</v>
      </c>
    </row>
    <row r="511" spans="1:16" x14ac:dyDescent="0.2">
      <c r="A511">
        <f>'Import OpenCPN'!W512</f>
        <v>0</v>
      </c>
      <c r="B511">
        <f>'Import OpenCPN'!X512</f>
        <v>0</v>
      </c>
      <c r="C511">
        <f t="shared" si="84"/>
        <v>0</v>
      </c>
      <c r="D511" t="str">
        <f t="shared" si="85"/>
        <v>00</v>
      </c>
      <c r="E511">
        <f t="shared" si="86"/>
        <v>0</v>
      </c>
      <c r="F511">
        <f t="shared" si="87"/>
        <v>0</v>
      </c>
      <c r="G511" s="23" t="str">
        <f t="shared" si="88"/>
        <v>00.000</v>
      </c>
      <c r="H511" s="1" t="str">
        <f t="shared" si="89"/>
        <v>0000.000</v>
      </c>
      <c r="I511">
        <f t="shared" si="90"/>
        <v>0</v>
      </c>
      <c r="J511" t="str">
        <f t="shared" si="91"/>
        <v>000</v>
      </c>
      <c r="K511">
        <f t="shared" si="92"/>
        <v>0</v>
      </c>
      <c r="L511">
        <f t="shared" si="93"/>
        <v>0</v>
      </c>
      <c r="M511" t="str">
        <f t="shared" si="94"/>
        <v>00.000</v>
      </c>
      <c r="N511" s="1" t="str">
        <f t="shared" si="95"/>
        <v>00000.000</v>
      </c>
      <c r="O511" t="str">
        <f>IF('Import OpenCPN'!W512&gt;0,"N","S")</f>
        <v>S</v>
      </c>
      <c r="P511" t="str">
        <f>IF('Import OpenCPN'!X512&gt;0,"E","W")</f>
        <v>W</v>
      </c>
    </row>
    <row r="512" spans="1:16" x14ac:dyDescent="0.2">
      <c r="A512">
        <f>'Import OpenCPN'!W513</f>
        <v>0</v>
      </c>
      <c r="B512">
        <f>'Import OpenCPN'!X513</f>
        <v>0</v>
      </c>
      <c r="C512">
        <f t="shared" si="84"/>
        <v>0</v>
      </c>
      <c r="D512" t="str">
        <f t="shared" si="85"/>
        <v>00</v>
      </c>
      <c r="E512">
        <f t="shared" si="86"/>
        <v>0</v>
      </c>
      <c r="F512">
        <f t="shared" si="87"/>
        <v>0</v>
      </c>
      <c r="G512" s="23" t="str">
        <f t="shared" si="88"/>
        <v>00.000</v>
      </c>
      <c r="H512" s="1" t="str">
        <f t="shared" si="89"/>
        <v>0000.000</v>
      </c>
      <c r="I512">
        <f t="shared" si="90"/>
        <v>0</v>
      </c>
      <c r="J512" t="str">
        <f t="shared" si="91"/>
        <v>000</v>
      </c>
      <c r="K512">
        <f t="shared" si="92"/>
        <v>0</v>
      </c>
      <c r="L512">
        <f t="shared" si="93"/>
        <v>0</v>
      </c>
      <c r="M512" t="str">
        <f t="shared" si="94"/>
        <v>00.000</v>
      </c>
      <c r="N512" s="1" t="str">
        <f t="shared" si="95"/>
        <v>00000.000</v>
      </c>
      <c r="O512" t="str">
        <f>IF('Import OpenCPN'!W513&gt;0,"N","S")</f>
        <v>S</v>
      </c>
      <c r="P512" t="str">
        <f>IF('Import OpenCPN'!X513&gt;0,"E","W")</f>
        <v>W</v>
      </c>
    </row>
    <row r="513" spans="1:16" x14ac:dyDescent="0.2">
      <c r="A513">
        <f>'Import OpenCPN'!W514</f>
        <v>0</v>
      </c>
      <c r="B513">
        <f>'Import OpenCPN'!X514</f>
        <v>0</v>
      </c>
      <c r="C513">
        <f t="shared" si="84"/>
        <v>0</v>
      </c>
      <c r="D513" t="str">
        <f t="shared" si="85"/>
        <v>00</v>
      </c>
      <c r="E513">
        <f t="shared" si="86"/>
        <v>0</v>
      </c>
      <c r="F513">
        <f t="shared" si="87"/>
        <v>0</v>
      </c>
      <c r="G513" s="23" t="str">
        <f t="shared" si="88"/>
        <v>00.000</v>
      </c>
      <c r="H513" s="1" t="str">
        <f t="shared" si="89"/>
        <v>0000.000</v>
      </c>
      <c r="I513">
        <f t="shared" si="90"/>
        <v>0</v>
      </c>
      <c r="J513" t="str">
        <f t="shared" si="91"/>
        <v>000</v>
      </c>
      <c r="K513">
        <f t="shared" si="92"/>
        <v>0</v>
      </c>
      <c r="L513">
        <f t="shared" si="93"/>
        <v>0</v>
      </c>
      <c r="M513" t="str">
        <f t="shared" si="94"/>
        <v>00.000</v>
      </c>
      <c r="N513" s="1" t="str">
        <f t="shared" si="95"/>
        <v>00000.000</v>
      </c>
      <c r="O513" t="str">
        <f>IF('Import OpenCPN'!W514&gt;0,"N","S")</f>
        <v>S</v>
      </c>
      <c r="P513" t="str">
        <f>IF('Import OpenCPN'!X514&gt;0,"E","W")</f>
        <v>W</v>
      </c>
    </row>
    <row r="514" spans="1:16" x14ac:dyDescent="0.2">
      <c r="A514">
        <f>'Import OpenCPN'!W515</f>
        <v>0</v>
      </c>
      <c r="B514">
        <f>'Import OpenCPN'!X515</f>
        <v>0</v>
      </c>
      <c r="C514">
        <f t="shared" ref="C514:C577" si="96">ABS(TRUNC(A514,0))</f>
        <v>0</v>
      </c>
      <c r="D514" t="str">
        <f t="shared" ref="D514:D577" si="97">TEXT(C514,"00")</f>
        <v>00</v>
      </c>
      <c r="E514">
        <f t="shared" ref="E514:E577" si="98">ABS(A514)-C514</f>
        <v>0</v>
      </c>
      <c r="F514">
        <f t="shared" ref="F514:F577" si="99">E514*60</f>
        <v>0</v>
      </c>
      <c r="G514" s="23" t="str">
        <f t="shared" ref="G514:G577" si="100">TEXT(F514,"00.000")</f>
        <v>00.000</v>
      </c>
      <c r="H514" s="1" t="str">
        <f t="shared" ref="H514:H577" si="101">D514&amp;G514</f>
        <v>0000.000</v>
      </c>
      <c r="I514">
        <f t="shared" ref="I514:I577" si="102">ABS(TRUNC(B514,0))</f>
        <v>0</v>
      </c>
      <c r="J514" t="str">
        <f t="shared" ref="J514:J577" si="103">TEXT(I514,"000")</f>
        <v>000</v>
      </c>
      <c r="K514">
        <f t="shared" ref="K514:K577" si="104">ABS(B514)-I514</f>
        <v>0</v>
      </c>
      <c r="L514">
        <f t="shared" ref="L514:L577" si="105">K514*60</f>
        <v>0</v>
      </c>
      <c r="M514" t="str">
        <f t="shared" ref="M514:M577" si="106">TEXT(L514,"00.000")</f>
        <v>00.000</v>
      </c>
      <c r="N514" s="1" t="str">
        <f t="shared" ref="N514:N577" si="107">J514&amp;M514</f>
        <v>00000.000</v>
      </c>
      <c r="O514" t="str">
        <f>IF('Import OpenCPN'!W515&gt;0,"N","S")</f>
        <v>S</v>
      </c>
      <c r="P514" t="str">
        <f>IF('Import OpenCPN'!X515&gt;0,"E","W")</f>
        <v>W</v>
      </c>
    </row>
    <row r="515" spans="1:16" x14ac:dyDescent="0.2">
      <c r="A515">
        <f>'Import OpenCPN'!W516</f>
        <v>0</v>
      </c>
      <c r="B515">
        <f>'Import OpenCPN'!X516</f>
        <v>0</v>
      </c>
      <c r="C515">
        <f t="shared" si="96"/>
        <v>0</v>
      </c>
      <c r="D515" t="str">
        <f t="shared" si="97"/>
        <v>00</v>
      </c>
      <c r="E515">
        <f t="shared" si="98"/>
        <v>0</v>
      </c>
      <c r="F515">
        <f t="shared" si="99"/>
        <v>0</v>
      </c>
      <c r="G515" s="23" t="str">
        <f t="shared" si="100"/>
        <v>00.000</v>
      </c>
      <c r="H515" s="1" t="str">
        <f t="shared" si="101"/>
        <v>0000.000</v>
      </c>
      <c r="I515">
        <f t="shared" si="102"/>
        <v>0</v>
      </c>
      <c r="J515" t="str">
        <f t="shared" si="103"/>
        <v>000</v>
      </c>
      <c r="K515">
        <f t="shared" si="104"/>
        <v>0</v>
      </c>
      <c r="L515">
        <f t="shared" si="105"/>
        <v>0</v>
      </c>
      <c r="M515" t="str">
        <f t="shared" si="106"/>
        <v>00.000</v>
      </c>
      <c r="N515" s="1" t="str">
        <f t="shared" si="107"/>
        <v>00000.000</v>
      </c>
      <c r="O515" t="str">
        <f>IF('Import OpenCPN'!W516&gt;0,"N","S")</f>
        <v>S</v>
      </c>
      <c r="P515" t="str">
        <f>IF('Import OpenCPN'!X516&gt;0,"E","W")</f>
        <v>W</v>
      </c>
    </row>
    <row r="516" spans="1:16" x14ac:dyDescent="0.2">
      <c r="A516">
        <f>'Import OpenCPN'!W517</f>
        <v>0</v>
      </c>
      <c r="B516">
        <f>'Import OpenCPN'!X517</f>
        <v>0</v>
      </c>
      <c r="C516">
        <f t="shared" si="96"/>
        <v>0</v>
      </c>
      <c r="D516" t="str">
        <f t="shared" si="97"/>
        <v>00</v>
      </c>
      <c r="E516">
        <f t="shared" si="98"/>
        <v>0</v>
      </c>
      <c r="F516">
        <f t="shared" si="99"/>
        <v>0</v>
      </c>
      <c r="G516" s="23" t="str">
        <f t="shared" si="100"/>
        <v>00.000</v>
      </c>
      <c r="H516" s="1" t="str">
        <f t="shared" si="101"/>
        <v>0000.000</v>
      </c>
      <c r="I516">
        <f t="shared" si="102"/>
        <v>0</v>
      </c>
      <c r="J516" t="str">
        <f t="shared" si="103"/>
        <v>000</v>
      </c>
      <c r="K516">
        <f t="shared" si="104"/>
        <v>0</v>
      </c>
      <c r="L516">
        <f t="shared" si="105"/>
        <v>0</v>
      </c>
      <c r="M516" t="str">
        <f t="shared" si="106"/>
        <v>00.000</v>
      </c>
      <c r="N516" s="1" t="str">
        <f t="shared" si="107"/>
        <v>00000.000</v>
      </c>
      <c r="O516" t="str">
        <f>IF('Import OpenCPN'!W517&gt;0,"N","S")</f>
        <v>S</v>
      </c>
      <c r="P516" t="str">
        <f>IF('Import OpenCPN'!X517&gt;0,"E","W")</f>
        <v>W</v>
      </c>
    </row>
    <row r="517" spans="1:16" x14ac:dyDescent="0.2">
      <c r="A517">
        <f>'Import OpenCPN'!W518</f>
        <v>0</v>
      </c>
      <c r="B517">
        <f>'Import OpenCPN'!X518</f>
        <v>0</v>
      </c>
      <c r="C517">
        <f t="shared" si="96"/>
        <v>0</v>
      </c>
      <c r="D517" t="str">
        <f t="shared" si="97"/>
        <v>00</v>
      </c>
      <c r="E517">
        <f t="shared" si="98"/>
        <v>0</v>
      </c>
      <c r="F517">
        <f t="shared" si="99"/>
        <v>0</v>
      </c>
      <c r="G517" s="23" t="str">
        <f t="shared" si="100"/>
        <v>00.000</v>
      </c>
      <c r="H517" s="1" t="str">
        <f t="shared" si="101"/>
        <v>0000.000</v>
      </c>
      <c r="I517">
        <f t="shared" si="102"/>
        <v>0</v>
      </c>
      <c r="J517" t="str">
        <f t="shared" si="103"/>
        <v>000</v>
      </c>
      <c r="K517">
        <f t="shared" si="104"/>
        <v>0</v>
      </c>
      <c r="L517">
        <f t="shared" si="105"/>
        <v>0</v>
      </c>
      <c r="M517" t="str">
        <f t="shared" si="106"/>
        <v>00.000</v>
      </c>
      <c r="N517" s="1" t="str">
        <f t="shared" si="107"/>
        <v>00000.000</v>
      </c>
      <c r="O517" t="str">
        <f>IF('Import OpenCPN'!W518&gt;0,"N","S")</f>
        <v>S</v>
      </c>
      <c r="P517" t="str">
        <f>IF('Import OpenCPN'!X518&gt;0,"E","W")</f>
        <v>W</v>
      </c>
    </row>
    <row r="518" spans="1:16" x14ac:dyDescent="0.2">
      <c r="A518">
        <f>'Import OpenCPN'!W519</f>
        <v>0</v>
      </c>
      <c r="B518">
        <f>'Import OpenCPN'!X519</f>
        <v>0</v>
      </c>
      <c r="C518">
        <f t="shared" si="96"/>
        <v>0</v>
      </c>
      <c r="D518" t="str">
        <f t="shared" si="97"/>
        <v>00</v>
      </c>
      <c r="E518">
        <f t="shared" si="98"/>
        <v>0</v>
      </c>
      <c r="F518">
        <f t="shared" si="99"/>
        <v>0</v>
      </c>
      <c r="G518" s="23" t="str">
        <f t="shared" si="100"/>
        <v>00.000</v>
      </c>
      <c r="H518" s="1" t="str">
        <f t="shared" si="101"/>
        <v>0000.000</v>
      </c>
      <c r="I518">
        <f t="shared" si="102"/>
        <v>0</v>
      </c>
      <c r="J518" t="str">
        <f t="shared" si="103"/>
        <v>000</v>
      </c>
      <c r="K518">
        <f t="shared" si="104"/>
        <v>0</v>
      </c>
      <c r="L518">
        <f t="shared" si="105"/>
        <v>0</v>
      </c>
      <c r="M518" t="str">
        <f t="shared" si="106"/>
        <v>00.000</v>
      </c>
      <c r="N518" s="1" t="str">
        <f t="shared" si="107"/>
        <v>00000.000</v>
      </c>
      <c r="O518" t="str">
        <f>IF('Import OpenCPN'!W519&gt;0,"N","S")</f>
        <v>S</v>
      </c>
      <c r="P518" t="str">
        <f>IF('Import OpenCPN'!X519&gt;0,"E","W")</f>
        <v>W</v>
      </c>
    </row>
    <row r="519" spans="1:16" x14ac:dyDescent="0.2">
      <c r="A519">
        <f>'Import OpenCPN'!W520</f>
        <v>0</v>
      </c>
      <c r="B519">
        <f>'Import OpenCPN'!X520</f>
        <v>0</v>
      </c>
      <c r="C519">
        <f t="shared" si="96"/>
        <v>0</v>
      </c>
      <c r="D519" t="str">
        <f t="shared" si="97"/>
        <v>00</v>
      </c>
      <c r="E519">
        <f t="shared" si="98"/>
        <v>0</v>
      </c>
      <c r="F519">
        <f t="shared" si="99"/>
        <v>0</v>
      </c>
      <c r="G519" s="23" t="str">
        <f t="shared" si="100"/>
        <v>00.000</v>
      </c>
      <c r="H519" s="1" t="str">
        <f t="shared" si="101"/>
        <v>0000.000</v>
      </c>
      <c r="I519">
        <f t="shared" si="102"/>
        <v>0</v>
      </c>
      <c r="J519" t="str">
        <f t="shared" si="103"/>
        <v>000</v>
      </c>
      <c r="K519">
        <f t="shared" si="104"/>
        <v>0</v>
      </c>
      <c r="L519">
        <f t="shared" si="105"/>
        <v>0</v>
      </c>
      <c r="M519" t="str">
        <f t="shared" si="106"/>
        <v>00.000</v>
      </c>
      <c r="N519" s="1" t="str">
        <f t="shared" si="107"/>
        <v>00000.000</v>
      </c>
      <c r="O519" t="str">
        <f>IF('Import OpenCPN'!W520&gt;0,"N","S")</f>
        <v>S</v>
      </c>
      <c r="P519" t="str">
        <f>IF('Import OpenCPN'!X520&gt;0,"E","W")</f>
        <v>W</v>
      </c>
    </row>
    <row r="520" spans="1:16" x14ac:dyDescent="0.2">
      <c r="A520">
        <f>'Import OpenCPN'!W521</f>
        <v>0</v>
      </c>
      <c r="B520">
        <f>'Import OpenCPN'!X521</f>
        <v>0</v>
      </c>
      <c r="C520">
        <f t="shared" si="96"/>
        <v>0</v>
      </c>
      <c r="D520" t="str">
        <f t="shared" si="97"/>
        <v>00</v>
      </c>
      <c r="E520">
        <f t="shared" si="98"/>
        <v>0</v>
      </c>
      <c r="F520">
        <f t="shared" si="99"/>
        <v>0</v>
      </c>
      <c r="G520" s="23" t="str">
        <f t="shared" si="100"/>
        <v>00.000</v>
      </c>
      <c r="H520" s="1" t="str">
        <f t="shared" si="101"/>
        <v>0000.000</v>
      </c>
      <c r="I520">
        <f t="shared" si="102"/>
        <v>0</v>
      </c>
      <c r="J520" t="str">
        <f t="shared" si="103"/>
        <v>000</v>
      </c>
      <c r="K520">
        <f t="shared" si="104"/>
        <v>0</v>
      </c>
      <c r="L520">
        <f t="shared" si="105"/>
        <v>0</v>
      </c>
      <c r="M520" t="str">
        <f t="shared" si="106"/>
        <v>00.000</v>
      </c>
      <c r="N520" s="1" t="str">
        <f t="shared" si="107"/>
        <v>00000.000</v>
      </c>
      <c r="O520" t="str">
        <f>IF('Import OpenCPN'!W521&gt;0,"N","S")</f>
        <v>S</v>
      </c>
      <c r="P520" t="str">
        <f>IF('Import OpenCPN'!X521&gt;0,"E","W")</f>
        <v>W</v>
      </c>
    </row>
    <row r="521" spans="1:16" x14ac:dyDescent="0.2">
      <c r="A521">
        <f>'Import OpenCPN'!W522</f>
        <v>0</v>
      </c>
      <c r="B521">
        <f>'Import OpenCPN'!X522</f>
        <v>0</v>
      </c>
      <c r="C521">
        <f t="shared" si="96"/>
        <v>0</v>
      </c>
      <c r="D521" t="str">
        <f t="shared" si="97"/>
        <v>00</v>
      </c>
      <c r="E521">
        <f t="shared" si="98"/>
        <v>0</v>
      </c>
      <c r="F521">
        <f t="shared" si="99"/>
        <v>0</v>
      </c>
      <c r="G521" s="23" t="str">
        <f t="shared" si="100"/>
        <v>00.000</v>
      </c>
      <c r="H521" s="1" t="str">
        <f t="shared" si="101"/>
        <v>0000.000</v>
      </c>
      <c r="I521">
        <f t="shared" si="102"/>
        <v>0</v>
      </c>
      <c r="J521" t="str">
        <f t="shared" si="103"/>
        <v>000</v>
      </c>
      <c r="K521">
        <f t="shared" si="104"/>
        <v>0</v>
      </c>
      <c r="L521">
        <f t="shared" si="105"/>
        <v>0</v>
      </c>
      <c r="M521" t="str">
        <f t="shared" si="106"/>
        <v>00.000</v>
      </c>
      <c r="N521" s="1" t="str">
        <f t="shared" si="107"/>
        <v>00000.000</v>
      </c>
      <c r="O521" t="str">
        <f>IF('Import OpenCPN'!W522&gt;0,"N","S")</f>
        <v>S</v>
      </c>
      <c r="P521" t="str">
        <f>IF('Import OpenCPN'!X522&gt;0,"E","W")</f>
        <v>W</v>
      </c>
    </row>
    <row r="522" spans="1:16" x14ac:dyDescent="0.2">
      <c r="A522">
        <f>'Import OpenCPN'!W523</f>
        <v>0</v>
      </c>
      <c r="B522">
        <f>'Import OpenCPN'!X523</f>
        <v>0</v>
      </c>
      <c r="C522">
        <f t="shared" si="96"/>
        <v>0</v>
      </c>
      <c r="D522" t="str">
        <f t="shared" si="97"/>
        <v>00</v>
      </c>
      <c r="E522">
        <f t="shared" si="98"/>
        <v>0</v>
      </c>
      <c r="F522">
        <f t="shared" si="99"/>
        <v>0</v>
      </c>
      <c r="G522" s="23" t="str">
        <f t="shared" si="100"/>
        <v>00.000</v>
      </c>
      <c r="H522" s="1" t="str">
        <f t="shared" si="101"/>
        <v>0000.000</v>
      </c>
      <c r="I522">
        <f t="shared" si="102"/>
        <v>0</v>
      </c>
      <c r="J522" t="str">
        <f t="shared" si="103"/>
        <v>000</v>
      </c>
      <c r="K522">
        <f t="shared" si="104"/>
        <v>0</v>
      </c>
      <c r="L522">
        <f t="shared" si="105"/>
        <v>0</v>
      </c>
      <c r="M522" t="str">
        <f t="shared" si="106"/>
        <v>00.000</v>
      </c>
      <c r="N522" s="1" t="str">
        <f t="shared" si="107"/>
        <v>00000.000</v>
      </c>
      <c r="O522" t="str">
        <f>IF('Import OpenCPN'!W523&gt;0,"N","S")</f>
        <v>S</v>
      </c>
      <c r="P522" t="str">
        <f>IF('Import OpenCPN'!X523&gt;0,"E","W")</f>
        <v>W</v>
      </c>
    </row>
    <row r="523" spans="1:16" x14ac:dyDescent="0.2">
      <c r="A523">
        <f>'Import OpenCPN'!W524</f>
        <v>0</v>
      </c>
      <c r="B523">
        <f>'Import OpenCPN'!X524</f>
        <v>0</v>
      </c>
      <c r="C523">
        <f t="shared" si="96"/>
        <v>0</v>
      </c>
      <c r="D523" t="str">
        <f t="shared" si="97"/>
        <v>00</v>
      </c>
      <c r="E523">
        <f t="shared" si="98"/>
        <v>0</v>
      </c>
      <c r="F523">
        <f t="shared" si="99"/>
        <v>0</v>
      </c>
      <c r="G523" s="23" t="str">
        <f t="shared" si="100"/>
        <v>00.000</v>
      </c>
      <c r="H523" s="1" t="str">
        <f t="shared" si="101"/>
        <v>0000.000</v>
      </c>
      <c r="I523">
        <f t="shared" si="102"/>
        <v>0</v>
      </c>
      <c r="J523" t="str">
        <f t="shared" si="103"/>
        <v>000</v>
      </c>
      <c r="K523">
        <f t="shared" si="104"/>
        <v>0</v>
      </c>
      <c r="L523">
        <f t="shared" si="105"/>
        <v>0</v>
      </c>
      <c r="M523" t="str">
        <f t="shared" si="106"/>
        <v>00.000</v>
      </c>
      <c r="N523" s="1" t="str">
        <f t="shared" si="107"/>
        <v>00000.000</v>
      </c>
      <c r="O523" t="str">
        <f>IF('Import OpenCPN'!W524&gt;0,"N","S")</f>
        <v>S</v>
      </c>
      <c r="P523" t="str">
        <f>IF('Import OpenCPN'!X524&gt;0,"E","W")</f>
        <v>W</v>
      </c>
    </row>
    <row r="524" spans="1:16" x14ac:dyDescent="0.2">
      <c r="A524">
        <f>'Import OpenCPN'!W525</f>
        <v>0</v>
      </c>
      <c r="B524">
        <f>'Import OpenCPN'!X525</f>
        <v>0</v>
      </c>
      <c r="C524">
        <f t="shared" si="96"/>
        <v>0</v>
      </c>
      <c r="D524" t="str">
        <f t="shared" si="97"/>
        <v>00</v>
      </c>
      <c r="E524">
        <f t="shared" si="98"/>
        <v>0</v>
      </c>
      <c r="F524">
        <f t="shared" si="99"/>
        <v>0</v>
      </c>
      <c r="G524" s="23" t="str">
        <f t="shared" si="100"/>
        <v>00.000</v>
      </c>
      <c r="H524" s="1" t="str">
        <f t="shared" si="101"/>
        <v>0000.000</v>
      </c>
      <c r="I524">
        <f t="shared" si="102"/>
        <v>0</v>
      </c>
      <c r="J524" t="str">
        <f t="shared" si="103"/>
        <v>000</v>
      </c>
      <c r="K524">
        <f t="shared" si="104"/>
        <v>0</v>
      </c>
      <c r="L524">
        <f t="shared" si="105"/>
        <v>0</v>
      </c>
      <c r="M524" t="str">
        <f t="shared" si="106"/>
        <v>00.000</v>
      </c>
      <c r="N524" s="1" t="str">
        <f t="shared" si="107"/>
        <v>00000.000</v>
      </c>
      <c r="O524" t="str">
        <f>IF('Import OpenCPN'!W525&gt;0,"N","S")</f>
        <v>S</v>
      </c>
      <c r="P524" t="str">
        <f>IF('Import OpenCPN'!X525&gt;0,"E","W")</f>
        <v>W</v>
      </c>
    </row>
    <row r="525" spans="1:16" x14ac:dyDescent="0.2">
      <c r="A525">
        <f>'Import OpenCPN'!W526</f>
        <v>0</v>
      </c>
      <c r="B525">
        <f>'Import OpenCPN'!X526</f>
        <v>0</v>
      </c>
      <c r="C525">
        <f t="shared" si="96"/>
        <v>0</v>
      </c>
      <c r="D525" t="str">
        <f t="shared" si="97"/>
        <v>00</v>
      </c>
      <c r="E525">
        <f t="shared" si="98"/>
        <v>0</v>
      </c>
      <c r="F525">
        <f t="shared" si="99"/>
        <v>0</v>
      </c>
      <c r="G525" s="23" t="str">
        <f t="shared" si="100"/>
        <v>00.000</v>
      </c>
      <c r="H525" s="1" t="str">
        <f t="shared" si="101"/>
        <v>0000.000</v>
      </c>
      <c r="I525">
        <f t="shared" si="102"/>
        <v>0</v>
      </c>
      <c r="J525" t="str">
        <f t="shared" si="103"/>
        <v>000</v>
      </c>
      <c r="K525">
        <f t="shared" si="104"/>
        <v>0</v>
      </c>
      <c r="L525">
        <f t="shared" si="105"/>
        <v>0</v>
      </c>
      <c r="M525" t="str">
        <f t="shared" si="106"/>
        <v>00.000</v>
      </c>
      <c r="N525" s="1" t="str">
        <f t="shared" si="107"/>
        <v>00000.000</v>
      </c>
      <c r="O525" t="str">
        <f>IF('Import OpenCPN'!W526&gt;0,"N","S")</f>
        <v>S</v>
      </c>
      <c r="P525" t="str">
        <f>IF('Import OpenCPN'!X526&gt;0,"E","W")</f>
        <v>W</v>
      </c>
    </row>
    <row r="526" spans="1:16" x14ac:dyDescent="0.2">
      <c r="A526">
        <f>'Import OpenCPN'!W527</f>
        <v>0</v>
      </c>
      <c r="B526">
        <f>'Import OpenCPN'!X527</f>
        <v>0</v>
      </c>
      <c r="C526">
        <f t="shared" si="96"/>
        <v>0</v>
      </c>
      <c r="D526" t="str">
        <f t="shared" si="97"/>
        <v>00</v>
      </c>
      <c r="E526">
        <f t="shared" si="98"/>
        <v>0</v>
      </c>
      <c r="F526">
        <f t="shared" si="99"/>
        <v>0</v>
      </c>
      <c r="G526" s="23" t="str">
        <f t="shared" si="100"/>
        <v>00.000</v>
      </c>
      <c r="H526" s="1" t="str">
        <f t="shared" si="101"/>
        <v>0000.000</v>
      </c>
      <c r="I526">
        <f t="shared" si="102"/>
        <v>0</v>
      </c>
      <c r="J526" t="str">
        <f t="shared" si="103"/>
        <v>000</v>
      </c>
      <c r="K526">
        <f t="shared" si="104"/>
        <v>0</v>
      </c>
      <c r="L526">
        <f t="shared" si="105"/>
        <v>0</v>
      </c>
      <c r="M526" t="str">
        <f t="shared" si="106"/>
        <v>00.000</v>
      </c>
      <c r="N526" s="1" t="str">
        <f t="shared" si="107"/>
        <v>00000.000</v>
      </c>
      <c r="O526" t="str">
        <f>IF('Import OpenCPN'!W527&gt;0,"N","S")</f>
        <v>S</v>
      </c>
      <c r="P526" t="str">
        <f>IF('Import OpenCPN'!X527&gt;0,"E","W")</f>
        <v>W</v>
      </c>
    </row>
    <row r="527" spans="1:16" x14ac:dyDescent="0.2">
      <c r="A527">
        <f>'Import OpenCPN'!W528</f>
        <v>0</v>
      </c>
      <c r="B527">
        <f>'Import OpenCPN'!X528</f>
        <v>0</v>
      </c>
      <c r="C527">
        <f t="shared" si="96"/>
        <v>0</v>
      </c>
      <c r="D527" t="str">
        <f t="shared" si="97"/>
        <v>00</v>
      </c>
      <c r="E527">
        <f t="shared" si="98"/>
        <v>0</v>
      </c>
      <c r="F527">
        <f t="shared" si="99"/>
        <v>0</v>
      </c>
      <c r="G527" s="23" t="str">
        <f t="shared" si="100"/>
        <v>00.000</v>
      </c>
      <c r="H527" s="1" t="str">
        <f t="shared" si="101"/>
        <v>0000.000</v>
      </c>
      <c r="I527">
        <f t="shared" si="102"/>
        <v>0</v>
      </c>
      <c r="J527" t="str">
        <f t="shared" si="103"/>
        <v>000</v>
      </c>
      <c r="K527">
        <f t="shared" si="104"/>
        <v>0</v>
      </c>
      <c r="L527">
        <f t="shared" si="105"/>
        <v>0</v>
      </c>
      <c r="M527" t="str">
        <f t="shared" si="106"/>
        <v>00.000</v>
      </c>
      <c r="N527" s="1" t="str">
        <f t="shared" si="107"/>
        <v>00000.000</v>
      </c>
      <c r="O527" t="str">
        <f>IF('Import OpenCPN'!W528&gt;0,"N","S")</f>
        <v>S</v>
      </c>
      <c r="P527" t="str">
        <f>IF('Import OpenCPN'!X528&gt;0,"E","W")</f>
        <v>W</v>
      </c>
    </row>
    <row r="528" spans="1:16" x14ac:dyDescent="0.2">
      <c r="A528">
        <f>'Import OpenCPN'!W529</f>
        <v>0</v>
      </c>
      <c r="B528">
        <f>'Import OpenCPN'!X529</f>
        <v>0</v>
      </c>
      <c r="C528">
        <f t="shared" si="96"/>
        <v>0</v>
      </c>
      <c r="D528" t="str">
        <f t="shared" si="97"/>
        <v>00</v>
      </c>
      <c r="E528">
        <f t="shared" si="98"/>
        <v>0</v>
      </c>
      <c r="F528">
        <f t="shared" si="99"/>
        <v>0</v>
      </c>
      <c r="G528" s="23" t="str">
        <f t="shared" si="100"/>
        <v>00.000</v>
      </c>
      <c r="H528" s="1" t="str">
        <f t="shared" si="101"/>
        <v>0000.000</v>
      </c>
      <c r="I528">
        <f t="shared" si="102"/>
        <v>0</v>
      </c>
      <c r="J528" t="str">
        <f t="shared" si="103"/>
        <v>000</v>
      </c>
      <c r="K528">
        <f t="shared" si="104"/>
        <v>0</v>
      </c>
      <c r="L528">
        <f t="shared" si="105"/>
        <v>0</v>
      </c>
      <c r="M528" t="str">
        <f t="shared" si="106"/>
        <v>00.000</v>
      </c>
      <c r="N528" s="1" t="str">
        <f t="shared" si="107"/>
        <v>00000.000</v>
      </c>
      <c r="O528" t="str">
        <f>IF('Import OpenCPN'!W529&gt;0,"N","S")</f>
        <v>S</v>
      </c>
      <c r="P528" t="str">
        <f>IF('Import OpenCPN'!X529&gt;0,"E","W")</f>
        <v>W</v>
      </c>
    </row>
    <row r="529" spans="1:16" x14ac:dyDescent="0.2">
      <c r="A529">
        <f>'Import OpenCPN'!W530</f>
        <v>0</v>
      </c>
      <c r="B529">
        <f>'Import OpenCPN'!X530</f>
        <v>0</v>
      </c>
      <c r="C529">
        <f t="shared" si="96"/>
        <v>0</v>
      </c>
      <c r="D529" t="str">
        <f t="shared" si="97"/>
        <v>00</v>
      </c>
      <c r="E529">
        <f t="shared" si="98"/>
        <v>0</v>
      </c>
      <c r="F529">
        <f t="shared" si="99"/>
        <v>0</v>
      </c>
      <c r="G529" s="23" t="str">
        <f t="shared" si="100"/>
        <v>00.000</v>
      </c>
      <c r="H529" s="1" t="str">
        <f t="shared" si="101"/>
        <v>0000.000</v>
      </c>
      <c r="I529">
        <f t="shared" si="102"/>
        <v>0</v>
      </c>
      <c r="J529" t="str">
        <f t="shared" si="103"/>
        <v>000</v>
      </c>
      <c r="K529">
        <f t="shared" si="104"/>
        <v>0</v>
      </c>
      <c r="L529">
        <f t="shared" si="105"/>
        <v>0</v>
      </c>
      <c r="M529" t="str">
        <f t="shared" si="106"/>
        <v>00.000</v>
      </c>
      <c r="N529" s="1" t="str">
        <f t="shared" si="107"/>
        <v>00000.000</v>
      </c>
      <c r="O529" t="str">
        <f>IF('Import OpenCPN'!W530&gt;0,"N","S")</f>
        <v>S</v>
      </c>
      <c r="P529" t="str">
        <f>IF('Import OpenCPN'!X530&gt;0,"E","W")</f>
        <v>W</v>
      </c>
    </row>
    <row r="530" spans="1:16" x14ac:dyDescent="0.2">
      <c r="A530">
        <f>'Import OpenCPN'!W531</f>
        <v>0</v>
      </c>
      <c r="B530">
        <f>'Import OpenCPN'!X531</f>
        <v>0</v>
      </c>
      <c r="C530">
        <f t="shared" si="96"/>
        <v>0</v>
      </c>
      <c r="D530" t="str">
        <f t="shared" si="97"/>
        <v>00</v>
      </c>
      <c r="E530">
        <f t="shared" si="98"/>
        <v>0</v>
      </c>
      <c r="F530">
        <f t="shared" si="99"/>
        <v>0</v>
      </c>
      <c r="G530" s="23" t="str">
        <f t="shared" si="100"/>
        <v>00.000</v>
      </c>
      <c r="H530" s="1" t="str">
        <f t="shared" si="101"/>
        <v>0000.000</v>
      </c>
      <c r="I530">
        <f t="shared" si="102"/>
        <v>0</v>
      </c>
      <c r="J530" t="str">
        <f t="shared" si="103"/>
        <v>000</v>
      </c>
      <c r="K530">
        <f t="shared" si="104"/>
        <v>0</v>
      </c>
      <c r="L530">
        <f t="shared" si="105"/>
        <v>0</v>
      </c>
      <c r="M530" t="str">
        <f t="shared" si="106"/>
        <v>00.000</v>
      </c>
      <c r="N530" s="1" t="str">
        <f t="shared" si="107"/>
        <v>00000.000</v>
      </c>
      <c r="O530" t="str">
        <f>IF('Import OpenCPN'!W531&gt;0,"N","S")</f>
        <v>S</v>
      </c>
      <c r="P530" t="str">
        <f>IF('Import OpenCPN'!X531&gt;0,"E","W")</f>
        <v>W</v>
      </c>
    </row>
    <row r="531" spans="1:16" x14ac:dyDescent="0.2">
      <c r="A531">
        <f>'Import OpenCPN'!W532</f>
        <v>0</v>
      </c>
      <c r="B531">
        <f>'Import OpenCPN'!X532</f>
        <v>0</v>
      </c>
      <c r="C531">
        <f t="shared" si="96"/>
        <v>0</v>
      </c>
      <c r="D531" t="str">
        <f t="shared" si="97"/>
        <v>00</v>
      </c>
      <c r="E531">
        <f t="shared" si="98"/>
        <v>0</v>
      </c>
      <c r="F531">
        <f t="shared" si="99"/>
        <v>0</v>
      </c>
      <c r="G531" s="23" t="str">
        <f t="shared" si="100"/>
        <v>00.000</v>
      </c>
      <c r="H531" s="1" t="str">
        <f t="shared" si="101"/>
        <v>0000.000</v>
      </c>
      <c r="I531">
        <f t="shared" si="102"/>
        <v>0</v>
      </c>
      <c r="J531" t="str">
        <f t="shared" si="103"/>
        <v>000</v>
      </c>
      <c r="K531">
        <f t="shared" si="104"/>
        <v>0</v>
      </c>
      <c r="L531">
        <f t="shared" si="105"/>
        <v>0</v>
      </c>
      <c r="M531" t="str">
        <f t="shared" si="106"/>
        <v>00.000</v>
      </c>
      <c r="N531" s="1" t="str">
        <f t="shared" si="107"/>
        <v>00000.000</v>
      </c>
      <c r="O531" t="str">
        <f>IF('Import OpenCPN'!W532&gt;0,"N","S")</f>
        <v>S</v>
      </c>
      <c r="P531" t="str">
        <f>IF('Import OpenCPN'!X532&gt;0,"E","W")</f>
        <v>W</v>
      </c>
    </row>
    <row r="532" spans="1:16" x14ac:dyDescent="0.2">
      <c r="A532">
        <f>'Import OpenCPN'!W533</f>
        <v>0</v>
      </c>
      <c r="B532">
        <f>'Import OpenCPN'!X533</f>
        <v>0</v>
      </c>
      <c r="C532">
        <f t="shared" si="96"/>
        <v>0</v>
      </c>
      <c r="D532" t="str">
        <f t="shared" si="97"/>
        <v>00</v>
      </c>
      <c r="E532">
        <f t="shared" si="98"/>
        <v>0</v>
      </c>
      <c r="F532">
        <f t="shared" si="99"/>
        <v>0</v>
      </c>
      <c r="G532" s="23" t="str">
        <f t="shared" si="100"/>
        <v>00.000</v>
      </c>
      <c r="H532" s="1" t="str">
        <f t="shared" si="101"/>
        <v>0000.000</v>
      </c>
      <c r="I532">
        <f t="shared" si="102"/>
        <v>0</v>
      </c>
      <c r="J532" t="str">
        <f t="shared" si="103"/>
        <v>000</v>
      </c>
      <c r="K532">
        <f t="shared" si="104"/>
        <v>0</v>
      </c>
      <c r="L532">
        <f t="shared" si="105"/>
        <v>0</v>
      </c>
      <c r="M532" t="str">
        <f t="shared" si="106"/>
        <v>00.000</v>
      </c>
      <c r="N532" s="1" t="str">
        <f t="shared" si="107"/>
        <v>00000.000</v>
      </c>
      <c r="O532" t="str">
        <f>IF('Import OpenCPN'!W533&gt;0,"N","S")</f>
        <v>S</v>
      </c>
      <c r="P532" t="str">
        <f>IF('Import OpenCPN'!X533&gt;0,"E","W")</f>
        <v>W</v>
      </c>
    </row>
    <row r="533" spans="1:16" x14ac:dyDescent="0.2">
      <c r="A533">
        <f>'Import OpenCPN'!W534</f>
        <v>0</v>
      </c>
      <c r="B533">
        <f>'Import OpenCPN'!X534</f>
        <v>0</v>
      </c>
      <c r="C533">
        <f t="shared" si="96"/>
        <v>0</v>
      </c>
      <c r="D533" t="str">
        <f t="shared" si="97"/>
        <v>00</v>
      </c>
      <c r="E533">
        <f t="shared" si="98"/>
        <v>0</v>
      </c>
      <c r="F533">
        <f t="shared" si="99"/>
        <v>0</v>
      </c>
      <c r="G533" s="23" t="str">
        <f t="shared" si="100"/>
        <v>00.000</v>
      </c>
      <c r="H533" s="1" t="str">
        <f t="shared" si="101"/>
        <v>0000.000</v>
      </c>
      <c r="I533">
        <f t="shared" si="102"/>
        <v>0</v>
      </c>
      <c r="J533" t="str">
        <f t="shared" si="103"/>
        <v>000</v>
      </c>
      <c r="K533">
        <f t="shared" si="104"/>
        <v>0</v>
      </c>
      <c r="L533">
        <f t="shared" si="105"/>
        <v>0</v>
      </c>
      <c r="M533" t="str">
        <f t="shared" si="106"/>
        <v>00.000</v>
      </c>
      <c r="N533" s="1" t="str">
        <f t="shared" si="107"/>
        <v>00000.000</v>
      </c>
      <c r="O533" t="str">
        <f>IF('Import OpenCPN'!W534&gt;0,"N","S")</f>
        <v>S</v>
      </c>
      <c r="P533" t="str">
        <f>IF('Import OpenCPN'!X534&gt;0,"E","W")</f>
        <v>W</v>
      </c>
    </row>
    <row r="534" spans="1:16" x14ac:dyDescent="0.2">
      <c r="A534">
        <f>'Import OpenCPN'!W535</f>
        <v>0</v>
      </c>
      <c r="B534">
        <f>'Import OpenCPN'!X535</f>
        <v>0</v>
      </c>
      <c r="C534">
        <f t="shared" si="96"/>
        <v>0</v>
      </c>
      <c r="D534" t="str">
        <f t="shared" si="97"/>
        <v>00</v>
      </c>
      <c r="E534">
        <f t="shared" si="98"/>
        <v>0</v>
      </c>
      <c r="F534">
        <f t="shared" si="99"/>
        <v>0</v>
      </c>
      <c r="G534" s="23" t="str">
        <f t="shared" si="100"/>
        <v>00.000</v>
      </c>
      <c r="H534" s="1" t="str">
        <f t="shared" si="101"/>
        <v>0000.000</v>
      </c>
      <c r="I534">
        <f t="shared" si="102"/>
        <v>0</v>
      </c>
      <c r="J534" t="str">
        <f t="shared" si="103"/>
        <v>000</v>
      </c>
      <c r="K534">
        <f t="shared" si="104"/>
        <v>0</v>
      </c>
      <c r="L534">
        <f t="shared" si="105"/>
        <v>0</v>
      </c>
      <c r="M534" t="str">
        <f t="shared" si="106"/>
        <v>00.000</v>
      </c>
      <c r="N534" s="1" t="str">
        <f t="shared" si="107"/>
        <v>00000.000</v>
      </c>
      <c r="O534" t="str">
        <f>IF('Import OpenCPN'!W535&gt;0,"N","S")</f>
        <v>S</v>
      </c>
      <c r="P534" t="str">
        <f>IF('Import OpenCPN'!X535&gt;0,"E","W")</f>
        <v>W</v>
      </c>
    </row>
    <row r="535" spans="1:16" x14ac:dyDescent="0.2">
      <c r="A535">
        <f>'Import OpenCPN'!W536</f>
        <v>0</v>
      </c>
      <c r="B535">
        <f>'Import OpenCPN'!X536</f>
        <v>0</v>
      </c>
      <c r="C535">
        <f t="shared" si="96"/>
        <v>0</v>
      </c>
      <c r="D535" t="str">
        <f t="shared" si="97"/>
        <v>00</v>
      </c>
      <c r="E535">
        <f t="shared" si="98"/>
        <v>0</v>
      </c>
      <c r="F535">
        <f t="shared" si="99"/>
        <v>0</v>
      </c>
      <c r="G535" s="23" t="str">
        <f t="shared" si="100"/>
        <v>00.000</v>
      </c>
      <c r="H535" s="1" t="str">
        <f t="shared" si="101"/>
        <v>0000.000</v>
      </c>
      <c r="I535">
        <f t="shared" si="102"/>
        <v>0</v>
      </c>
      <c r="J535" t="str">
        <f t="shared" si="103"/>
        <v>000</v>
      </c>
      <c r="K535">
        <f t="shared" si="104"/>
        <v>0</v>
      </c>
      <c r="L535">
        <f t="shared" si="105"/>
        <v>0</v>
      </c>
      <c r="M535" t="str">
        <f t="shared" si="106"/>
        <v>00.000</v>
      </c>
      <c r="N535" s="1" t="str">
        <f t="shared" si="107"/>
        <v>00000.000</v>
      </c>
      <c r="O535" t="str">
        <f>IF('Import OpenCPN'!W536&gt;0,"N","S")</f>
        <v>S</v>
      </c>
      <c r="P535" t="str">
        <f>IF('Import OpenCPN'!X536&gt;0,"E","W")</f>
        <v>W</v>
      </c>
    </row>
    <row r="536" spans="1:16" x14ac:dyDescent="0.2">
      <c r="A536">
        <f>'Import OpenCPN'!W537</f>
        <v>0</v>
      </c>
      <c r="B536">
        <f>'Import OpenCPN'!X537</f>
        <v>0</v>
      </c>
      <c r="C536">
        <f t="shared" si="96"/>
        <v>0</v>
      </c>
      <c r="D536" t="str">
        <f t="shared" si="97"/>
        <v>00</v>
      </c>
      <c r="E536">
        <f t="shared" si="98"/>
        <v>0</v>
      </c>
      <c r="F536">
        <f t="shared" si="99"/>
        <v>0</v>
      </c>
      <c r="G536" s="23" t="str">
        <f t="shared" si="100"/>
        <v>00.000</v>
      </c>
      <c r="H536" s="1" t="str">
        <f t="shared" si="101"/>
        <v>0000.000</v>
      </c>
      <c r="I536">
        <f t="shared" si="102"/>
        <v>0</v>
      </c>
      <c r="J536" t="str">
        <f t="shared" si="103"/>
        <v>000</v>
      </c>
      <c r="K536">
        <f t="shared" si="104"/>
        <v>0</v>
      </c>
      <c r="L536">
        <f t="shared" si="105"/>
        <v>0</v>
      </c>
      <c r="M536" t="str">
        <f t="shared" si="106"/>
        <v>00.000</v>
      </c>
      <c r="N536" s="1" t="str">
        <f t="shared" si="107"/>
        <v>00000.000</v>
      </c>
      <c r="O536" t="str">
        <f>IF('Import OpenCPN'!W537&gt;0,"N","S")</f>
        <v>S</v>
      </c>
      <c r="P536" t="str">
        <f>IF('Import OpenCPN'!X537&gt;0,"E","W")</f>
        <v>W</v>
      </c>
    </row>
    <row r="537" spans="1:16" x14ac:dyDescent="0.2">
      <c r="A537">
        <f>'Import OpenCPN'!W538</f>
        <v>0</v>
      </c>
      <c r="B537">
        <f>'Import OpenCPN'!X538</f>
        <v>0</v>
      </c>
      <c r="C537">
        <f t="shared" si="96"/>
        <v>0</v>
      </c>
      <c r="D537" t="str">
        <f t="shared" si="97"/>
        <v>00</v>
      </c>
      <c r="E537">
        <f t="shared" si="98"/>
        <v>0</v>
      </c>
      <c r="F537">
        <f t="shared" si="99"/>
        <v>0</v>
      </c>
      <c r="G537" s="23" t="str">
        <f t="shared" si="100"/>
        <v>00.000</v>
      </c>
      <c r="H537" s="1" t="str">
        <f t="shared" si="101"/>
        <v>0000.000</v>
      </c>
      <c r="I537">
        <f t="shared" si="102"/>
        <v>0</v>
      </c>
      <c r="J537" t="str">
        <f t="shared" si="103"/>
        <v>000</v>
      </c>
      <c r="K537">
        <f t="shared" si="104"/>
        <v>0</v>
      </c>
      <c r="L537">
        <f t="shared" si="105"/>
        <v>0</v>
      </c>
      <c r="M537" t="str">
        <f t="shared" si="106"/>
        <v>00.000</v>
      </c>
      <c r="N537" s="1" t="str">
        <f t="shared" si="107"/>
        <v>00000.000</v>
      </c>
      <c r="O537" t="str">
        <f>IF('Import OpenCPN'!W538&gt;0,"N","S")</f>
        <v>S</v>
      </c>
      <c r="P537" t="str">
        <f>IF('Import OpenCPN'!X538&gt;0,"E","W")</f>
        <v>W</v>
      </c>
    </row>
    <row r="538" spans="1:16" x14ac:dyDescent="0.2">
      <c r="A538">
        <f>'Import OpenCPN'!W539</f>
        <v>0</v>
      </c>
      <c r="B538">
        <f>'Import OpenCPN'!X539</f>
        <v>0</v>
      </c>
      <c r="C538">
        <f t="shared" si="96"/>
        <v>0</v>
      </c>
      <c r="D538" t="str">
        <f t="shared" si="97"/>
        <v>00</v>
      </c>
      <c r="E538">
        <f t="shared" si="98"/>
        <v>0</v>
      </c>
      <c r="F538">
        <f t="shared" si="99"/>
        <v>0</v>
      </c>
      <c r="G538" s="23" t="str">
        <f t="shared" si="100"/>
        <v>00.000</v>
      </c>
      <c r="H538" s="1" t="str">
        <f t="shared" si="101"/>
        <v>0000.000</v>
      </c>
      <c r="I538">
        <f t="shared" si="102"/>
        <v>0</v>
      </c>
      <c r="J538" t="str">
        <f t="shared" si="103"/>
        <v>000</v>
      </c>
      <c r="K538">
        <f t="shared" si="104"/>
        <v>0</v>
      </c>
      <c r="L538">
        <f t="shared" si="105"/>
        <v>0</v>
      </c>
      <c r="M538" t="str">
        <f t="shared" si="106"/>
        <v>00.000</v>
      </c>
      <c r="N538" s="1" t="str">
        <f t="shared" si="107"/>
        <v>00000.000</v>
      </c>
      <c r="O538" t="str">
        <f>IF('Import OpenCPN'!W539&gt;0,"N","S")</f>
        <v>S</v>
      </c>
      <c r="P538" t="str">
        <f>IF('Import OpenCPN'!X539&gt;0,"E","W")</f>
        <v>W</v>
      </c>
    </row>
    <row r="539" spans="1:16" x14ac:dyDescent="0.2">
      <c r="A539">
        <f>'Import OpenCPN'!W540</f>
        <v>0</v>
      </c>
      <c r="B539">
        <f>'Import OpenCPN'!X540</f>
        <v>0</v>
      </c>
      <c r="C539">
        <f t="shared" si="96"/>
        <v>0</v>
      </c>
      <c r="D539" t="str">
        <f t="shared" si="97"/>
        <v>00</v>
      </c>
      <c r="E539">
        <f t="shared" si="98"/>
        <v>0</v>
      </c>
      <c r="F539">
        <f t="shared" si="99"/>
        <v>0</v>
      </c>
      <c r="G539" s="23" t="str">
        <f t="shared" si="100"/>
        <v>00.000</v>
      </c>
      <c r="H539" s="1" t="str">
        <f t="shared" si="101"/>
        <v>0000.000</v>
      </c>
      <c r="I539">
        <f t="shared" si="102"/>
        <v>0</v>
      </c>
      <c r="J539" t="str">
        <f t="shared" si="103"/>
        <v>000</v>
      </c>
      <c r="K539">
        <f t="shared" si="104"/>
        <v>0</v>
      </c>
      <c r="L539">
        <f t="shared" si="105"/>
        <v>0</v>
      </c>
      <c r="M539" t="str">
        <f t="shared" si="106"/>
        <v>00.000</v>
      </c>
      <c r="N539" s="1" t="str">
        <f t="shared" si="107"/>
        <v>00000.000</v>
      </c>
      <c r="O539" t="str">
        <f>IF('Import OpenCPN'!W540&gt;0,"N","S")</f>
        <v>S</v>
      </c>
      <c r="P539" t="str">
        <f>IF('Import OpenCPN'!X540&gt;0,"E","W")</f>
        <v>W</v>
      </c>
    </row>
    <row r="540" spans="1:16" x14ac:dyDescent="0.2">
      <c r="A540">
        <f>'Import OpenCPN'!W541</f>
        <v>0</v>
      </c>
      <c r="B540">
        <f>'Import OpenCPN'!X541</f>
        <v>0</v>
      </c>
      <c r="C540">
        <f t="shared" si="96"/>
        <v>0</v>
      </c>
      <c r="D540" t="str">
        <f t="shared" si="97"/>
        <v>00</v>
      </c>
      <c r="E540">
        <f t="shared" si="98"/>
        <v>0</v>
      </c>
      <c r="F540">
        <f t="shared" si="99"/>
        <v>0</v>
      </c>
      <c r="G540" s="23" t="str">
        <f t="shared" si="100"/>
        <v>00.000</v>
      </c>
      <c r="H540" s="1" t="str">
        <f t="shared" si="101"/>
        <v>0000.000</v>
      </c>
      <c r="I540">
        <f t="shared" si="102"/>
        <v>0</v>
      </c>
      <c r="J540" t="str">
        <f t="shared" si="103"/>
        <v>000</v>
      </c>
      <c r="K540">
        <f t="shared" si="104"/>
        <v>0</v>
      </c>
      <c r="L540">
        <f t="shared" si="105"/>
        <v>0</v>
      </c>
      <c r="M540" t="str">
        <f t="shared" si="106"/>
        <v>00.000</v>
      </c>
      <c r="N540" s="1" t="str">
        <f t="shared" si="107"/>
        <v>00000.000</v>
      </c>
      <c r="O540" t="str">
        <f>IF('Import OpenCPN'!W541&gt;0,"N","S")</f>
        <v>S</v>
      </c>
      <c r="P540" t="str">
        <f>IF('Import OpenCPN'!X541&gt;0,"E","W")</f>
        <v>W</v>
      </c>
    </row>
    <row r="541" spans="1:16" x14ac:dyDescent="0.2">
      <c r="A541">
        <f>'Import OpenCPN'!W542</f>
        <v>0</v>
      </c>
      <c r="B541">
        <f>'Import OpenCPN'!X542</f>
        <v>0</v>
      </c>
      <c r="C541">
        <f t="shared" si="96"/>
        <v>0</v>
      </c>
      <c r="D541" t="str">
        <f t="shared" si="97"/>
        <v>00</v>
      </c>
      <c r="E541">
        <f t="shared" si="98"/>
        <v>0</v>
      </c>
      <c r="F541">
        <f t="shared" si="99"/>
        <v>0</v>
      </c>
      <c r="G541" s="23" t="str">
        <f t="shared" si="100"/>
        <v>00.000</v>
      </c>
      <c r="H541" s="1" t="str">
        <f t="shared" si="101"/>
        <v>0000.000</v>
      </c>
      <c r="I541">
        <f t="shared" si="102"/>
        <v>0</v>
      </c>
      <c r="J541" t="str">
        <f t="shared" si="103"/>
        <v>000</v>
      </c>
      <c r="K541">
        <f t="shared" si="104"/>
        <v>0</v>
      </c>
      <c r="L541">
        <f t="shared" si="105"/>
        <v>0</v>
      </c>
      <c r="M541" t="str">
        <f t="shared" si="106"/>
        <v>00.000</v>
      </c>
      <c r="N541" s="1" t="str">
        <f t="shared" si="107"/>
        <v>00000.000</v>
      </c>
      <c r="O541" t="str">
        <f>IF('Import OpenCPN'!W542&gt;0,"N","S")</f>
        <v>S</v>
      </c>
      <c r="P541" t="str">
        <f>IF('Import OpenCPN'!X542&gt;0,"E","W")</f>
        <v>W</v>
      </c>
    </row>
    <row r="542" spans="1:16" x14ac:dyDescent="0.2">
      <c r="A542">
        <f>'Import OpenCPN'!W543</f>
        <v>0</v>
      </c>
      <c r="B542">
        <f>'Import OpenCPN'!X543</f>
        <v>0</v>
      </c>
      <c r="C542">
        <f t="shared" si="96"/>
        <v>0</v>
      </c>
      <c r="D542" t="str">
        <f t="shared" si="97"/>
        <v>00</v>
      </c>
      <c r="E542">
        <f t="shared" si="98"/>
        <v>0</v>
      </c>
      <c r="F542">
        <f t="shared" si="99"/>
        <v>0</v>
      </c>
      <c r="G542" s="23" t="str">
        <f t="shared" si="100"/>
        <v>00.000</v>
      </c>
      <c r="H542" s="1" t="str">
        <f t="shared" si="101"/>
        <v>0000.000</v>
      </c>
      <c r="I542">
        <f t="shared" si="102"/>
        <v>0</v>
      </c>
      <c r="J542" t="str">
        <f t="shared" si="103"/>
        <v>000</v>
      </c>
      <c r="K542">
        <f t="shared" si="104"/>
        <v>0</v>
      </c>
      <c r="L542">
        <f t="shared" si="105"/>
        <v>0</v>
      </c>
      <c r="M542" t="str">
        <f t="shared" si="106"/>
        <v>00.000</v>
      </c>
      <c r="N542" s="1" t="str">
        <f t="shared" si="107"/>
        <v>00000.000</v>
      </c>
      <c r="O542" t="str">
        <f>IF('Import OpenCPN'!W543&gt;0,"N","S")</f>
        <v>S</v>
      </c>
      <c r="P542" t="str">
        <f>IF('Import OpenCPN'!X543&gt;0,"E","W")</f>
        <v>W</v>
      </c>
    </row>
    <row r="543" spans="1:16" x14ac:dyDescent="0.2">
      <c r="A543">
        <f>'Import OpenCPN'!W544</f>
        <v>0</v>
      </c>
      <c r="B543">
        <f>'Import OpenCPN'!X544</f>
        <v>0</v>
      </c>
      <c r="C543">
        <f t="shared" si="96"/>
        <v>0</v>
      </c>
      <c r="D543" t="str">
        <f t="shared" si="97"/>
        <v>00</v>
      </c>
      <c r="E543">
        <f t="shared" si="98"/>
        <v>0</v>
      </c>
      <c r="F543">
        <f t="shared" si="99"/>
        <v>0</v>
      </c>
      <c r="G543" s="23" t="str">
        <f t="shared" si="100"/>
        <v>00.000</v>
      </c>
      <c r="H543" s="1" t="str">
        <f t="shared" si="101"/>
        <v>0000.000</v>
      </c>
      <c r="I543">
        <f t="shared" si="102"/>
        <v>0</v>
      </c>
      <c r="J543" t="str">
        <f t="shared" si="103"/>
        <v>000</v>
      </c>
      <c r="K543">
        <f t="shared" si="104"/>
        <v>0</v>
      </c>
      <c r="L543">
        <f t="shared" si="105"/>
        <v>0</v>
      </c>
      <c r="M543" t="str">
        <f t="shared" si="106"/>
        <v>00.000</v>
      </c>
      <c r="N543" s="1" t="str">
        <f t="shared" si="107"/>
        <v>00000.000</v>
      </c>
      <c r="O543" t="str">
        <f>IF('Import OpenCPN'!W544&gt;0,"N","S")</f>
        <v>S</v>
      </c>
      <c r="P543" t="str">
        <f>IF('Import OpenCPN'!X544&gt;0,"E","W")</f>
        <v>W</v>
      </c>
    </row>
    <row r="544" spans="1:16" x14ac:dyDescent="0.2">
      <c r="A544">
        <f>'Import OpenCPN'!W545</f>
        <v>0</v>
      </c>
      <c r="B544">
        <f>'Import OpenCPN'!X545</f>
        <v>0</v>
      </c>
      <c r="C544">
        <f t="shared" si="96"/>
        <v>0</v>
      </c>
      <c r="D544" t="str">
        <f t="shared" si="97"/>
        <v>00</v>
      </c>
      <c r="E544">
        <f t="shared" si="98"/>
        <v>0</v>
      </c>
      <c r="F544">
        <f t="shared" si="99"/>
        <v>0</v>
      </c>
      <c r="G544" s="23" t="str">
        <f t="shared" si="100"/>
        <v>00.000</v>
      </c>
      <c r="H544" s="1" t="str">
        <f t="shared" si="101"/>
        <v>0000.000</v>
      </c>
      <c r="I544">
        <f t="shared" si="102"/>
        <v>0</v>
      </c>
      <c r="J544" t="str">
        <f t="shared" si="103"/>
        <v>000</v>
      </c>
      <c r="K544">
        <f t="shared" si="104"/>
        <v>0</v>
      </c>
      <c r="L544">
        <f t="shared" si="105"/>
        <v>0</v>
      </c>
      <c r="M544" t="str">
        <f t="shared" si="106"/>
        <v>00.000</v>
      </c>
      <c r="N544" s="1" t="str">
        <f t="shared" si="107"/>
        <v>00000.000</v>
      </c>
      <c r="O544" t="str">
        <f>IF('Import OpenCPN'!W545&gt;0,"N","S")</f>
        <v>S</v>
      </c>
      <c r="P544" t="str">
        <f>IF('Import OpenCPN'!X545&gt;0,"E","W")</f>
        <v>W</v>
      </c>
    </row>
    <row r="545" spans="1:16" x14ac:dyDescent="0.2">
      <c r="A545">
        <f>'Import OpenCPN'!W546</f>
        <v>0</v>
      </c>
      <c r="B545">
        <f>'Import OpenCPN'!X546</f>
        <v>0</v>
      </c>
      <c r="C545">
        <f t="shared" si="96"/>
        <v>0</v>
      </c>
      <c r="D545" t="str">
        <f t="shared" si="97"/>
        <v>00</v>
      </c>
      <c r="E545">
        <f t="shared" si="98"/>
        <v>0</v>
      </c>
      <c r="F545">
        <f t="shared" si="99"/>
        <v>0</v>
      </c>
      <c r="G545" s="23" t="str">
        <f t="shared" si="100"/>
        <v>00.000</v>
      </c>
      <c r="H545" s="1" t="str">
        <f t="shared" si="101"/>
        <v>0000.000</v>
      </c>
      <c r="I545">
        <f t="shared" si="102"/>
        <v>0</v>
      </c>
      <c r="J545" t="str">
        <f t="shared" si="103"/>
        <v>000</v>
      </c>
      <c r="K545">
        <f t="shared" si="104"/>
        <v>0</v>
      </c>
      <c r="L545">
        <f t="shared" si="105"/>
        <v>0</v>
      </c>
      <c r="M545" t="str">
        <f t="shared" si="106"/>
        <v>00.000</v>
      </c>
      <c r="N545" s="1" t="str">
        <f t="shared" si="107"/>
        <v>00000.000</v>
      </c>
      <c r="O545" t="str">
        <f>IF('Import OpenCPN'!W546&gt;0,"N","S")</f>
        <v>S</v>
      </c>
      <c r="P545" t="str">
        <f>IF('Import OpenCPN'!X546&gt;0,"E","W")</f>
        <v>W</v>
      </c>
    </row>
    <row r="546" spans="1:16" x14ac:dyDescent="0.2">
      <c r="A546">
        <f>'Import OpenCPN'!W547</f>
        <v>0</v>
      </c>
      <c r="B546">
        <f>'Import OpenCPN'!X547</f>
        <v>0</v>
      </c>
      <c r="C546">
        <f t="shared" si="96"/>
        <v>0</v>
      </c>
      <c r="D546" t="str">
        <f t="shared" si="97"/>
        <v>00</v>
      </c>
      <c r="E546">
        <f t="shared" si="98"/>
        <v>0</v>
      </c>
      <c r="F546">
        <f t="shared" si="99"/>
        <v>0</v>
      </c>
      <c r="G546" s="23" t="str">
        <f t="shared" si="100"/>
        <v>00.000</v>
      </c>
      <c r="H546" s="1" t="str">
        <f t="shared" si="101"/>
        <v>0000.000</v>
      </c>
      <c r="I546">
        <f t="shared" si="102"/>
        <v>0</v>
      </c>
      <c r="J546" t="str">
        <f t="shared" si="103"/>
        <v>000</v>
      </c>
      <c r="K546">
        <f t="shared" si="104"/>
        <v>0</v>
      </c>
      <c r="L546">
        <f t="shared" si="105"/>
        <v>0</v>
      </c>
      <c r="M546" t="str">
        <f t="shared" si="106"/>
        <v>00.000</v>
      </c>
      <c r="N546" s="1" t="str">
        <f t="shared" si="107"/>
        <v>00000.000</v>
      </c>
      <c r="O546" t="str">
        <f>IF('Import OpenCPN'!W547&gt;0,"N","S")</f>
        <v>S</v>
      </c>
      <c r="P546" t="str">
        <f>IF('Import OpenCPN'!X547&gt;0,"E","W")</f>
        <v>W</v>
      </c>
    </row>
    <row r="547" spans="1:16" x14ac:dyDescent="0.2">
      <c r="A547">
        <f>'Import OpenCPN'!W548</f>
        <v>0</v>
      </c>
      <c r="B547">
        <f>'Import OpenCPN'!X548</f>
        <v>0</v>
      </c>
      <c r="C547">
        <f t="shared" si="96"/>
        <v>0</v>
      </c>
      <c r="D547" t="str">
        <f t="shared" si="97"/>
        <v>00</v>
      </c>
      <c r="E547">
        <f t="shared" si="98"/>
        <v>0</v>
      </c>
      <c r="F547">
        <f t="shared" si="99"/>
        <v>0</v>
      </c>
      <c r="G547" s="23" t="str">
        <f t="shared" si="100"/>
        <v>00.000</v>
      </c>
      <c r="H547" s="1" t="str">
        <f t="shared" si="101"/>
        <v>0000.000</v>
      </c>
      <c r="I547">
        <f t="shared" si="102"/>
        <v>0</v>
      </c>
      <c r="J547" t="str">
        <f t="shared" si="103"/>
        <v>000</v>
      </c>
      <c r="K547">
        <f t="shared" si="104"/>
        <v>0</v>
      </c>
      <c r="L547">
        <f t="shared" si="105"/>
        <v>0</v>
      </c>
      <c r="M547" t="str">
        <f t="shared" si="106"/>
        <v>00.000</v>
      </c>
      <c r="N547" s="1" t="str">
        <f t="shared" si="107"/>
        <v>00000.000</v>
      </c>
      <c r="O547" t="str">
        <f>IF('Import OpenCPN'!W548&gt;0,"N","S")</f>
        <v>S</v>
      </c>
      <c r="P547" t="str">
        <f>IF('Import OpenCPN'!X548&gt;0,"E","W")</f>
        <v>W</v>
      </c>
    </row>
    <row r="548" spans="1:16" x14ac:dyDescent="0.2">
      <c r="A548">
        <f>'Import OpenCPN'!W549</f>
        <v>0</v>
      </c>
      <c r="B548">
        <f>'Import OpenCPN'!X549</f>
        <v>0</v>
      </c>
      <c r="C548">
        <f t="shared" si="96"/>
        <v>0</v>
      </c>
      <c r="D548" t="str">
        <f t="shared" si="97"/>
        <v>00</v>
      </c>
      <c r="E548">
        <f t="shared" si="98"/>
        <v>0</v>
      </c>
      <c r="F548">
        <f t="shared" si="99"/>
        <v>0</v>
      </c>
      <c r="G548" s="23" t="str">
        <f t="shared" si="100"/>
        <v>00.000</v>
      </c>
      <c r="H548" s="1" t="str">
        <f t="shared" si="101"/>
        <v>0000.000</v>
      </c>
      <c r="I548">
        <f t="shared" si="102"/>
        <v>0</v>
      </c>
      <c r="J548" t="str">
        <f t="shared" si="103"/>
        <v>000</v>
      </c>
      <c r="K548">
        <f t="shared" si="104"/>
        <v>0</v>
      </c>
      <c r="L548">
        <f t="shared" si="105"/>
        <v>0</v>
      </c>
      <c r="M548" t="str">
        <f t="shared" si="106"/>
        <v>00.000</v>
      </c>
      <c r="N548" s="1" t="str">
        <f t="shared" si="107"/>
        <v>00000.000</v>
      </c>
      <c r="O548" t="str">
        <f>IF('Import OpenCPN'!W549&gt;0,"N","S")</f>
        <v>S</v>
      </c>
      <c r="P548" t="str">
        <f>IF('Import OpenCPN'!X549&gt;0,"E","W")</f>
        <v>W</v>
      </c>
    </row>
    <row r="549" spans="1:16" x14ac:dyDescent="0.2">
      <c r="A549">
        <f>'Import OpenCPN'!W550</f>
        <v>0</v>
      </c>
      <c r="B549">
        <f>'Import OpenCPN'!X550</f>
        <v>0</v>
      </c>
      <c r="C549">
        <f t="shared" si="96"/>
        <v>0</v>
      </c>
      <c r="D549" t="str">
        <f t="shared" si="97"/>
        <v>00</v>
      </c>
      <c r="E549">
        <f t="shared" si="98"/>
        <v>0</v>
      </c>
      <c r="F549">
        <f t="shared" si="99"/>
        <v>0</v>
      </c>
      <c r="G549" s="23" t="str">
        <f t="shared" si="100"/>
        <v>00.000</v>
      </c>
      <c r="H549" s="1" t="str">
        <f t="shared" si="101"/>
        <v>0000.000</v>
      </c>
      <c r="I549">
        <f t="shared" si="102"/>
        <v>0</v>
      </c>
      <c r="J549" t="str">
        <f t="shared" si="103"/>
        <v>000</v>
      </c>
      <c r="K549">
        <f t="shared" si="104"/>
        <v>0</v>
      </c>
      <c r="L549">
        <f t="shared" si="105"/>
        <v>0</v>
      </c>
      <c r="M549" t="str">
        <f t="shared" si="106"/>
        <v>00.000</v>
      </c>
      <c r="N549" s="1" t="str">
        <f t="shared" si="107"/>
        <v>00000.000</v>
      </c>
      <c r="O549" t="str">
        <f>IF('Import OpenCPN'!W550&gt;0,"N","S")</f>
        <v>S</v>
      </c>
      <c r="P549" t="str">
        <f>IF('Import OpenCPN'!X550&gt;0,"E","W")</f>
        <v>W</v>
      </c>
    </row>
    <row r="550" spans="1:16" x14ac:dyDescent="0.2">
      <c r="A550">
        <f>'Import OpenCPN'!W551</f>
        <v>0</v>
      </c>
      <c r="B550">
        <f>'Import OpenCPN'!X551</f>
        <v>0</v>
      </c>
      <c r="C550">
        <f t="shared" si="96"/>
        <v>0</v>
      </c>
      <c r="D550" t="str">
        <f t="shared" si="97"/>
        <v>00</v>
      </c>
      <c r="E550">
        <f t="shared" si="98"/>
        <v>0</v>
      </c>
      <c r="F550">
        <f t="shared" si="99"/>
        <v>0</v>
      </c>
      <c r="G550" s="23" t="str">
        <f t="shared" si="100"/>
        <v>00.000</v>
      </c>
      <c r="H550" s="1" t="str">
        <f t="shared" si="101"/>
        <v>0000.000</v>
      </c>
      <c r="I550">
        <f t="shared" si="102"/>
        <v>0</v>
      </c>
      <c r="J550" t="str">
        <f t="shared" si="103"/>
        <v>000</v>
      </c>
      <c r="K550">
        <f t="shared" si="104"/>
        <v>0</v>
      </c>
      <c r="L550">
        <f t="shared" si="105"/>
        <v>0</v>
      </c>
      <c r="M550" t="str">
        <f t="shared" si="106"/>
        <v>00.000</v>
      </c>
      <c r="N550" s="1" t="str">
        <f t="shared" si="107"/>
        <v>00000.000</v>
      </c>
      <c r="O550" t="str">
        <f>IF('Import OpenCPN'!W551&gt;0,"N","S")</f>
        <v>S</v>
      </c>
      <c r="P550" t="str">
        <f>IF('Import OpenCPN'!X551&gt;0,"E","W")</f>
        <v>W</v>
      </c>
    </row>
    <row r="551" spans="1:16" x14ac:dyDescent="0.2">
      <c r="A551">
        <f>'Import OpenCPN'!W552</f>
        <v>0</v>
      </c>
      <c r="B551">
        <f>'Import OpenCPN'!X552</f>
        <v>0</v>
      </c>
      <c r="C551">
        <f t="shared" si="96"/>
        <v>0</v>
      </c>
      <c r="D551" t="str">
        <f t="shared" si="97"/>
        <v>00</v>
      </c>
      <c r="E551">
        <f t="shared" si="98"/>
        <v>0</v>
      </c>
      <c r="F551">
        <f t="shared" si="99"/>
        <v>0</v>
      </c>
      <c r="G551" s="23" t="str">
        <f t="shared" si="100"/>
        <v>00.000</v>
      </c>
      <c r="H551" s="1" t="str">
        <f t="shared" si="101"/>
        <v>0000.000</v>
      </c>
      <c r="I551">
        <f t="shared" si="102"/>
        <v>0</v>
      </c>
      <c r="J551" t="str">
        <f t="shared" si="103"/>
        <v>000</v>
      </c>
      <c r="K551">
        <f t="shared" si="104"/>
        <v>0</v>
      </c>
      <c r="L551">
        <f t="shared" si="105"/>
        <v>0</v>
      </c>
      <c r="M551" t="str">
        <f t="shared" si="106"/>
        <v>00.000</v>
      </c>
      <c r="N551" s="1" t="str">
        <f t="shared" si="107"/>
        <v>00000.000</v>
      </c>
      <c r="O551" t="str">
        <f>IF('Import OpenCPN'!W552&gt;0,"N","S")</f>
        <v>S</v>
      </c>
      <c r="P551" t="str">
        <f>IF('Import OpenCPN'!X552&gt;0,"E","W")</f>
        <v>W</v>
      </c>
    </row>
    <row r="552" spans="1:16" x14ac:dyDescent="0.2">
      <c r="A552">
        <f>'Import OpenCPN'!W553</f>
        <v>0</v>
      </c>
      <c r="B552">
        <f>'Import OpenCPN'!X553</f>
        <v>0</v>
      </c>
      <c r="C552">
        <f t="shared" si="96"/>
        <v>0</v>
      </c>
      <c r="D552" t="str">
        <f t="shared" si="97"/>
        <v>00</v>
      </c>
      <c r="E552">
        <f t="shared" si="98"/>
        <v>0</v>
      </c>
      <c r="F552">
        <f t="shared" si="99"/>
        <v>0</v>
      </c>
      <c r="G552" s="23" t="str">
        <f t="shared" si="100"/>
        <v>00.000</v>
      </c>
      <c r="H552" s="1" t="str">
        <f t="shared" si="101"/>
        <v>0000.000</v>
      </c>
      <c r="I552">
        <f t="shared" si="102"/>
        <v>0</v>
      </c>
      <c r="J552" t="str">
        <f t="shared" si="103"/>
        <v>000</v>
      </c>
      <c r="K552">
        <f t="shared" si="104"/>
        <v>0</v>
      </c>
      <c r="L552">
        <f t="shared" si="105"/>
        <v>0</v>
      </c>
      <c r="M552" t="str">
        <f t="shared" si="106"/>
        <v>00.000</v>
      </c>
      <c r="N552" s="1" t="str">
        <f t="shared" si="107"/>
        <v>00000.000</v>
      </c>
      <c r="O552" t="str">
        <f>IF('Import OpenCPN'!W553&gt;0,"N","S")</f>
        <v>S</v>
      </c>
      <c r="P552" t="str">
        <f>IF('Import OpenCPN'!X553&gt;0,"E","W")</f>
        <v>W</v>
      </c>
    </row>
    <row r="553" spans="1:16" x14ac:dyDescent="0.2">
      <c r="A553">
        <f>'Import OpenCPN'!W554</f>
        <v>0</v>
      </c>
      <c r="B553">
        <f>'Import OpenCPN'!X554</f>
        <v>0</v>
      </c>
      <c r="C553">
        <f t="shared" si="96"/>
        <v>0</v>
      </c>
      <c r="D553" t="str">
        <f t="shared" si="97"/>
        <v>00</v>
      </c>
      <c r="E553">
        <f t="shared" si="98"/>
        <v>0</v>
      </c>
      <c r="F553">
        <f t="shared" si="99"/>
        <v>0</v>
      </c>
      <c r="G553" s="23" t="str">
        <f t="shared" si="100"/>
        <v>00.000</v>
      </c>
      <c r="H553" s="1" t="str">
        <f t="shared" si="101"/>
        <v>0000.000</v>
      </c>
      <c r="I553">
        <f t="shared" si="102"/>
        <v>0</v>
      </c>
      <c r="J553" t="str">
        <f t="shared" si="103"/>
        <v>000</v>
      </c>
      <c r="K553">
        <f t="shared" si="104"/>
        <v>0</v>
      </c>
      <c r="L553">
        <f t="shared" si="105"/>
        <v>0</v>
      </c>
      <c r="M553" t="str">
        <f t="shared" si="106"/>
        <v>00.000</v>
      </c>
      <c r="N553" s="1" t="str">
        <f t="shared" si="107"/>
        <v>00000.000</v>
      </c>
      <c r="O553" t="str">
        <f>IF('Import OpenCPN'!W554&gt;0,"N","S")</f>
        <v>S</v>
      </c>
      <c r="P553" t="str">
        <f>IF('Import OpenCPN'!X554&gt;0,"E","W")</f>
        <v>W</v>
      </c>
    </row>
    <row r="554" spans="1:16" x14ac:dyDescent="0.2">
      <c r="A554">
        <f>'Import OpenCPN'!W555</f>
        <v>0</v>
      </c>
      <c r="B554">
        <f>'Import OpenCPN'!X555</f>
        <v>0</v>
      </c>
      <c r="C554">
        <f t="shared" si="96"/>
        <v>0</v>
      </c>
      <c r="D554" t="str">
        <f t="shared" si="97"/>
        <v>00</v>
      </c>
      <c r="E554">
        <f t="shared" si="98"/>
        <v>0</v>
      </c>
      <c r="F554">
        <f t="shared" si="99"/>
        <v>0</v>
      </c>
      <c r="G554" s="23" t="str">
        <f t="shared" si="100"/>
        <v>00.000</v>
      </c>
      <c r="H554" s="1" t="str">
        <f t="shared" si="101"/>
        <v>0000.000</v>
      </c>
      <c r="I554">
        <f t="shared" si="102"/>
        <v>0</v>
      </c>
      <c r="J554" t="str">
        <f t="shared" si="103"/>
        <v>000</v>
      </c>
      <c r="K554">
        <f t="shared" si="104"/>
        <v>0</v>
      </c>
      <c r="L554">
        <f t="shared" si="105"/>
        <v>0</v>
      </c>
      <c r="M554" t="str">
        <f t="shared" si="106"/>
        <v>00.000</v>
      </c>
      <c r="N554" s="1" t="str">
        <f t="shared" si="107"/>
        <v>00000.000</v>
      </c>
      <c r="O554" t="str">
        <f>IF('Import OpenCPN'!W555&gt;0,"N","S")</f>
        <v>S</v>
      </c>
      <c r="P554" t="str">
        <f>IF('Import OpenCPN'!X555&gt;0,"E","W")</f>
        <v>W</v>
      </c>
    </row>
    <row r="555" spans="1:16" x14ac:dyDescent="0.2">
      <c r="A555">
        <f>'Import OpenCPN'!W556</f>
        <v>0</v>
      </c>
      <c r="B555">
        <f>'Import OpenCPN'!X556</f>
        <v>0</v>
      </c>
      <c r="C555">
        <f t="shared" si="96"/>
        <v>0</v>
      </c>
      <c r="D555" t="str">
        <f t="shared" si="97"/>
        <v>00</v>
      </c>
      <c r="E555">
        <f t="shared" si="98"/>
        <v>0</v>
      </c>
      <c r="F555">
        <f t="shared" si="99"/>
        <v>0</v>
      </c>
      <c r="G555" s="23" t="str">
        <f t="shared" si="100"/>
        <v>00.000</v>
      </c>
      <c r="H555" s="1" t="str">
        <f t="shared" si="101"/>
        <v>0000.000</v>
      </c>
      <c r="I555">
        <f t="shared" si="102"/>
        <v>0</v>
      </c>
      <c r="J555" t="str">
        <f t="shared" si="103"/>
        <v>000</v>
      </c>
      <c r="K555">
        <f t="shared" si="104"/>
        <v>0</v>
      </c>
      <c r="L555">
        <f t="shared" si="105"/>
        <v>0</v>
      </c>
      <c r="M555" t="str">
        <f t="shared" si="106"/>
        <v>00.000</v>
      </c>
      <c r="N555" s="1" t="str">
        <f t="shared" si="107"/>
        <v>00000.000</v>
      </c>
      <c r="O555" t="str">
        <f>IF('Import OpenCPN'!W556&gt;0,"N","S")</f>
        <v>S</v>
      </c>
      <c r="P555" t="str">
        <f>IF('Import OpenCPN'!X556&gt;0,"E","W")</f>
        <v>W</v>
      </c>
    </row>
    <row r="556" spans="1:16" x14ac:dyDescent="0.2">
      <c r="A556">
        <f>'Import OpenCPN'!W557</f>
        <v>0</v>
      </c>
      <c r="B556">
        <f>'Import OpenCPN'!X557</f>
        <v>0</v>
      </c>
      <c r="C556">
        <f t="shared" si="96"/>
        <v>0</v>
      </c>
      <c r="D556" t="str">
        <f t="shared" si="97"/>
        <v>00</v>
      </c>
      <c r="E556">
        <f t="shared" si="98"/>
        <v>0</v>
      </c>
      <c r="F556">
        <f t="shared" si="99"/>
        <v>0</v>
      </c>
      <c r="G556" s="23" t="str">
        <f t="shared" si="100"/>
        <v>00.000</v>
      </c>
      <c r="H556" s="1" t="str">
        <f t="shared" si="101"/>
        <v>0000.000</v>
      </c>
      <c r="I556">
        <f t="shared" si="102"/>
        <v>0</v>
      </c>
      <c r="J556" t="str">
        <f t="shared" si="103"/>
        <v>000</v>
      </c>
      <c r="K556">
        <f t="shared" si="104"/>
        <v>0</v>
      </c>
      <c r="L556">
        <f t="shared" si="105"/>
        <v>0</v>
      </c>
      <c r="M556" t="str">
        <f t="shared" si="106"/>
        <v>00.000</v>
      </c>
      <c r="N556" s="1" t="str">
        <f t="shared" si="107"/>
        <v>00000.000</v>
      </c>
      <c r="O556" t="str">
        <f>IF('Import OpenCPN'!W557&gt;0,"N","S")</f>
        <v>S</v>
      </c>
      <c r="P556" t="str">
        <f>IF('Import OpenCPN'!X557&gt;0,"E","W")</f>
        <v>W</v>
      </c>
    </row>
    <row r="557" spans="1:16" x14ac:dyDescent="0.2">
      <c r="A557">
        <f>'Import OpenCPN'!W558</f>
        <v>0</v>
      </c>
      <c r="B557">
        <f>'Import OpenCPN'!X558</f>
        <v>0</v>
      </c>
      <c r="C557">
        <f t="shared" si="96"/>
        <v>0</v>
      </c>
      <c r="D557" t="str">
        <f t="shared" si="97"/>
        <v>00</v>
      </c>
      <c r="E557">
        <f t="shared" si="98"/>
        <v>0</v>
      </c>
      <c r="F557">
        <f t="shared" si="99"/>
        <v>0</v>
      </c>
      <c r="G557" s="23" t="str">
        <f t="shared" si="100"/>
        <v>00.000</v>
      </c>
      <c r="H557" s="1" t="str">
        <f t="shared" si="101"/>
        <v>0000.000</v>
      </c>
      <c r="I557">
        <f t="shared" si="102"/>
        <v>0</v>
      </c>
      <c r="J557" t="str">
        <f t="shared" si="103"/>
        <v>000</v>
      </c>
      <c r="K557">
        <f t="shared" si="104"/>
        <v>0</v>
      </c>
      <c r="L557">
        <f t="shared" si="105"/>
        <v>0</v>
      </c>
      <c r="M557" t="str">
        <f t="shared" si="106"/>
        <v>00.000</v>
      </c>
      <c r="N557" s="1" t="str">
        <f t="shared" si="107"/>
        <v>00000.000</v>
      </c>
      <c r="O557" t="str">
        <f>IF('Import OpenCPN'!W558&gt;0,"N","S")</f>
        <v>S</v>
      </c>
      <c r="P557" t="str">
        <f>IF('Import OpenCPN'!X558&gt;0,"E","W")</f>
        <v>W</v>
      </c>
    </row>
    <row r="558" spans="1:16" x14ac:dyDescent="0.2">
      <c r="A558">
        <f>'Import OpenCPN'!W559</f>
        <v>0</v>
      </c>
      <c r="B558">
        <f>'Import OpenCPN'!X559</f>
        <v>0</v>
      </c>
      <c r="C558">
        <f t="shared" si="96"/>
        <v>0</v>
      </c>
      <c r="D558" t="str">
        <f t="shared" si="97"/>
        <v>00</v>
      </c>
      <c r="E558">
        <f t="shared" si="98"/>
        <v>0</v>
      </c>
      <c r="F558">
        <f t="shared" si="99"/>
        <v>0</v>
      </c>
      <c r="G558" s="23" t="str">
        <f t="shared" si="100"/>
        <v>00.000</v>
      </c>
      <c r="H558" s="1" t="str">
        <f t="shared" si="101"/>
        <v>0000.000</v>
      </c>
      <c r="I558">
        <f t="shared" si="102"/>
        <v>0</v>
      </c>
      <c r="J558" t="str">
        <f t="shared" si="103"/>
        <v>000</v>
      </c>
      <c r="K558">
        <f t="shared" si="104"/>
        <v>0</v>
      </c>
      <c r="L558">
        <f t="shared" si="105"/>
        <v>0</v>
      </c>
      <c r="M558" t="str">
        <f t="shared" si="106"/>
        <v>00.000</v>
      </c>
      <c r="N558" s="1" t="str">
        <f t="shared" si="107"/>
        <v>00000.000</v>
      </c>
      <c r="O558" t="str">
        <f>IF('Import OpenCPN'!W559&gt;0,"N","S")</f>
        <v>S</v>
      </c>
      <c r="P558" t="str">
        <f>IF('Import OpenCPN'!X559&gt;0,"E","W")</f>
        <v>W</v>
      </c>
    </row>
    <row r="559" spans="1:16" x14ac:dyDescent="0.2">
      <c r="A559">
        <f>'Import OpenCPN'!W560</f>
        <v>0</v>
      </c>
      <c r="B559">
        <f>'Import OpenCPN'!X560</f>
        <v>0</v>
      </c>
      <c r="C559">
        <f t="shared" si="96"/>
        <v>0</v>
      </c>
      <c r="D559" t="str">
        <f t="shared" si="97"/>
        <v>00</v>
      </c>
      <c r="E559">
        <f t="shared" si="98"/>
        <v>0</v>
      </c>
      <c r="F559">
        <f t="shared" si="99"/>
        <v>0</v>
      </c>
      <c r="G559" s="23" t="str">
        <f t="shared" si="100"/>
        <v>00.000</v>
      </c>
      <c r="H559" s="1" t="str">
        <f t="shared" si="101"/>
        <v>0000.000</v>
      </c>
      <c r="I559">
        <f t="shared" si="102"/>
        <v>0</v>
      </c>
      <c r="J559" t="str">
        <f t="shared" si="103"/>
        <v>000</v>
      </c>
      <c r="K559">
        <f t="shared" si="104"/>
        <v>0</v>
      </c>
      <c r="L559">
        <f t="shared" si="105"/>
        <v>0</v>
      </c>
      <c r="M559" t="str">
        <f t="shared" si="106"/>
        <v>00.000</v>
      </c>
      <c r="N559" s="1" t="str">
        <f t="shared" si="107"/>
        <v>00000.000</v>
      </c>
      <c r="O559" t="str">
        <f>IF('Import OpenCPN'!W560&gt;0,"N","S")</f>
        <v>S</v>
      </c>
      <c r="P559" t="str">
        <f>IF('Import OpenCPN'!X560&gt;0,"E","W")</f>
        <v>W</v>
      </c>
    </row>
    <row r="560" spans="1:16" x14ac:dyDescent="0.2">
      <c r="A560">
        <f>'Import OpenCPN'!W561</f>
        <v>0</v>
      </c>
      <c r="B560">
        <f>'Import OpenCPN'!X561</f>
        <v>0</v>
      </c>
      <c r="C560">
        <f t="shared" si="96"/>
        <v>0</v>
      </c>
      <c r="D560" t="str">
        <f t="shared" si="97"/>
        <v>00</v>
      </c>
      <c r="E560">
        <f t="shared" si="98"/>
        <v>0</v>
      </c>
      <c r="F560">
        <f t="shared" si="99"/>
        <v>0</v>
      </c>
      <c r="G560" s="23" t="str">
        <f t="shared" si="100"/>
        <v>00.000</v>
      </c>
      <c r="H560" s="1" t="str">
        <f t="shared" si="101"/>
        <v>0000.000</v>
      </c>
      <c r="I560">
        <f t="shared" si="102"/>
        <v>0</v>
      </c>
      <c r="J560" t="str">
        <f t="shared" si="103"/>
        <v>000</v>
      </c>
      <c r="K560">
        <f t="shared" si="104"/>
        <v>0</v>
      </c>
      <c r="L560">
        <f t="shared" si="105"/>
        <v>0</v>
      </c>
      <c r="M560" t="str">
        <f t="shared" si="106"/>
        <v>00.000</v>
      </c>
      <c r="N560" s="1" t="str">
        <f t="shared" si="107"/>
        <v>00000.000</v>
      </c>
      <c r="O560" t="str">
        <f>IF('Import OpenCPN'!W561&gt;0,"N","S")</f>
        <v>S</v>
      </c>
      <c r="P560" t="str">
        <f>IF('Import OpenCPN'!X561&gt;0,"E","W")</f>
        <v>W</v>
      </c>
    </row>
    <row r="561" spans="1:16" x14ac:dyDescent="0.2">
      <c r="A561">
        <f>'Import OpenCPN'!W562</f>
        <v>0</v>
      </c>
      <c r="B561">
        <f>'Import OpenCPN'!X562</f>
        <v>0</v>
      </c>
      <c r="C561">
        <f t="shared" si="96"/>
        <v>0</v>
      </c>
      <c r="D561" t="str">
        <f t="shared" si="97"/>
        <v>00</v>
      </c>
      <c r="E561">
        <f t="shared" si="98"/>
        <v>0</v>
      </c>
      <c r="F561">
        <f t="shared" si="99"/>
        <v>0</v>
      </c>
      <c r="G561" s="23" t="str">
        <f t="shared" si="100"/>
        <v>00.000</v>
      </c>
      <c r="H561" s="1" t="str">
        <f t="shared" si="101"/>
        <v>0000.000</v>
      </c>
      <c r="I561">
        <f t="shared" si="102"/>
        <v>0</v>
      </c>
      <c r="J561" t="str">
        <f t="shared" si="103"/>
        <v>000</v>
      </c>
      <c r="K561">
        <f t="shared" si="104"/>
        <v>0</v>
      </c>
      <c r="L561">
        <f t="shared" si="105"/>
        <v>0</v>
      </c>
      <c r="M561" t="str">
        <f t="shared" si="106"/>
        <v>00.000</v>
      </c>
      <c r="N561" s="1" t="str">
        <f t="shared" si="107"/>
        <v>00000.000</v>
      </c>
      <c r="O561" t="str">
        <f>IF('Import OpenCPN'!W562&gt;0,"N","S")</f>
        <v>S</v>
      </c>
      <c r="P561" t="str">
        <f>IF('Import OpenCPN'!X562&gt;0,"E","W")</f>
        <v>W</v>
      </c>
    </row>
    <row r="562" spans="1:16" x14ac:dyDescent="0.2">
      <c r="A562">
        <f>'Import OpenCPN'!W563</f>
        <v>0</v>
      </c>
      <c r="B562">
        <f>'Import OpenCPN'!X563</f>
        <v>0</v>
      </c>
      <c r="C562">
        <f t="shared" si="96"/>
        <v>0</v>
      </c>
      <c r="D562" t="str">
        <f t="shared" si="97"/>
        <v>00</v>
      </c>
      <c r="E562">
        <f t="shared" si="98"/>
        <v>0</v>
      </c>
      <c r="F562">
        <f t="shared" si="99"/>
        <v>0</v>
      </c>
      <c r="G562" s="23" t="str">
        <f t="shared" si="100"/>
        <v>00.000</v>
      </c>
      <c r="H562" s="1" t="str">
        <f t="shared" si="101"/>
        <v>0000.000</v>
      </c>
      <c r="I562">
        <f t="shared" si="102"/>
        <v>0</v>
      </c>
      <c r="J562" t="str">
        <f t="shared" si="103"/>
        <v>000</v>
      </c>
      <c r="K562">
        <f t="shared" si="104"/>
        <v>0</v>
      </c>
      <c r="L562">
        <f t="shared" si="105"/>
        <v>0</v>
      </c>
      <c r="M562" t="str">
        <f t="shared" si="106"/>
        <v>00.000</v>
      </c>
      <c r="N562" s="1" t="str">
        <f t="shared" si="107"/>
        <v>00000.000</v>
      </c>
      <c r="O562" t="str">
        <f>IF('Import OpenCPN'!W563&gt;0,"N","S")</f>
        <v>S</v>
      </c>
      <c r="P562" t="str">
        <f>IF('Import OpenCPN'!X563&gt;0,"E","W")</f>
        <v>W</v>
      </c>
    </row>
    <row r="563" spans="1:16" x14ac:dyDescent="0.2">
      <c r="A563">
        <f>'Import OpenCPN'!W564</f>
        <v>0</v>
      </c>
      <c r="B563">
        <f>'Import OpenCPN'!X564</f>
        <v>0</v>
      </c>
      <c r="C563">
        <f t="shared" si="96"/>
        <v>0</v>
      </c>
      <c r="D563" t="str">
        <f t="shared" si="97"/>
        <v>00</v>
      </c>
      <c r="E563">
        <f t="shared" si="98"/>
        <v>0</v>
      </c>
      <c r="F563">
        <f t="shared" si="99"/>
        <v>0</v>
      </c>
      <c r="G563" s="23" t="str">
        <f t="shared" si="100"/>
        <v>00.000</v>
      </c>
      <c r="H563" s="1" t="str">
        <f t="shared" si="101"/>
        <v>0000.000</v>
      </c>
      <c r="I563">
        <f t="shared" si="102"/>
        <v>0</v>
      </c>
      <c r="J563" t="str">
        <f t="shared" si="103"/>
        <v>000</v>
      </c>
      <c r="K563">
        <f t="shared" si="104"/>
        <v>0</v>
      </c>
      <c r="L563">
        <f t="shared" si="105"/>
        <v>0</v>
      </c>
      <c r="M563" t="str">
        <f t="shared" si="106"/>
        <v>00.000</v>
      </c>
      <c r="N563" s="1" t="str">
        <f t="shared" si="107"/>
        <v>00000.000</v>
      </c>
      <c r="O563" t="str">
        <f>IF('Import OpenCPN'!W564&gt;0,"N","S")</f>
        <v>S</v>
      </c>
      <c r="P563" t="str">
        <f>IF('Import OpenCPN'!X564&gt;0,"E","W")</f>
        <v>W</v>
      </c>
    </row>
    <row r="564" spans="1:16" x14ac:dyDescent="0.2">
      <c r="A564">
        <f>'Import OpenCPN'!W565</f>
        <v>0</v>
      </c>
      <c r="B564">
        <f>'Import OpenCPN'!X565</f>
        <v>0</v>
      </c>
      <c r="C564">
        <f t="shared" si="96"/>
        <v>0</v>
      </c>
      <c r="D564" t="str">
        <f t="shared" si="97"/>
        <v>00</v>
      </c>
      <c r="E564">
        <f t="shared" si="98"/>
        <v>0</v>
      </c>
      <c r="F564">
        <f t="shared" si="99"/>
        <v>0</v>
      </c>
      <c r="G564" s="23" t="str">
        <f t="shared" si="100"/>
        <v>00.000</v>
      </c>
      <c r="H564" s="1" t="str">
        <f t="shared" si="101"/>
        <v>0000.000</v>
      </c>
      <c r="I564">
        <f t="shared" si="102"/>
        <v>0</v>
      </c>
      <c r="J564" t="str">
        <f t="shared" si="103"/>
        <v>000</v>
      </c>
      <c r="K564">
        <f t="shared" si="104"/>
        <v>0</v>
      </c>
      <c r="L564">
        <f t="shared" si="105"/>
        <v>0</v>
      </c>
      <c r="M564" t="str">
        <f t="shared" si="106"/>
        <v>00.000</v>
      </c>
      <c r="N564" s="1" t="str">
        <f t="shared" si="107"/>
        <v>00000.000</v>
      </c>
      <c r="O564" t="str">
        <f>IF('Import OpenCPN'!W565&gt;0,"N","S")</f>
        <v>S</v>
      </c>
      <c r="P564" t="str">
        <f>IF('Import OpenCPN'!X565&gt;0,"E","W")</f>
        <v>W</v>
      </c>
    </row>
    <row r="565" spans="1:16" x14ac:dyDescent="0.2">
      <c r="A565">
        <f>'Import OpenCPN'!W566</f>
        <v>0</v>
      </c>
      <c r="B565">
        <f>'Import OpenCPN'!X566</f>
        <v>0</v>
      </c>
      <c r="C565">
        <f t="shared" si="96"/>
        <v>0</v>
      </c>
      <c r="D565" t="str">
        <f t="shared" si="97"/>
        <v>00</v>
      </c>
      <c r="E565">
        <f t="shared" si="98"/>
        <v>0</v>
      </c>
      <c r="F565">
        <f t="shared" si="99"/>
        <v>0</v>
      </c>
      <c r="G565" s="23" t="str">
        <f t="shared" si="100"/>
        <v>00.000</v>
      </c>
      <c r="H565" s="1" t="str">
        <f t="shared" si="101"/>
        <v>0000.000</v>
      </c>
      <c r="I565">
        <f t="shared" si="102"/>
        <v>0</v>
      </c>
      <c r="J565" t="str">
        <f t="shared" si="103"/>
        <v>000</v>
      </c>
      <c r="K565">
        <f t="shared" si="104"/>
        <v>0</v>
      </c>
      <c r="L565">
        <f t="shared" si="105"/>
        <v>0</v>
      </c>
      <c r="M565" t="str">
        <f t="shared" si="106"/>
        <v>00.000</v>
      </c>
      <c r="N565" s="1" t="str">
        <f t="shared" si="107"/>
        <v>00000.000</v>
      </c>
      <c r="O565" t="str">
        <f>IF('Import OpenCPN'!W566&gt;0,"N","S")</f>
        <v>S</v>
      </c>
      <c r="P565" t="str">
        <f>IF('Import OpenCPN'!X566&gt;0,"E","W")</f>
        <v>W</v>
      </c>
    </row>
    <row r="566" spans="1:16" x14ac:dyDescent="0.2">
      <c r="A566">
        <f>'Import OpenCPN'!W567</f>
        <v>0</v>
      </c>
      <c r="B566">
        <f>'Import OpenCPN'!X567</f>
        <v>0</v>
      </c>
      <c r="C566">
        <f t="shared" si="96"/>
        <v>0</v>
      </c>
      <c r="D566" t="str">
        <f t="shared" si="97"/>
        <v>00</v>
      </c>
      <c r="E566">
        <f t="shared" si="98"/>
        <v>0</v>
      </c>
      <c r="F566">
        <f t="shared" si="99"/>
        <v>0</v>
      </c>
      <c r="G566" s="23" t="str">
        <f t="shared" si="100"/>
        <v>00.000</v>
      </c>
      <c r="H566" s="1" t="str">
        <f t="shared" si="101"/>
        <v>0000.000</v>
      </c>
      <c r="I566">
        <f t="shared" si="102"/>
        <v>0</v>
      </c>
      <c r="J566" t="str">
        <f t="shared" si="103"/>
        <v>000</v>
      </c>
      <c r="K566">
        <f t="shared" si="104"/>
        <v>0</v>
      </c>
      <c r="L566">
        <f t="shared" si="105"/>
        <v>0</v>
      </c>
      <c r="M566" t="str">
        <f t="shared" si="106"/>
        <v>00.000</v>
      </c>
      <c r="N566" s="1" t="str">
        <f t="shared" si="107"/>
        <v>00000.000</v>
      </c>
      <c r="O566" t="str">
        <f>IF('Import OpenCPN'!W567&gt;0,"N","S")</f>
        <v>S</v>
      </c>
      <c r="P566" t="str">
        <f>IF('Import OpenCPN'!X567&gt;0,"E","W")</f>
        <v>W</v>
      </c>
    </row>
    <row r="567" spans="1:16" x14ac:dyDescent="0.2">
      <c r="A567">
        <f>'Import OpenCPN'!W568</f>
        <v>0</v>
      </c>
      <c r="B567">
        <f>'Import OpenCPN'!X568</f>
        <v>0</v>
      </c>
      <c r="C567">
        <f t="shared" si="96"/>
        <v>0</v>
      </c>
      <c r="D567" t="str">
        <f t="shared" si="97"/>
        <v>00</v>
      </c>
      <c r="E567">
        <f t="shared" si="98"/>
        <v>0</v>
      </c>
      <c r="F567">
        <f t="shared" si="99"/>
        <v>0</v>
      </c>
      <c r="G567" s="23" t="str">
        <f t="shared" si="100"/>
        <v>00.000</v>
      </c>
      <c r="H567" s="1" t="str">
        <f t="shared" si="101"/>
        <v>0000.000</v>
      </c>
      <c r="I567">
        <f t="shared" si="102"/>
        <v>0</v>
      </c>
      <c r="J567" t="str">
        <f t="shared" si="103"/>
        <v>000</v>
      </c>
      <c r="K567">
        <f t="shared" si="104"/>
        <v>0</v>
      </c>
      <c r="L567">
        <f t="shared" si="105"/>
        <v>0</v>
      </c>
      <c r="M567" t="str">
        <f t="shared" si="106"/>
        <v>00.000</v>
      </c>
      <c r="N567" s="1" t="str">
        <f t="shared" si="107"/>
        <v>00000.000</v>
      </c>
      <c r="O567" t="str">
        <f>IF('Import OpenCPN'!W568&gt;0,"N","S")</f>
        <v>S</v>
      </c>
      <c r="P567" t="str">
        <f>IF('Import OpenCPN'!X568&gt;0,"E","W")</f>
        <v>W</v>
      </c>
    </row>
    <row r="568" spans="1:16" x14ac:dyDescent="0.2">
      <c r="A568">
        <f>'Import OpenCPN'!W569</f>
        <v>0</v>
      </c>
      <c r="B568">
        <f>'Import OpenCPN'!X569</f>
        <v>0</v>
      </c>
      <c r="C568">
        <f t="shared" si="96"/>
        <v>0</v>
      </c>
      <c r="D568" t="str">
        <f t="shared" si="97"/>
        <v>00</v>
      </c>
      <c r="E568">
        <f t="shared" si="98"/>
        <v>0</v>
      </c>
      <c r="F568">
        <f t="shared" si="99"/>
        <v>0</v>
      </c>
      <c r="G568" s="23" t="str">
        <f t="shared" si="100"/>
        <v>00.000</v>
      </c>
      <c r="H568" s="1" t="str">
        <f t="shared" si="101"/>
        <v>0000.000</v>
      </c>
      <c r="I568">
        <f t="shared" si="102"/>
        <v>0</v>
      </c>
      <c r="J568" t="str">
        <f t="shared" si="103"/>
        <v>000</v>
      </c>
      <c r="K568">
        <f t="shared" si="104"/>
        <v>0</v>
      </c>
      <c r="L568">
        <f t="shared" si="105"/>
        <v>0</v>
      </c>
      <c r="M568" t="str">
        <f t="shared" si="106"/>
        <v>00.000</v>
      </c>
      <c r="N568" s="1" t="str">
        <f t="shared" si="107"/>
        <v>00000.000</v>
      </c>
      <c r="O568" t="str">
        <f>IF('Import OpenCPN'!W569&gt;0,"N","S")</f>
        <v>S</v>
      </c>
      <c r="P568" t="str">
        <f>IF('Import OpenCPN'!X569&gt;0,"E","W")</f>
        <v>W</v>
      </c>
    </row>
    <row r="569" spans="1:16" x14ac:dyDescent="0.2">
      <c r="A569">
        <f>'Import OpenCPN'!W570</f>
        <v>0</v>
      </c>
      <c r="B569">
        <f>'Import OpenCPN'!X570</f>
        <v>0</v>
      </c>
      <c r="C569">
        <f t="shared" si="96"/>
        <v>0</v>
      </c>
      <c r="D569" t="str">
        <f t="shared" si="97"/>
        <v>00</v>
      </c>
      <c r="E569">
        <f t="shared" si="98"/>
        <v>0</v>
      </c>
      <c r="F569">
        <f t="shared" si="99"/>
        <v>0</v>
      </c>
      <c r="G569" s="23" t="str">
        <f t="shared" si="100"/>
        <v>00.000</v>
      </c>
      <c r="H569" s="1" t="str">
        <f t="shared" si="101"/>
        <v>0000.000</v>
      </c>
      <c r="I569">
        <f t="shared" si="102"/>
        <v>0</v>
      </c>
      <c r="J569" t="str">
        <f t="shared" si="103"/>
        <v>000</v>
      </c>
      <c r="K569">
        <f t="shared" si="104"/>
        <v>0</v>
      </c>
      <c r="L569">
        <f t="shared" si="105"/>
        <v>0</v>
      </c>
      <c r="M569" t="str">
        <f t="shared" si="106"/>
        <v>00.000</v>
      </c>
      <c r="N569" s="1" t="str">
        <f t="shared" si="107"/>
        <v>00000.000</v>
      </c>
      <c r="O569" t="str">
        <f>IF('Import OpenCPN'!W570&gt;0,"N","S")</f>
        <v>S</v>
      </c>
      <c r="P569" t="str">
        <f>IF('Import OpenCPN'!X570&gt;0,"E","W")</f>
        <v>W</v>
      </c>
    </row>
    <row r="570" spans="1:16" x14ac:dyDescent="0.2">
      <c r="A570">
        <f>'Import OpenCPN'!W571</f>
        <v>0</v>
      </c>
      <c r="B570">
        <f>'Import OpenCPN'!X571</f>
        <v>0</v>
      </c>
      <c r="C570">
        <f t="shared" si="96"/>
        <v>0</v>
      </c>
      <c r="D570" t="str">
        <f t="shared" si="97"/>
        <v>00</v>
      </c>
      <c r="E570">
        <f t="shared" si="98"/>
        <v>0</v>
      </c>
      <c r="F570">
        <f t="shared" si="99"/>
        <v>0</v>
      </c>
      <c r="G570" s="23" t="str">
        <f t="shared" si="100"/>
        <v>00.000</v>
      </c>
      <c r="H570" s="1" t="str">
        <f t="shared" si="101"/>
        <v>0000.000</v>
      </c>
      <c r="I570">
        <f t="shared" si="102"/>
        <v>0</v>
      </c>
      <c r="J570" t="str">
        <f t="shared" si="103"/>
        <v>000</v>
      </c>
      <c r="K570">
        <f t="shared" si="104"/>
        <v>0</v>
      </c>
      <c r="L570">
        <f t="shared" si="105"/>
        <v>0</v>
      </c>
      <c r="M570" t="str">
        <f t="shared" si="106"/>
        <v>00.000</v>
      </c>
      <c r="N570" s="1" t="str">
        <f t="shared" si="107"/>
        <v>00000.000</v>
      </c>
      <c r="O570" t="str">
        <f>IF('Import OpenCPN'!W571&gt;0,"N","S")</f>
        <v>S</v>
      </c>
      <c r="P570" t="str">
        <f>IF('Import OpenCPN'!X571&gt;0,"E","W")</f>
        <v>W</v>
      </c>
    </row>
    <row r="571" spans="1:16" x14ac:dyDescent="0.2">
      <c r="A571">
        <f>'Import OpenCPN'!W572</f>
        <v>0</v>
      </c>
      <c r="B571">
        <f>'Import OpenCPN'!X572</f>
        <v>0</v>
      </c>
      <c r="C571">
        <f t="shared" si="96"/>
        <v>0</v>
      </c>
      <c r="D571" t="str">
        <f t="shared" si="97"/>
        <v>00</v>
      </c>
      <c r="E571">
        <f t="shared" si="98"/>
        <v>0</v>
      </c>
      <c r="F571">
        <f t="shared" si="99"/>
        <v>0</v>
      </c>
      <c r="G571" s="23" t="str">
        <f t="shared" si="100"/>
        <v>00.000</v>
      </c>
      <c r="H571" s="1" t="str">
        <f t="shared" si="101"/>
        <v>0000.000</v>
      </c>
      <c r="I571">
        <f t="shared" si="102"/>
        <v>0</v>
      </c>
      <c r="J571" t="str">
        <f t="shared" si="103"/>
        <v>000</v>
      </c>
      <c r="K571">
        <f t="shared" si="104"/>
        <v>0</v>
      </c>
      <c r="L571">
        <f t="shared" si="105"/>
        <v>0</v>
      </c>
      <c r="M571" t="str">
        <f t="shared" si="106"/>
        <v>00.000</v>
      </c>
      <c r="N571" s="1" t="str">
        <f t="shared" si="107"/>
        <v>00000.000</v>
      </c>
      <c r="O571" t="str">
        <f>IF('Import OpenCPN'!W572&gt;0,"N","S")</f>
        <v>S</v>
      </c>
      <c r="P571" t="str">
        <f>IF('Import OpenCPN'!X572&gt;0,"E","W")</f>
        <v>W</v>
      </c>
    </row>
    <row r="572" spans="1:16" x14ac:dyDescent="0.2">
      <c r="A572">
        <f>'Import OpenCPN'!W573</f>
        <v>0</v>
      </c>
      <c r="B572">
        <f>'Import OpenCPN'!X573</f>
        <v>0</v>
      </c>
      <c r="C572">
        <f t="shared" si="96"/>
        <v>0</v>
      </c>
      <c r="D572" t="str">
        <f t="shared" si="97"/>
        <v>00</v>
      </c>
      <c r="E572">
        <f t="shared" si="98"/>
        <v>0</v>
      </c>
      <c r="F572">
        <f t="shared" si="99"/>
        <v>0</v>
      </c>
      <c r="G572" s="23" t="str">
        <f t="shared" si="100"/>
        <v>00.000</v>
      </c>
      <c r="H572" s="1" t="str">
        <f t="shared" si="101"/>
        <v>0000.000</v>
      </c>
      <c r="I572">
        <f t="shared" si="102"/>
        <v>0</v>
      </c>
      <c r="J572" t="str">
        <f t="shared" si="103"/>
        <v>000</v>
      </c>
      <c r="K572">
        <f t="shared" si="104"/>
        <v>0</v>
      </c>
      <c r="L572">
        <f t="shared" si="105"/>
        <v>0</v>
      </c>
      <c r="M572" t="str">
        <f t="shared" si="106"/>
        <v>00.000</v>
      </c>
      <c r="N572" s="1" t="str">
        <f t="shared" si="107"/>
        <v>00000.000</v>
      </c>
      <c r="O572" t="str">
        <f>IF('Import OpenCPN'!W573&gt;0,"N","S")</f>
        <v>S</v>
      </c>
      <c r="P572" t="str">
        <f>IF('Import OpenCPN'!X573&gt;0,"E","W")</f>
        <v>W</v>
      </c>
    </row>
    <row r="573" spans="1:16" x14ac:dyDescent="0.2">
      <c r="A573">
        <f>'Import OpenCPN'!W574</f>
        <v>0</v>
      </c>
      <c r="B573">
        <f>'Import OpenCPN'!X574</f>
        <v>0</v>
      </c>
      <c r="C573">
        <f t="shared" si="96"/>
        <v>0</v>
      </c>
      <c r="D573" t="str">
        <f t="shared" si="97"/>
        <v>00</v>
      </c>
      <c r="E573">
        <f t="shared" si="98"/>
        <v>0</v>
      </c>
      <c r="F573">
        <f t="shared" si="99"/>
        <v>0</v>
      </c>
      <c r="G573" s="23" t="str">
        <f t="shared" si="100"/>
        <v>00.000</v>
      </c>
      <c r="H573" s="1" t="str">
        <f t="shared" si="101"/>
        <v>0000.000</v>
      </c>
      <c r="I573">
        <f t="shared" si="102"/>
        <v>0</v>
      </c>
      <c r="J573" t="str">
        <f t="shared" si="103"/>
        <v>000</v>
      </c>
      <c r="K573">
        <f t="shared" si="104"/>
        <v>0</v>
      </c>
      <c r="L573">
        <f t="shared" si="105"/>
        <v>0</v>
      </c>
      <c r="M573" t="str">
        <f t="shared" si="106"/>
        <v>00.000</v>
      </c>
      <c r="N573" s="1" t="str">
        <f t="shared" si="107"/>
        <v>00000.000</v>
      </c>
      <c r="O573" t="str">
        <f>IF('Import OpenCPN'!W574&gt;0,"N","S")</f>
        <v>S</v>
      </c>
      <c r="P573" t="str">
        <f>IF('Import OpenCPN'!X574&gt;0,"E","W")</f>
        <v>W</v>
      </c>
    </row>
    <row r="574" spans="1:16" x14ac:dyDescent="0.2">
      <c r="A574">
        <f>'Import OpenCPN'!W575</f>
        <v>0</v>
      </c>
      <c r="B574">
        <f>'Import OpenCPN'!X575</f>
        <v>0</v>
      </c>
      <c r="C574">
        <f t="shared" si="96"/>
        <v>0</v>
      </c>
      <c r="D574" t="str">
        <f t="shared" si="97"/>
        <v>00</v>
      </c>
      <c r="E574">
        <f t="shared" si="98"/>
        <v>0</v>
      </c>
      <c r="F574">
        <f t="shared" si="99"/>
        <v>0</v>
      </c>
      <c r="G574" s="23" t="str">
        <f t="shared" si="100"/>
        <v>00.000</v>
      </c>
      <c r="H574" s="1" t="str">
        <f t="shared" si="101"/>
        <v>0000.000</v>
      </c>
      <c r="I574">
        <f t="shared" si="102"/>
        <v>0</v>
      </c>
      <c r="J574" t="str">
        <f t="shared" si="103"/>
        <v>000</v>
      </c>
      <c r="K574">
        <f t="shared" si="104"/>
        <v>0</v>
      </c>
      <c r="L574">
        <f t="shared" si="105"/>
        <v>0</v>
      </c>
      <c r="M574" t="str">
        <f t="shared" si="106"/>
        <v>00.000</v>
      </c>
      <c r="N574" s="1" t="str">
        <f t="shared" si="107"/>
        <v>00000.000</v>
      </c>
      <c r="O574" t="str">
        <f>IF('Import OpenCPN'!W575&gt;0,"N","S")</f>
        <v>S</v>
      </c>
      <c r="P574" t="str">
        <f>IF('Import OpenCPN'!X575&gt;0,"E","W")</f>
        <v>W</v>
      </c>
    </row>
    <row r="575" spans="1:16" x14ac:dyDescent="0.2">
      <c r="A575">
        <f>'Import OpenCPN'!W576</f>
        <v>0</v>
      </c>
      <c r="B575">
        <f>'Import OpenCPN'!X576</f>
        <v>0</v>
      </c>
      <c r="C575">
        <f t="shared" si="96"/>
        <v>0</v>
      </c>
      <c r="D575" t="str">
        <f t="shared" si="97"/>
        <v>00</v>
      </c>
      <c r="E575">
        <f t="shared" si="98"/>
        <v>0</v>
      </c>
      <c r="F575">
        <f t="shared" si="99"/>
        <v>0</v>
      </c>
      <c r="G575" s="23" t="str">
        <f t="shared" si="100"/>
        <v>00.000</v>
      </c>
      <c r="H575" s="1" t="str">
        <f t="shared" si="101"/>
        <v>0000.000</v>
      </c>
      <c r="I575">
        <f t="shared" si="102"/>
        <v>0</v>
      </c>
      <c r="J575" t="str">
        <f t="shared" si="103"/>
        <v>000</v>
      </c>
      <c r="K575">
        <f t="shared" si="104"/>
        <v>0</v>
      </c>
      <c r="L575">
        <f t="shared" si="105"/>
        <v>0</v>
      </c>
      <c r="M575" t="str">
        <f t="shared" si="106"/>
        <v>00.000</v>
      </c>
      <c r="N575" s="1" t="str">
        <f t="shared" si="107"/>
        <v>00000.000</v>
      </c>
      <c r="O575" t="str">
        <f>IF('Import OpenCPN'!W576&gt;0,"N","S")</f>
        <v>S</v>
      </c>
      <c r="P575" t="str">
        <f>IF('Import OpenCPN'!X576&gt;0,"E","W")</f>
        <v>W</v>
      </c>
    </row>
    <row r="576" spans="1:16" x14ac:dyDescent="0.2">
      <c r="A576">
        <f>'Import OpenCPN'!W577</f>
        <v>0</v>
      </c>
      <c r="B576">
        <f>'Import OpenCPN'!X577</f>
        <v>0</v>
      </c>
      <c r="C576">
        <f t="shared" si="96"/>
        <v>0</v>
      </c>
      <c r="D576" t="str">
        <f t="shared" si="97"/>
        <v>00</v>
      </c>
      <c r="E576">
        <f t="shared" si="98"/>
        <v>0</v>
      </c>
      <c r="F576">
        <f t="shared" si="99"/>
        <v>0</v>
      </c>
      <c r="G576" s="23" t="str">
        <f t="shared" si="100"/>
        <v>00.000</v>
      </c>
      <c r="H576" s="1" t="str">
        <f t="shared" si="101"/>
        <v>0000.000</v>
      </c>
      <c r="I576">
        <f t="shared" si="102"/>
        <v>0</v>
      </c>
      <c r="J576" t="str">
        <f t="shared" si="103"/>
        <v>000</v>
      </c>
      <c r="K576">
        <f t="shared" si="104"/>
        <v>0</v>
      </c>
      <c r="L576">
        <f t="shared" si="105"/>
        <v>0</v>
      </c>
      <c r="M576" t="str">
        <f t="shared" si="106"/>
        <v>00.000</v>
      </c>
      <c r="N576" s="1" t="str">
        <f t="shared" si="107"/>
        <v>00000.000</v>
      </c>
      <c r="O576" t="str">
        <f>IF('Import OpenCPN'!W577&gt;0,"N","S")</f>
        <v>S</v>
      </c>
      <c r="P576" t="str">
        <f>IF('Import OpenCPN'!X577&gt;0,"E","W")</f>
        <v>W</v>
      </c>
    </row>
    <row r="577" spans="1:16" x14ac:dyDescent="0.2">
      <c r="A577">
        <f>'Import OpenCPN'!W578</f>
        <v>0</v>
      </c>
      <c r="B577">
        <f>'Import OpenCPN'!X578</f>
        <v>0</v>
      </c>
      <c r="C577">
        <f t="shared" si="96"/>
        <v>0</v>
      </c>
      <c r="D577" t="str">
        <f t="shared" si="97"/>
        <v>00</v>
      </c>
      <c r="E577">
        <f t="shared" si="98"/>
        <v>0</v>
      </c>
      <c r="F577">
        <f t="shared" si="99"/>
        <v>0</v>
      </c>
      <c r="G577" s="23" t="str">
        <f t="shared" si="100"/>
        <v>00.000</v>
      </c>
      <c r="H577" s="1" t="str">
        <f t="shared" si="101"/>
        <v>0000.000</v>
      </c>
      <c r="I577">
        <f t="shared" si="102"/>
        <v>0</v>
      </c>
      <c r="J577" t="str">
        <f t="shared" si="103"/>
        <v>000</v>
      </c>
      <c r="K577">
        <f t="shared" si="104"/>
        <v>0</v>
      </c>
      <c r="L577">
        <f t="shared" si="105"/>
        <v>0</v>
      </c>
      <c r="M577" t="str">
        <f t="shared" si="106"/>
        <v>00.000</v>
      </c>
      <c r="N577" s="1" t="str">
        <f t="shared" si="107"/>
        <v>00000.000</v>
      </c>
      <c r="O577" t="str">
        <f>IF('Import OpenCPN'!W578&gt;0,"N","S")</f>
        <v>S</v>
      </c>
      <c r="P577" t="str">
        <f>IF('Import OpenCPN'!X578&gt;0,"E","W")</f>
        <v>W</v>
      </c>
    </row>
    <row r="578" spans="1:16" x14ac:dyDescent="0.2">
      <c r="A578">
        <f>'Import OpenCPN'!W579</f>
        <v>0</v>
      </c>
      <c r="B578">
        <f>'Import OpenCPN'!X579</f>
        <v>0</v>
      </c>
      <c r="C578">
        <f t="shared" ref="C578:C641" si="108">ABS(TRUNC(A578,0))</f>
        <v>0</v>
      </c>
      <c r="D578" t="str">
        <f t="shared" ref="D578:D641" si="109">TEXT(C578,"00")</f>
        <v>00</v>
      </c>
      <c r="E578">
        <f t="shared" ref="E578:E641" si="110">ABS(A578)-C578</f>
        <v>0</v>
      </c>
      <c r="F578">
        <f t="shared" ref="F578:F641" si="111">E578*60</f>
        <v>0</v>
      </c>
      <c r="G578" s="23" t="str">
        <f t="shared" ref="G578:G641" si="112">TEXT(F578,"00.000")</f>
        <v>00.000</v>
      </c>
      <c r="H578" s="1" t="str">
        <f t="shared" ref="H578:H641" si="113">D578&amp;G578</f>
        <v>0000.000</v>
      </c>
      <c r="I578">
        <f t="shared" ref="I578:I641" si="114">ABS(TRUNC(B578,0))</f>
        <v>0</v>
      </c>
      <c r="J578" t="str">
        <f t="shared" ref="J578:J641" si="115">TEXT(I578,"000")</f>
        <v>000</v>
      </c>
      <c r="K578">
        <f t="shared" ref="K578:K641" si="116">ABS(B578)-I578</f>
        <v>0</v>
      </c>
      <c r="L578">
        <f t="shared" ref="L578:L641" si="117">K578*60</f>
        <v>0</v>
      </c>
      <c r="M578" t="str">
        <f t="shared" ref="M578:M641" si="118">TEXT(L578,"00.000")</f>
        <v>00.000</v>
      </c>
      <c r="N578" s="1" t="str">
        <f t="shared" ref="N578:N641" si="119">J578&amp;M578</f>
        <v>00000.000</v>
      </c>
      <c r="O578" t="str">
        <f>IF('Import OpenCPN'!W579&gt;0,"N","S")</f>
        <v>S</v>
      </c>
      <c r="P578" t="str">
        <f>IF('Import OpenCPN'!X579&gt;0,"E","W")</f>
        <v>W</v>
      </c>
    </row>
    <row r="579" spans="1:16" x14ac:dyDescent="0.2">
      <c r="A579">
        <f>'Import OpenCPN'!W580</f>
        <v>0</v>
      </c>
      <c r="B579">
        <f>'Import OpenCPN'!X580</f>
        <v>0</v>
      </c>
      <c r="C579">
        <f t="shared" si="108"/>
        <v>0</v>
      </c>
      <c r="D579" t="str">
        <f t="shared" si="109"/>
        <v>00</v>
      </c>
      <c r="E579">
        <f t="shared" si="110"/>
        <v>0</v>
      </c>
      <c r="F579">
        <f t="shared" si="111"/>
        <v>0</v>
      </c>
      <c r="G579" s="23" t="str">
        <f t="shared" si="112"/>
        <v>00.000</v>
      </c>
      <c r="H579" s="1" t="str">
        <f t="shared" si="113"/>
        <v>0000.000</v>
      </c>
      <c r="I579">
        <f t="shared" si="114"/>
        <v>0</v>
      </c>
      <c r="J579" t="str">
        <f t="shared" si="115"/>
        <v>000</v>
      </c>
      <c r="K579">
        <f t="shared" si="116"/>
        <v>0</v>
      </c>
      <c r="L579">
        <f t="shared" si="117"/>
        <v>0</v>
      </c>
      <c r="M579" t="str">
        <f t="shared" si="118"/>
        <v>00.000</v>
      </c>
      <c r="N579" s="1" t="str">
        <f t="shared" si="119"/>
        <v>00000.000</v>
      </c>
      <c r="O579" t="str">
        <f>IF('Import OpenCPN'!W580&gt;0,"N","S")</f>
        <v>S</v>
      </c>
      <c r="P579" t="str">
        <f>IF('Import OpenCPN'!X580&gt;0,"E","W")</f>
        <v>W</v>
      </c>
    </row>
    <row r="580" spans="1:16" x14ac:dyDescent="0.2">
      <c r="A580">
        <f>'Import OpenCPN'!W581</f>
        <v>0</v>
      </c>
      <c r="B580">
        <f>'Import OpenCPN'!X581</f>
        <v>0</v>
      </c>
      <c r="C580">
        <f t="shared" si="108"/>
        <v>0</v>
      </c>
      <c r="D580" t="str">
        <f t="shared" si="109"/>
        <v>00</v>
      </c>
      <c r="E580">
        <f t="shared" si="110"/>
        <v>0</v>
      </c>
      <c r="F580">
        <f t="shared" si="111"/>
        <v>0</v>
      </c>
      <c r="G580" s="23" t="str">
        <f t="shared" si="112"/>
        <v>00.000</v>
      </c>
      <c r="H580" s="1" t="str">
        <f t="shared" si="113"/>
        <v>0000.000</v>
      </c>
      <c r="I580">
        <f t="shared" si="114"/>
        <v>0</v>
      </c>
      <c r="J580" t="str">
        <f t="shared" si="115"/>
        <v>000</v>
      </c>
      <c r="K580">
        <f t="shared" si="116"/>
        <v>0</v>
      </c>
      <c r="L580">
        <f t="shared" si="117"/>
        <v>0</v>
      </c>
      <c r="M580" t="str">
        <f t="shared" si="118"/>
        <v>00.000</v>
      </c>
      <c r="N580" s="1" t="str">
        <f t="shared" si="119"/>
        <v>00000.000</v>
      </c>
      <c r="O580" t="str">
        <f>IF('Import OpenCPN'!W581&gt;0,"N","S")</f>
        <v>S</v>
      </c>
      <c r="P580" t="str">
        <f>IF('Import OpenCPN'!X581&gt;0,"E","W")</f>
        <v>W</v>
      </c>
    </row>
    <row r="581" spans="1:16" x14ac:dyDescent="0.2">
      <c r="A581">
        <f>'Import OpenCPN'!W582</f>
        <v>0</v>
      </c>
      <c r="B581">
        <f>'Import OpenCPN'!X582</f>
        <v>0</v>
      </c>
      <c r="C581">
        <f t="shared" si="108"/>
        <v>0</v>
      </c>
      <c r="D581" t="str">
        <f t="shared" si="109"/>
        <v>00</v>
      </c>
      <c r="E581">
        <f t="shared" si="110"/>
        <v>0</v>
      </c>
      <c r="F581">
        <f t="shared" si="111"/>
        <v>0</v>
      </c>
      <c r="G581" s="23" t="str">
        <f t="shared" si="112"/>
        <v>00.000</v>
      </c>
      <c r="H581" s="1" t="str">
        <f t="shared" si="113"/>
        <v>0000.000</v>
      </c>
      <c r="I581">
        <f t="shared" si="114"/>
        <v>0</v>
      </c>
      <c r="J581" t="str">
        <f t="shared" si="115"/>
        <v>000</v>
      </c>
      <c r="K581">
        <f t="shared" si="116"/>
        <v>0</v>
      </c>
      <c r="L581">
        <f t="shared" si="117"/>
        <v>0</v>
      </c>
      <c r="M581" t="str">
        <f t="shared" si="118"/>
        <v>00.000</v>
      </c>
      <c r="N581" s="1" t="str">
        <f t="shared" si="119"/>
        <v>00000.000</v>
      </c>
      <c r="O581" t="str">
        <f>IF('Import OpenCPN'!W582&gt;0,"N","S")</f>
        <v>S</v>
      </c>
      <c r="P581" t="str">
        <f>IF('Import OpenCPN'!X582&gt;0,"E","W")</f>
        <v>W</v>
      </c>
    </row>
    <row r="582" spans="1:16" x14ac:dyDescent="0.2">
      <c r="A582">
        <f>'Import OpenCPN'!W583</f>
        <v>0</v>
      </c>
      <c r="B582">
        <f>'Import OpenCPN'!X583</f>
        <v>0</v>
      </c>
      <c r="C582">
        <f t="shared" si="108"/>
        <v>0</v>
      </c>
      <c r="D582" t="str">
        <f t="shared" si="109"/>
        <v>00</v>
      </c>
      <c r="E582">
        <f t="shared" si="110"/>
        <v>0</v>
      </c>
      <c r="F582">
        <f t="shared" si="111"/>
        <v>0</v>
      </c>
      <c r="G582" s="23" t="str">
        <f t="shared" si="112"/>
        <v>00.000</v>
      </c>
      <c r="H582" s="1" t="str">
        <f t="shared" si="113"/>
        <v>0000.000</v>
      </c>
      <c r="I582">
        <f t="shared" si="114"/>
        <v>0</v>
      </c>
      <c r="J582" t="str">
        <f t="shared" si="115"/>
        <v>000</v>
      </c>
      <c r="K582">
        <f t="shared" si="116"/>
        <v>0</v>
      </c>
      <c r="L582">
        <f t="shared" si="117"/>
        <v>0</v>
      </c>
      <c r="M582" t="str">
        <f t="shared" si="118"/>
        <v>00.000</v>
      </c>
      <c r="N582" s="1" t="str">
        <f t="shared" si="119"/>
        <v>00000.000</v>
      </c>
      <c r="O582" t="str">
        <f>IF('Import OpenCPN'!W583&gt;0,"N","S")</f>
        <v>S</v>
      </c>
      <c r="P582" t="str">
        <f>IF('Import OpenCPN'!X583&gt;0,"E","W")</f>
        <v>W</v>
      </c>
    </row>
    <row r="583" spans="1:16" x14ac:dyDescent="0.2">
      <c r="A583">
        <f>'Import OpenCPN'!W584</f>
        <v>0</v>
      </c>
      <c r="B583">
        <f>'Import OpenCPN'!X584</f>
        <v>0</v>
      </c>
      <c r="C583">
        <f t="shared" si="108"/>
        <v>0</v>
      </c>
      <c r="D583" t="str">
        <f t="shared" si="109"/>
        <v>00</v>
      </c>
      <c r="E583">
        <f t="shared" si="110"/>
        <v>0</v>
      </c>
      <c r="F583">
        <f t="shared" si="111"/>
        <v>0</v>
      </c>
      <c r="G583" s="23" t="str">
        <f t="shared" si="112"/>
        <v>00.000</v>
      </c>
      <c r="H583" s="1" t="str">
        <f t="shared" si="113"/>
        <v>0000.000</v>
      </c>
      <c r="I583">
        <f t="shared" si="114"/>
        <v>0</v>
      </c>
      <c r="J583" t="str">
        <f t="shared" si="115"/>
        <v>000</v>
      </c>
      <c r="K583">
        <f t="shared" si="116"/>
        <v>0</v>
      </c>
      <c r="L583">
        <f t="shared" si="117"/>
        <v>0</v>
      </c>
      <c r="M583" t="str">
        <f t="shared" si="118"/>
        <v>00.000</v>
      </c>
      <c r="N583" s="1" t="str">
        <f t="shared" si="119"/>
        <v>00000.000</v>
      </c>
      <c r="O583" t="str">
        <f>IF('Import OpenCPN'!W584&gt;0,"N","S")</f>
        <v>S</v>
      </c>
      <c r="P583" t="str">
        <f>IF('Import OpenCPN'!X584&gt;0,"E","W")</f>
        <v>W</v>
      </c>
    </row>
    <row r="584" spans="1:16" x14ac:dyDescent="0.2">
      <c r="A584">
        <f>'Import OpenCPN'!W585</f>
        <v>0</v>
      </c>
      <c r="B584">
        <f>'Import OpenCPN'!X585</f>
        <v>0</v>
      </c>
      <c r="C584">
        <f t="shared" si="108"/>
        <v>0</v>
      </c>
      <c r="D584" t="str">
        <f t="shared" si="109"/>
        <v>00</v>
      </c>
      <c r="E584">
        <f t="shared" si="110"/>
        <v>0</v>
      </c>
      <c r="F584">
        <f t="shared" si="111"/>
        <v>0</v>
      </c>
      <c r="G584" s="23" t="str">
        <f t="shared" si="112"/>
        <v>00.000</v>
      </c>
      <c r="H584" s="1" t="str">
        <f t="shared" si="113"/>
        <v>0000.000</v>
      </c>
      <c r="I584">
        <f t="shared" si="114"/>
        <v>0</v>
      </c>
      <c r="J584" t="str">
        <f t="shared" si="115"/>
        <v>000</v>
      </c>
      <c r="K584">
        <f t="shared" si="116"/>
        <v>0</v>
      </c>
      <c r="L584">
        <f t="shared" si="117"/>
        <v>0</v>
      </c>
      <c r="M584" t="str">
        <f t="shared" si="118"/>
        <v>00.000</v>
      </c>
      <c r="N584" s="1" t="str">
        <f t="shared" si="119"/>
        <v>00000.000</v>
      </c>
      <c r="O584" t="str">
        <f>IF('Import OpenCPN'!W585&gt;0,"N","S")</f>
        <v>S</v>
      </c>
      <c r="P584" t="str">
        <f>IF('Import OpenCPN'!X585&gt;0,"E","W")</f>
        <v>W</v>
      </c>
    </row>
    <row r="585" spans="1:16" x14ac:dyDescent="0.2">
      <c r="A585">
        <f>'Import OpenCPN'!W586</f>
        <v>0</v>
      </c>
      <c r="B585">
        <f>'Import OpenCPN'!X586</f>
        <v>0</v>
      </c>
      <c r="C585">
        <f t="shared" si="108"/>
        <v>0</v>
      </c>
      <c r="D585" t="str">
        <f t="shared" si="109"/>
        <v>00</v>
      </c>
      <c r="E585">
        <f t="shared" si="110"/>
        <v>0</v>
      </c>
      <c r="F585">
        <f t="shared" si="111"/>
        <v>0</v>
      </c>
      <c r="G585" s="23" t="str">
        <f t="shared" si="112"/>
        <v>00.000</v>
      </c>
      <c r="H585" s="1" t="str">
        <f t="shared" si="113"/>
        <v>0000.000</v>
      </c>
      <c r="I585">
        <f t="shared" si="114"/>
        <v>0</v>
      </c>
      <c r="J585" t="str">
        <f t="shared" si="115"/>
        <v>000</v>
      </c>
      <c r="K585">
        <f t="shared" si="116"/>
        <v>0</v>
      </c>
      <c r="L585">
        <f t="shared" si="117"/>
        <v>0</v>
      </c>
      <c r="M585" t="str">
        <f t="shared" si="118"/>
        <v>00.000</v>
      </c>
      <c r="N585" s="1" t="str">
        <f t="shared" si="119"/>
        <v>00000.000</v>
      </c>
      <c r="O585" t="str">
        <f>IF('Import OpenCPN'!W586&gt;0,"N","S")</f>
        <v>S</v>
      </c>
      <c r="P585" t="str">
        <f>IF('Import OpenCPN'!X586&gt;0,"E","W")</f>
        <v>W</v>
      </c>
    </row>
    <row r="586" spans="1:16" x14ac:dyDescent="0.2">
      <c r="A586">
        <f>'Import OpenCPN'!W587</f>
        <v>0</v>
      </c>
      <c r="B586">
        <f>'Import OpenCPN'!X587</f>
        <v>0</v>
      </c>
      <c r="C586">
        <f t="shared" si="108"/>
        <v>0</v>
      </c>
      <c r="D586" t="str">
        <f t="shared" si="109"/>
        <v>00</v>
      </c>
      <c r="E586">
        <f t="shared" si="110"/>
        <v>0</v>
      </c>
      <c r="F586">
        <f t="shared" si="111"/>
        <v>0</v>
      </c>
      <c r="G586" s="23" t="str">
        <f t="shared" si="112"/>
        <v>00.000</v>
      </c>
      <c r="H586" s="1" t="str">
        <f t="shared" si="113"/>
        <v>0000.000</v>
      </c>
      <c r="I586">
        <f t="shared" si="114"/>
        <v>0</v>
      </c>
      <c r="J586" t="str">
        <f t="shared" si="115"/>
        <v>000</v>
      </c>
      <c r="K586">
        <f t="shared" si="116"/>
        <v>0</v>
      </c>
      <c r="L586">
        <f t="shared" si="117"/>
        <v>0</v>
      </c>
      <c r="M586" t="str">
        <f t="shared" si="118"/>
        <v>00.000</v>
      </c>
      <c r="N586" s="1" t="str">
        <f t="shared" si="119"/>
        <v>00000.000</v>
      </c>
      <c r="O586" t="str">
        <f>IF('Import OpenCPN'!W587&gt;0,"N","S")</f>
        <v>S</v>
      </c>
      <c r="P586" t="str">
        <f>IF('Import OpenCPN'!X587&gt;0,"E","W")</f>
        <v>W</v>
      </c>
    </row>
    <row r="587" spans="1:16" x14ac:dyDescent="0.2">
      <c r="A587">
        <f>'Import OpenCPN'!W588</f>
        <v>0</v>
      </c>
      <c r="B587">
        <f>'Import OpenCPN'!X588</f>
        <v>0</v>
      </c>
      <c r="C587">
        <f t="shared" si="108"/>
        <v>0</v>
      </c>
      <c r="D587" t="str">
        <f t="shared" si="109"/>
        <v>00</v>
      </c>
      <c r="E587">
        <f t="shared" si="110"/>
        <v>0</v>
      </c>
      <c r="F587">
        <f t="shared" si="111"/>
        <v>0</v>
      </c>
      <c r="G587" s="23" t="str">
        <f t="shared" si="112"/>
        <v>00.000</v>
      </c>
      <c r="H587" s="1" t="str">
        <f t="shared" si="113"/>
        <v>0000.000</v>
      </c>
      <c r="I587">
        <f t="shared" si="114"/>
        <v>0</v>
      </c>
      <c r="J587" t="str">
        <f t="shared" si="115"/>
        <v>000</v>
      </c>
      <c r="K587">
        <f t="shared" si="116"/>
        <v>0</v>
      </c>
      <c r="L587">
        <f t="shared" si="117"/>
        <v>0</v>
      </c>
      <c r="M587" t="str">
        <f t="shared" si="118"/>
        <v>00.000</v>
      </c>
      <c r="N587" s="1" t="str">
        <f t="shared" si="119"/>
        <v>00000.000</v>
      </c>
      <c r="O587" t="str">
        <f>IF('Import OpenCPN'!W588&gt;0,"N","S")</f>
        <v>S</v>
      </c>
      <c r="P587" t="str">
        <f>IF('Import OpenCPN'!X588&gt;0,"E","W")</f>
        <v>W</v>
      </c>
    </row>
    <row r="588" spans="1:16" x14ac:dyDescent="0.2">
      <c r="A588">
        <f>'Import OpenCPN'!W589</f>
        <v>0</v>
      </c>
      <c r="B588">
        <f>'Import OpenCPN'!X589</f>
        <v>0</v>
      </c>
      <c r="C588">
        <f t="shared" si="108"/>
        <v>0</v>
      </c>
      <c r="D588" t="str">
        <f t="shared" si="109"/>
        <v>00</v>
      </c>
      <c r="E588">
        <f t="shared" si="110"/>
        <v>0</v>
      </c>
      <c r="F588">
        <f t="shared" si="111"/>
        <v>0</v>
      </c>
      <c r="G588" s="23" t="str">
        <f t="shared" si="112"/>
        <v>00.000</v>
      </c>
      <c r="H588" s="1" t="str">
        <f t="shared" si="113"/>
        <v>0000.000</v>
      </c>
      <c r="I588">
        <f t="shared" si="114"/>
        <v>0</v>
      </c>
      <c r="J588" t="str">
        <f t="shared" si="115"/>
        <v>000</v>
      </c>
      <c r="K588">
        <f t="shared" si="116"/>
        <v>0</v>
      </c>
      <c r="L588">
        <f t="shared" si="117"/>
        <v>0</v>
      </c>
      <c r="M588" t="str">
        <f t="shared" si="118"/>
        <v>00.000</v>
      </c>
      <c r="N588" s="1" t="str">
        <f t="shared" si="119"/>
        <v>00000.000</v>
      </c>
      <c r="O588" t="str">
        <f>IF('Import OpenCPN'!W589&gt;0,"N","S")</f>
        <v>S</v>
      </c>
      <c r="P588" t="str">
        <f>IF('Import OpenCPN'!X589&gt;0,"E","W")</f>
        <v>W</v>
      </c>
    </row>
    <row r="589" spans="1:16" x14ac:dyDescent="0.2">
      <c r="A589">
        <f>'Import OpenCPN'!W590</f>
        <v>0</v>
      </c>
      <c r="B589">
        <f>'Import OpenCPN'!X590</f>
        <v>0</v>
      </c>
      <c r="C589">
        <f t="shared" si="108"/>
        <v>0</v>
      </c>
      <c r="D589" t="str">
        <f t="shared" si="109"/>
        <v>00</v>
      </c>
      <c r="E589">
        <f t="shared" si="110"/>
        <v>0</v>
      </c>
      <c r="F589">
        <f t="shared" si="111"/>
        <v>0</v>
      </c>
      <c r="G589" s="23" t="str">
        <f t="shared" si="112"/>
        <v>00.000</v>
      </c>
      <c r="H589" s="1" t="str">
        <f t="shared" si="113"/>
        <v>0000.000</v>
      </c>
      <c r="I589">
        <f t="shared" si="114"/>
        <v>0</v>
      </c>
      <c r="J589" t="str">
        <f t="shared" si="115"/>
        <v>000</v>
      </c>
      <c r="K589">
        <f t="shared" si="116"/>
        <v>0</v>
      </c>
      <c r="L589">
        <f t="shared" si="117"/>
        <v>0</v>
      </c>
      <c r="M589" t="str">
        <f t="shared" si="118"/>
        <v>00.000</v>
      </c>
      <c r="N589" s="1" t="str">
        <f t="shared" si="119"/>
        <v>00000.000</v>
      </c>
      <c r="O589" t="str">
        <f>IF('Import OpenCPN'!W590&gt;0,"N","S")</f>
        <v>S</v>
      </c>
      <c r="P589" t="str">
        <f>IF('Import OpenCPN'!X590&gt;0,"E","W")</f>
        <v>W</v>
      </c>
    </row>
    <row r="590" spans="1:16" x14ac:dyDescent="0.2">
      <c r="A590">
        <f>'Import OpenCPN'!W591</f>
        <v>0</v>
      </c>
      <c r="B590">
        <f>'Import OpenCPN'!X591</f>
        <v>0</v>
      </c>
      <c r="C590">
        <f t="shared" si="108"/>
        <v>0</v>
      </c>
      <c r="D590" t="str">
        <f t="shared" si="109"/>
        <v>00</v>
      </c>
      <c r="E590">
        <f t="shared" si="110"/>
        <v>0</v>
      </c>
      <c r="F590">
        <f t="shared" si="111"/>
        <v>0</v>
      </c>
      <c r="G590" s="23" t="str">
        <f t="shared" si="112"/>
        <v>00.000</v>
      </c>
      <c r="H590" s="1" t="str">
        <f t="shared" si="113"/>
        <v>0000.000</v>
      </c>
      <c r="I590">
        <f t="shared" si="114"/>
        <v>0</v>
      </c>
      <c r="J590" t="str">
        <f t="shared" si="115"/>
        <v>000</v>
      </c>
      <c r="K590">
        <f t="shared" si="116"/>
        <v>0</v>
      </c>
      <c r="L590">
        <f t="shared" si="117"/>
        <v>0</v>
      </c>
      <c r="M590" t="str">
        <f t="shared" si="118"/>
        <v>00.000</v>
      </c>
      <c r="N590" s="1" t="str">
        <f t="shared" si="119"/>
        <v>00000.000</v>
      </c>
      <c r="O590" t="str">
        <f>IF('Import OpenCPN'!W591&gt;0,"N","S")</f>
        <v>S</v>
      </c>
      <c r="P590" t="str">
        <f>IF('Import OpenCPN'!X591&gt;0,"E","W")</f>
        <v>W</v>
      </c>
    </row>
    <row r="591" spans="1:16" x14ac:dyDescent="0.2">
      <c r="A591">
        <f>'Import OpenCPN'!W592</f>
        <v>0</v>
      </c>
      <c r="B591">
        <f>'Import OpenCPN'!X592</f>
        <v>0</v>
      </c>
      <c r="C591">
        <f t="shared" si="108"/>
        <v>0</v>
      </c>
      <c r="D591" t="str">
        <f t="shared" si="109"/>
        <v>00</v>
      </c>
      <c r="E591">
        <f t="shared" si="110"/>
        <v>0</v>
      </c>
      <c r="F591">
        <f t="shared" si="111"/>
        <v>0</v>
      </c>
      <c r="G591" s="23" t="str">
        <f t="shared" si="112"/>
        <v>00.000</v>
      </c>
      <c r="H591" s="1" t="str">
        <f t="shared" si="113"/>
        <v>0000.000</v>
      </c>
      <c r="I591">
        <f t="shared" si="114"/>
        <v>0</v>
      </c>
      <c r="J591" t="str">
        <f t="shared" si="115"/>
        <v>000</v>
      </c>
      <c r="K591">
        <f t="shared" si="116"/>
        <v>0</v>
      </c>
      <c r="L591">
        <f t="shared" si="117"/>
        <v>0</v>
      </c>
      <c r="M591" t="str">
        <f t="shared" si="118"/>
        <v>00.000</v>
      </c>
      <c r="N591" s="1" t="str">
        <f t="shared" si="119"/>
        <v>00000.000</v>
      </c>
      <c r="O591" t="str">
        <f>IF('Import OpenCPN'!W592&gt;0,"N","S")</f>
        <v>S</v>
      </c>
      <c r="P591" t="str">
        <f>IF('Import OpenCPN'!X592&gt;0,"E","W")</f>
        <v>W</v>
      </c>
    </row>
    <row r="592" spans="1:16" x14ac:dyDescent="0.2">
      <c r="A592">
        <f>'Import OpenCPN'!W593</f>
        <v>0</v>
      </c>
      <c r="B592">
        <f>'Import OpenCPN'!X593</f>
        <v>0</v>
      </c>
      <c r="C592">
        <f t="shared" si="108"/>
        <v>0</v>
      </c>
      <c r="D592" t="str">
        <f t="shared" si="109"/>
        <v>00</v>
      </c>
      <c r="E592">
        <f t="shared" si="110"/>
        <v>0</v>
      </c>
      <c r="F592">
        <f t="shared" si="111"/>
        <v>0</v>
      </c>
      <c r="G592" s="23" t="str">
        <f t="shared" si="112"/>
        <v>00.000</v>
      </c>
      <c r="H592" s="1" t="str">
        <f t="shared" si="113"/>
        <v>0000.000</v>
      </c>
      <c r="I592">
        <f t="shared" si="114"/>
        <v>0</v>
      </c>
      <c r="J592" t="str">
        <f t="shared" si="115"/>
        <v>000</v>
      </c>
      <c r="K592">
        <f t="shared" si="116"/>
        <v>0</v>
      </c>
      <c r="L592">
        <f t="shared" si="117"/>
        <v>0</v>
      </c>
      <c r="M592" t="str">
        <f t="shared" si="118"/>
        <v>00.000</v>
      </c>
      <c r="N592" s="1" t="str">
        <f t="shared" si="119"/>
        <v>00000.000</v>
      </c>
      <c r="O592" t="str">
        <f>IF('Import OpenCPN'!W593&gt;0,"N","S")</f>
        <v>S</v>
      </c>
      <c r="P592" t="str">
        <f>IF('Import OpenCPN'!X593&gt;0,"E","W")</f>
        <v>W</v>
      </c>
    </row>
    <row r="593" spans="1:16" x14ac:dyDescent="0.2">
      <c r="A593">
        <f>'Import OpenCPN'!W594</f>
        <v>0</v>
      </c>
      <c r="B593">
        <f>'Import OpenCPN'!X594</f>
        <v>0</v>
      </c>
      <c r="C593">
        <f t="shared" si="108"/>
        <v>0</v>
      </c>
      <c r="D593" t="str">
        <f t="shared" si="109"/>
        <v>00</v>
      </c>
      <c r="E593">
        <f t="shared" si="110"/>
        <v>0</v>
      </c>
      <c r="F593">
        <f t="shared" si="111"/>
        <v>0</v>
      </c>
      <c r="G593" s="23" t="str">
        <f t="shared" si="112"/>
        <v>00.000</v>
      </c>
      <c r="H593" s="1" t="str">
        <f t="shared" si="113"/>
        <v>0000.000</v>
      </c>
      <c r="I593">
        <f t="shared" si="114"/>
        <v>0</v>
      </c>
      <c r="J593" t="str">
        <f t="shared" si="115"/>
        <v>000</v>
      </c>
      <c r="K593">
        <f t="shared" si="116"/>
        <v>0</v>
      </c>
      <c r="L593">
        <f t="shared" si="117"/>
        <v>0</v>
      </c>
      <c r="M593" t="str">
        <f t="shared" si="118"/>
        <v>00.000</v>
      </c>
      <c r="N593" s="1" t="str">
        <f t="shared" si="119"/>
        <v>00000.000</v>
      </c>
      <c r="O593" t="str">
        <f>IF('Import OpenCPN'!W594&gt;0,"N","S")</f>
        <v>S</v>
      </c>
      <c r="P593" t="str">
        <f>IF('Import OpenCPN'!X594&gt;0,"E","W")</f>
        <v>W</v>
      </c>
    </row>
    <row r="594" spans="1:16" x14ac:dyDescent="0.2">
      <c r="A594">
        <f>'Import OpenCPN'!W595</f>
        <v>0</v>
      </c>
      <c r="B594">
        <f>'Import OpenCPN'!X595</f>
        <v>0</v>
      </c>
      <c r="C594">
        <f t="shared" si="108"/>
        <v>0</v>
      </c>
      <c r="D594" t="str">
        <f t="shared" si="109"/>
        <v>00</v>
      </c>
      <c r="E594">
        <f t="shared" si="110"/>
        <v>0</v>
      </c>
      <c r="F594">
        <f t="shared" si="111"/>
        <v>0</v>
      </c>
      <c r="G594" s="23" t="str">
        <f t="shared" si="112"/>
        <v>00.000</v>
      </c>
      <c r="H594" s="1" t="str">
        <f t="shared" si="113"/>
        <v>0000.000</v>
      </c>
      <c r="I594">
        <f t="shared" si="114"/>
        <v>0</v>
      </c>
      <c r="J594" t="str">
        <f t="shared" si="115"/>
        <v>000</v>
      </c>
      <c r="K594">
        <f t="shared" si="116"/>
        <v>0</v>
      </c>
      <c r="L594">
        <f t="shared" si="117"/>
        <v>0</v>
      </c>
      <c r="M594" t="str">
        <f t="shared" si="118"/>
        <v>00.000</v>
      </c>
      <c r="N594" s="1" t="str">
        <f t="shared" si="119"/>
        <v>00000.000</v>
      </c>
      <c r="O594" t="str">
        <f>IF('Import OpenCPN'!W595&gt;0,"N","S")</f>
        <v>S</v>
      </c>
      <c r="P594" t="str">
        <f>IF('Import OpenCPN'!X595&gt;0,"E","W")</f>
        <v>W</v>
      </c>
    </row>
    <row r="595" spans="1:16" x14ac:dyDescent="0.2">
      <c r="A595">
        <f>'Import OpenCPN'!W596</f>
        <v>0</v>
      </c>
      <c r="B595">
        <f>'Import OpenCPN'!X596</f>
        <v>0</v>
      </c>
      <c r="C595">
        <f t="shared" si="108"/>
        <v>0</v>
      </c>
      <c r="D595" t="str">
        <f t="shared" si="109"/>
        <v>00</v>
      </c>
      <c r="E595">
        <f t="shared" si="110"/>
        <v>0</v>
      </c>
      <c r="F595">
        <f t="shared" si="111"/>
        <v>0</v>
      </c>
      <c r="G595" s="23" t="str">
        <f t="shared" si="112"/>
        <v>00.000</v>
      </c>
      <c r="H595" s="1" t="str">
        <f t="shared" si="113"/>
        <v>0000.000</v>
      </c>
      <c r="I595">
        <f t="shared" si="114"/>
        <v>0</v>
      </c>
      <c r="J595" t="str">
        <f t="shared" si="115"/>
        <v>000</v>
      </c>
      <c r="K595">
        <f t="shared" si="116"/>
        <v>0</v>
      </c>
      <c r="L595">
        <f t="shared" si="117"/>
        <v>0</v>
      </c>
      <c r="M595" t="str">
        <f t="shared" si="118"/>
        <v>00.000</v>
      </c>
      <c r="N595" s="1" t="str">
        <f t="shared" si="119"/>
        <v>00000.000</v>
      </c>
      <c r="O595" t="str">
        <f>IF('Import OpenCPN'!W596&gt;0,"N","S")</f>
        <v>S</v>
      </c>
      <c r="P595" t="str">
        <f>IF('Import OpenCPN'!X596&gt;0,"E","W")</f>
        <v>W</v>
      </c>
    </row>
    <row r="596" spans="1:16" x14ac:dyDescent="0.2">
      <c r="A596">
        <f>'Import OpenCPN'!W597</f>
        <v>0</v>
      </c>
      <c r="B596">
        <f>'Import OpenCPN'!X597</f>
        <v>0</v>
      </c>
      <c r="C596">
        <f t="shared" si="108"/>
        <v>0</v>
      </c>
      <c r="D596" t="str">
        <f t="shared" si="109"/>
        <v>00</v>
      </c>
      <c r="E596">
        <f t="shared" si="110"/>
        <v>0</v>
      </c>
      <c r="F596">
        <f t="shared" si="111"/>
        <v>0</v>
      </c>
      <c r="G596" s="23" t="str">
        <f t="shared" si="112"/>
        <v>00.000</v>
      </c>
      <c r="H596" s="1" t="str">
        <f t="shared" si="113"/>
        <v>0000.000</v>
      </c>
      <c r="I596">
        <f t="shared" si="114"/>
        <v>0</v>
      </c>
      <c r="J596" t="str">
        <f t="shared" si="115"/>
        <v>000</v>
      </c>
      <c r="K596">
        <f t="shared" si="116"/>
        <v>0</v>
      </c>
      <c r="L596">
        <f t="shared" si="117"/>
        <v>0</v>
      </c>
      <c r="M596" t="str">
        <f t="shared" si="118"/>
        <v>00.000</v>
      </c>
      <c r="N596" s="1" t="str">
        <f t="shared" si="119"/>
        <v>00000.000</v>
      </c>
      <c r="O596" t="str">
        <f>IF('Import OpenCPN'!W597&gt;0,"N","S")</f>
        <v>S</v>
      </c>
      <c r="P596" t="str">
        <f>IF('Import OpenCPN'!X597&gt;0,"E","W")</f>
        <v>W</v>
      </c>
    </row>
    <row r="597" spans="1:16" x14ac:dyDescent="0.2">
      <c r="A597">
        <f>'Import OpenCPN'!W598</f>
        <v>0</v>
      </c>
      <c r="B597">
        <f>'Import OpenCPN'!X598</f>
        <v>0</v>
      </c>
      <c r="C597">
        <f t="shared" si="108"/>
        <v>0</v>
      </c>
      <c r="D597" t="str">
        <f t="shared" si="109"/>
        <v>00</v>
      </c>
      <c r="E597">
        <f t="shared" si="110"/>
        <v>0</v>
      </c>
      <c r="F597">
        <f t="shared" si="111"/>
        <v>0</v>
      </c>
      <c r="G597" s="23" t="str">
        <f t="shared" si="112"/>
        <v>00.000</v>
      </c>
      <c r="H597" s="1" t="str">
        <f t="shared" si="113"/>
        <v>0000.000</v>
      </c>
      <c r="I597">
        <f t="shared" si="114"/>
        <v>0</v>
      </c>
      <c r="J597" t="str">
        <f t="shared" si="115"/>
        <v>000</v>
      </c>
      <c r="K597">
        <f t="shared" si="116"/>
        <v>0</v>
      </c>
      <c r="L597">
        <f t="shared" si="117"/>
        <v>0</v>
      </c>
      <c r="M597" t="str">
        <f t="shared" si="118"/>
        <v>00.000</v>
      </c>
      <c r="N597" s="1" t="str">
        <f t="shared" si="119"/>
        <v>00000.000</v>
      </c>
      <c r="O597" t="str">
        <f>IF('Import OpenCPN'!W598&gt;0,"N","S")</f>
        <v>S</v>
      </c>
      <c r="P597" t="str">
        <f>IF('Import OpenCPN'!X598&gt;0,"E","W")</f>
        <v>W</v>
      </c>
    </row>
    <row r="598" spans="1:16" x14ac:dyDescent="0.2">
      <c r="A598">
        <f>'Import OpenCPN'!W599</f>
        <v>0</v>
      </c>
      <c r="B598">
        <f>'Import OpenCPN'!X599</f>
        <v>0</v>
      </c>
      <c r="C598">
        <f t="shared" si="108"/>
        <v>0</v>
      </c>
      <c r="D598" t="str">
        <f t="shared" si="109"/>
        <v>00</v>
      </c>
      <c r="E598">
        <f t="shared" si="110"/>
        <v>0</v>
      </c>
      <c r="F598">
        <f t="shared" si="111"/>
        <v>0</v>
      </c>
      <c r="G598" s="23" t="str">
        <f t="shared" si="112"/>
        <v>00.000</v>
      </c>
      <c r="H598" s="1" t="str">
        <f t="shared" si="113"/>
        <v>0000.000</v>
      </c>
      <c r="I598">
        <f t="shared" si="114"/>
        <v>0</v>
      </c>
      <c r="J598" t="str">
        <f t="shared" si="115"/>
        <v>000</v>
      </c>
      <c r="K598">
        <f t="shared" si="116"/>
        <v>0</v>
      </c>
      <c r="L598">
        <f t="shared" si="117"/>
        <v>0</v>
      </c>
      <c r="M598" t="str">
        <f t="shared" si="118"/>
        <v>00.000</v>
      </c>
      <c r="N598" s="1" t="str">
        <f t="shared" si="119"/>
        <v>00000.000</v>
      </c>
      <c r="O598" t="str">
        <f>IF('Import OpenCPN'!W599&gt;0,"N","S")</f>
        <v>S</v>
      </c>
      <c r="P598" t="str">
        <f>IF('Import OpenCPN'!X599&gt;0,"E","W")</f>
        <v>W</v>
      </c>
    </row>
    <row r="599" spans="1:16" x14ac:dyDescent="0.2">
      <c r="A599">
        <f>'Import OpenCPN'!W600</f>
        <v>0</v>
      </c>
      <c r="B599">
        <f>'Import OpenCPN'!X600</f>
        <v>0</v>
      </c>
      <c r="C599">
        <f t="shared" si="108"/>
        <v>0</v>
      </c>
      <c r="D599" t="str">
        <f t="shared" si="109"/>
        <v>00</v>
      </c>
      <c r="E599">
        <f t="shared" si="110"/>
        <v>0</v>
      </c>
      <c r="F599">
        <f t="shared" si="111"/>
        <v>0</v>
      </c>
      <c r="G599" s="23" t="str">
        <f t="shared" si="112"/>
        <v>00.000</v>
      </c>
      <c r="H599" s="1" t="str">
        <f t="shared" si="113"/>
        <v>0000.000</v>
      </c>
      <c r="I599">
        <f t="shared" si="114"/>
        <v>0</v>
      </c>
      <c r="J599" t="str">
        <f t="shared" si="115"/>
        <v>000</v>
      </c>
      <c r="K599">
        <f t="shared" si="116"/>
        <v>0</v>
      </c>
      <c r="L599">
        <f t="shared" si="117"/>
        <v>0</v>
      </c>
      <c r="M599" t="str">
        <f t="shared" si="118"/>
        <v>00.000</v>
      </c>
      <c r="N599" s="1" t="str">
        <f t="shared" si="119"/>
        <v>00000.000</v>
      </c>
      <c r="O599" t="str">
        <f>IF('Import OpenCPN'!W600&gt;0,"N","S")</f>
        <v>S</v>
      </c>
      <c r="P599" t="str">
        <f>IF('Import OpenCPN'!X600&gt;0,"E","W")</f>
        <v>W</v>
      </c>
    </row>
    <row r="600" spans="1:16" x14ac:dyDescent="0.2">
      <c r="A600">
        <f>'Import OpenCPN'!W601</f>
        <v>0</v>
      </c>
      <c r="B600">
        <f>'Import OpenCPN'!X601</f>
        <v>0</v>
      </c>
      <c r="C600">
        <f t="shared" si="108"/>
        <v>0</v>
      </c>
      <c r="D600" t="str">
        <f t="shared" si="109"/>
        <v>00</v>
      </c>
      <c r="E600">
        <f t="shared" si="110"/>
        <v>0</v>
      </c>
      <c r="F600">
        <f t="shared" si="111"/>
        <v>0</v>
      </c>
      <c r="G600" s="23" t="str">
        <f t="shared" si="112"/>
        <v>00.000</v>
      </c>
      <c r="H600" s="1" t="str">
        <f t="shared" si="113"/>
        <v>0000.000</v>
      </c>
      <c r="I600">
        <f t="shared" si="114"/>
        <v>0</v>
      </c>
      <c r="J600" t="str">
        <f t="shared" si="115"/>
        <v>000</v>
      </c>
      <c r="K600">
        <f t="shared" si="116"/>
        <v>0</v>
      </c>
      <c r="L600">
        <f t="shared" si="117"/>
        <v>0</v>
      </c>
      <c r="M600" t="str">
        <f t="shared" si="118"/>
        <v>00.000</v>
      </c>
      <c r="N600" s="1" t="str">
        <f t="shared" si="119"/>
        <v>00000.000</v>
      </c>
      <c r="O600" t="str">
        <f>IF('Import OpenCPN'!W601&gt;0,"N","S")</f>
        <v>S</v>
      </c>
      <c r="P600" t="str">
        <f>IF('Import OpenCPN'!X601&gt;0,"E","W")</f>
        <v>W</v>
      </c>
    </row>
    <row r="601" spans="1:16" x14ac:dyDescent="0.2">
      <c r="A601">
        <f>'Import OpenCPN'!W602</f>
        <v>0</v>
      </c>
      <c r="B601">
        <f>'Import OpenCPN'!X602</f>
        <v>0</v>
      </c>
      <c r="C601">
        <f t="shared" si="108"/>
        <v>0</v>
      </c>
      <c r="D601" t="str">
        <f t="shared" si="109"/>
        <v>00</v>
      </c>
      <c r="E601">
        <f t="shared" si="110"/>
        <v>0</v>
      </c>
      <c r="F601">
        <f t="shared" si="111"/>
        <v>0</v>
      </c>
      <c r="G601" s="23" t="str">
        <f t="shared" si="112"/>
        <v>00.000</v>
      </c>
      <c r="H601" s="1" t="str">
        <f t="shared" si="113"/>
        <v>0000.000</v>
      </c>
      <c r="I601">
        <f t="shared" si="114"/>
        <v>0</v>
      </c>
      <c r="J601" t="str">
        <f t="shared" si="115"/>
        <v>000</v>
      </c>
      <c r="K601">
        <f t="shared" si="116"/>
        <v>0</v>
      </c>
      <c r="L601">
        <f t="shared" si="117"/>
        <v>0</v>
      </c>
      <c r="M601" t="str">
        <f t="shared" si="118"/>
        <v>00.000</v>
      </c>
      <c r="N601" s="1" t="str">
        <f t="shared" si="119"/>
        <v>00000.000</v>
      </c>
      <c r="O601" t="str">
        <f>IF('Import OpenCPN'!W602&gt;0,"N","S")</f>
        <v>S</v>
      </c>
      <c r="P601" t="str">
        <f>IF('Import OpenCPN'!X602&gt;0,"E","W")</f>
        <v>W</v>
      </c>
    </row>
    <row r="602" spans="1:16" x14ac:dyDescent="0.2">
      <c r="A602">
        <f>'Import OpenCPN'!W603</f>
        <v>0</v>
      </c>
      <c r="B602">
        <f>'Import OpenCPN'!X603</f>
        <v>0</v>
      </c>
      <c r="C602">
        <f t="shared" si="108"/>
        <v>0</v>
      </c>
      <c r="D602" t="str">
        <f t="shared" si="109"/>
        <v>00</v>
      </c>
      <c r="E602">
        <f t="shared" si="110"/>
        <v>0</v>
      </c>
      <c r="F602">
        <f t="shared" si="111"/>
        <v>0</v>
      </c>
      <c r="G602" s="23" t="str">
        <f t="shared" si="112"/>
        <v>00.000</v>
      </c>
      <c r="H602" s="1" t="str">
        <f t="shared" si="113"/>
        <v>0000.000</v>
      </c>
      <c r="I602">
        <f t="shared" si="114"/>
        <v>0</v>
      </c>
      <c r="J602" t="str">
        <f t="shared" si="115"/>
        <v>000</v>
      </c>
      <c r="K602">
        <f t="shared" si="116"/>
        <v>0</v>
      </c>
      <c r="L602">
        <f t="shared" si="117"/>
        <v>0</v>
      </c>
      <c r="M602" t="str">
        <f t="shared" si="118"/>
        <v>00.000</v>
      </c>
      <c r="N602" s="1" t="str">
        <f t="shared" si="119"/>
        <v>00000.000</v>
      </c>
      <c r="O602" t="str">
        <f>IF('Import OpenCPN'!W603&gt;0,"N","S")</f>
        <v>S</v>
      </c>
      <c r="P602" t="str">
        <f>IF('Import OpenCPN'!X603&gt;0,"E","W")</f>
        <v>W</v>
      </c>
    </row>
    <row r="603" spans="1:16" x14ac:dyDescent="0.2">
      <c r="A603">
        <f>'Import OpenCPN'!W604</f>
        <v>0</v>
      </c>
      <c r="B603">
        <f>'Import OpenCPN'!X604</f>
        <v>0</v>
      </c>
      <c r="C603">
        <f t="shared" si="108"/>
        <v>0</v>
      </c>
      <c r="D603" t="str">
        <f t="shared" si="109"/>
        <v>00</v>
      </c>
      <c r="E603">
        <f t="shared" si="110"/>
        <v>0</v>
      </c>
      <c r="F603">
        <f t="shared" si="111"/>
        <v>0</v>
      </c>
      <c r="G603" s="23" t="str">
        <f t="shared" si="112"/>
        <v>00.000</v>
      </c>
      <c r="H603" s="1" t="str">
        <f t="shared" si="113"/>
        <v>0000.000</v>
      </c>
      <c r="I603">
        <f t="shared" si="114"/>
        <v>0</v>
      </c>
      <c r="J603" t="str">
        <f t="shared" si="115"/>
        <v>000</v>
      </c>
      <c r="K603">
        <f t="shared" si="116"/>
        <v>0</v>
      </c>
      <c r="L603">
        <f t="shared" si="117"/>
        <v>0</v>
      </c>
      <c r="M603" t="str">
        <f t="shared" si="118"/>
        <v>00.000</v>
      </c>
      <c r="N603" s="1" t="str">
        <f t="shared" si="119"/>
        <v>00000.000</v>
      </c>
      <c r="O603" t="str">
        <f>IF('Import OpenCPN'!W604&gt;0,"N","S")</f>
        <v>S</v>
      </c>
      <c r="P603" t="str">
        <f>IF('Import OpenCPN'!X604&gt;0,"E","W")</f>
        <v>W</v>
      </c>
    </row>
    <row r="604" spans="1:16" x14ac:dyDescent="0.2">
      <c r="A604">
        <f>'Import OpenCPN'!W605</f>
        <v>0</v>
      </c>
      <c r="B604">
        <f>'Import OpenCPN'!X605</f>
        <v>0</v>
      </c>
      <c r="C604">
        <f t="shared" si="108"/>
        <v>0</v>
      </c>
      <c r="D604" t="str">
        <f t="shared" si="109"/>
        <v>00</v>
      </c>
      <c r="E604">
        <f t="shared" si="110"/>
        <v>0</v>
      </c>
      <c r="F604">
        <f t="shared" si="111"/>
        <v>0</v>
      </c>
      <c r="G604" s="23" t="str">
        <f t="shared" si="112"/>
        <v>00.000</v>
      </c>
      <c r="H604" s="1" t="str">
        <f t="shared" si="113"/>
        <v>0000.000</v>
      </c>
      <c r="I604">
        <f t="shared" si="114"/>
        <v>0</v>
      </c>
      <c r="J604" t="str">
        <f t="shared" si="115"/>
        <v>000</v>
      </c>
      <c r="K604">
        <f t="shared" si="116"/>
        <v>0</v>
      </c>
      <c r="L604">
        <f t="shared" si="117"/>
        <v>0</v>
      </c>
      <c r="M604" t="str">
        <f t="shared" si="118"/>
        <v>00.000</v>
      </c>
      <c r="N604" s="1" t="str">
        <f t="shared" si="119"/>
        <v>00000.000</v>
      </c>
      <c r="O604" t="str">
        <f>IF('Import OpenCPN'!W605&gt;0,"N","S")</f>
        <v>S</v>
      </c>
      <c r="P604" t="str">
        <f>IF('Import OpenCPN'!X605&gt;0,"E","W")</f>
        <v>W</v>
      </c>
    </row>
    <row r="605" spans="1:16" x14ac:dyDescent="0.2">
      <c r="A605">
        <f>'Import OpenCPN'!W606</f>
        <v>0</v>
      </c>
      <c r="B605">
        <f>'Import OpenCPN'!X606</f>
        <v>0</v>
      </c>
      <c r="C605">
        <f t="shared" si="108"/>
        <v>0</v>
      </c>
      <c r="D605" t="str">
        <f t="shared" si="109"/>
        <v>00</v>
      </c>
      <c r="E605">
        <f t="shared" si="110"/>
        <v>0</v>
      </c>
      <c r="F605">
        <f t="shared" si="111"/>
        <v>0</v>
      </c>
      <c r="G605" s="23" t="str">
        <f t="shared" si="112"/>
        <v>00.000</v>
      </c>
      <c r="H605" s="1" t="str">
        <f t="shared" si="113"/>
        <v>0000.000</v>
      </c>
      <c r="I605">
        <f t="shared" si="114"/>
        <v>0</v>
      </c>
      <c r="J605" t="str">
        <f t="shared" si="115"/>
        <v>000</v>
      </c>
      <c r="K605">
        <f t="shared" si="116"/>
        <v>0</v>
      </c>
      <c r="L605">
        <f t="shared" si="117"/>
        <v>0</v>
      </c>
      <c r="M605" t="str">
        <f t="shared" si="118"/>
        <v>00.000</v>
      </c>
      <c r="N605" s="1" t="str">
        <f t="shared" si="119"/>
        <v>00000.000</v>
      </c>
      <c r="O605" t="str">
        <f>IF('Import OpenCPN'!W606&gt;0,"N","S")</f>
        <v>S</v>
      </c>
      <c r="P605" t="str">
        <f>IF('Import OpenCPN'!X606&gt;0,"E","W")</f>
        <v>W</v>
      </c>
    </row>
    <row r="606" spans="1:16" x14ac:dyDescent="0.2">
      <c r="A606">
        <f>'Import OpenCPN'!W607</f>
        <v>0</v>
      </c>
      <c r="B606">
        <f>'Import OpenCPN'!X607</f>
        <v>0</v>
      </c>
      <c r="C606">
        <f t="shared" si="108"/>
        <v>0</v>
      </c>
      <c r="D606" t="str">
        <f t="shared" si="109"/>
        <v>00</v>
      </c>
      <c r="E606">
        <f t="shared" si="110"/>
        <v>0</v>
      </c>
      <c r="F606">
        <f t="shared" si="111"/>
        <v>0</v>
      </c>
      <c r="G606" s="23" t="str">
        <f t="shared" si="112"/>
        <v>00.000</v>
      </c>
      <c r="H606" s="1" t="str">
        <f t="shared" si="113"/>
        <v>0000.000</v>
      </c>
      <c r="I606">
        <f t="shared" si="114"/>
        <v>0</v>
      </c>
      <c r="J606" t="str">
        <f t="shared" si="115"/>
        <v>000</v>
      </c>
      <c r="K606">
        <f t="shared" si="116"/>
        <v>0</v>
      </c>
      <c r="L606">
        <f t="shared" si="117"/>
        <v>0</v>
      </c>
      <c r="M606" t="str">
        <f t="shared" si="118"/>
        <v>00.000</v>
      </c>
      <c r="N606" s="1" t="str">
        <f t="shared" si="119"/>
        <v>00000.000</v>
      </c>
      <c r="O606" t="str">
        <f>IF('Import OpenCPN'!W607&gt;0,"N","S")</f>
        <v>S</v>
      </c>
      <c r="P606" t="str">
        <f>IF('Import OpenCPN'!X607&gt;0,"E","W")</f>
        <v>W</v>
      </c>
    </row>
    <row r="607" spans="1:16" x14ac:dyDescent="0.2">
      <c r="A607">
        <f>'Import OpenCPN'!W608</f>
        <v>0</v>
      </c>
      <c r="B607">
        <f>'Import OpenCPN'!X608</f>
        <v>0</v>
      </c>
      <c r="C607">
        <f t="shared" si="108"/>
        <v>0</v>
      </c>
      <c r="D607" t="str">
        <f t="shared" si="109"/>
        <v>00</v>
      </c>
      <c r="E607">
        <f t="shared" si="110"/>
        <v>0</v>
      </c>
      <c r="F607">
        <f t="shared" si="111"/>
        <v>0</v>
      </c>
      <c r="G607" s="23" t="str">
        <f t="shared" si="112"/>
        <v>00.000</v>
      </c>
      <c r="H607" s="1" t="str">
        <f t="shared" si="113"/>
        <v>0000.000</v>
      </c>
      <c r="I607">
        <f t="shared" si="114"/>
        <v>0</v>
      </c>
      <c r="J607" t="str">
        <f t="shared" si="115"/>
        <v>000</v>
      </c>
      <c r="K607">
        <f t="shared" si="116"/>
        <v>0</v>
      </c>
      <c r="L607">
        <f t="shared" si="117"/>
        <v>0</v>
      </c>
      <c r="M607" t="str">
        <f t="shared" si="118"/>
        <v>00.000</v>
      </c>
      <c r="N607" s="1" t="str">
        <f t="shared" si="119"/>
        <v>00000.000</v>
      </c>
      <c r="O607" t="str">
        <f>IF('Import OpenCPN'!W608&gt;0,"N","S")</f>
        <v>S</v>
      </c>
      <c r="P607" t="str">
        <f>IF('Import OpenCPN'!X608&gt;0,"E","W")</f>
        <v>W</v>
      </c>
    </row>
    <row r="608" spans="1:16" x14ac:dyDescent="0.2">
      <c r="A608">
        <f>'Import OpenCPN'!W609</f>
        <v>0</v>
      </c>
      <c r="B608">
        <f>'Import OpenCPN'!X609</f>
        <v>0</v>
      </c>
      <c r="C608">
        <f t="shared" si="108"/>
        <v>0</v>
      </c>
      <c r="D608" t="str">
        <f t="shared" si="109"/>
        <v>00</v>
      </c>
      <c r="E608">
        <f t="shared" si="110"/>
        <v>0</v>
      </c>
      <c r="F608">
        <f t="shared" si="111"/>
        <v>0</v>
      </c>
      <c r="G608" s="23" t="str">
        <f t="shared" si="112"/>
        <v>00.000</v>
      </c>
      <c r="H608" s="1" t="str">
        <f t="shared" si="113"/>
        <v>0000.000</v>
      </c>
      <c r="I608">
        <f t="shared" si="114"/>
        <v>0</v>
      </c>
      <c r="J608" t="str">
        <f t="shared" si="115"/>
        <v>000</v>
      </c>
      <c r="K608">
        <f t="shared" si="116"/>
        <v>0</v>
      </c>
      <c r="L608">
        <f t="shared" si="117"/>
        <v>0</v>
      </c>
      <c r="M608" t="str">
        <f t="shared" si="118"/>
        <v>00.000</v>
      </c>
      <c r="N608" s="1" t="str">
        <f t="shared" si="119"/>
        <v>00000.000</v>
      </c>
      <c r="O608" t="str">
        <f>IF('Import OpenCPN'!W609&gt;0,"N","S")</f>
        <v>S</v>
      </c>
      <c r="P608" t="str">
        <f>IF('Import OpenCPN'!X609&gt;0,"E","W")</f>
        <v>W</v>
      </c>
    </row>
    <row r="609" spans="1:16" x14ac:dyDescent="0.2">
      <c r="A609">
        <f>'Import OpenCPN'!W610</f>
        <v>0</v>
      </c>
      <c r="B609">
        <f>'Import OpenCPN'!X610</f>
        <v>0</v>
      </c>
      <c r="C609">
        <f t="shared" si="108"/>
        <v>0</v>
      </c>
      <c r="D609" t="str">
        <f t="shared" si="109"/>
        <v>00</v>
      </c>
      <c r="E609">
        <f t="shared" si="110"/>
        <v>0</v>
      </c>
      <c r="F609">
        <f t="shared" si="111"/>
        <v>0</v>
      </c>
      <c r="G609" s="23" t="str">
        <f t="shared" si="112"/>
        <v>00.000</v>
      </c>
      <c r="H609" s="1" t="str">
        <f t="shared" si="113"/>
        <v>0000.000</v>
      </c>
      <c r="I609">
        <f t="shared" si="114"/>
        <v>0</v>
      </c>
      <c r="J609" t="str">
        <f t="shared" si="115"/>
        <v>000</v>
      </c>
      <c r="K609">
        <f t="shared" si="116"/>
        <v>0</v>
      </c>
      <c r="L609">
        <f t="shared" si="117"/>
        <v>0</v>
      </c>
      <c r="M609" t="str">
        <f t="shared" si="118"/>
        <v>00.000</v>
      </c>
      <c r="N609" s="1" t="str">
        <f t="shared" si="119"/>
        <v>00000.000</v>
      </c>
      <c r="O609" t="str">
        <f>IF('Import OpenCPN'!W610&gt;0,"N","S")</f>
        <v>S</v>
      </c>
      <c r="P609" t="str">
        <f>IF('Import OpenCPN'!X610&gt;0,"E","W")</f>
        <v>W</v>
      </c>
    </row>
    <row r="610" spans="1:16" x14ac:dyDescent="0.2">
      <c r="A610">
        <f>'Import OpenCPN'!W611</f>
        <v>0</v>
      </c>
      <c r="B610">
        <f>'Import OpenCPN'!X611</f>
        <v>0</v>
      </c>
      <c r="C610">
        <f t="shared" si="108"/>
        <v>0</v>
      </c>
      <c r="D610" t="str">
        <f t="shared" si="109"/>
        <v>00</v>
      </c>
      <c r="E610">
        <f t="shared" si="110"/>
        <v>0</v>
      </c>
      <c r="F610">
        <f t="shared" si="111"/>
        <v>0</v>
      </c>
      <c r="G610" s="23" t="str">
        <f t="shared" si="112"/>
        <v>00.000</v>
      </c>
      <c r="H610" s="1" t="str">
        <f t="shared" si="113"/>
        <v>0000.000</v>
      </c>
      <c r="I610">
        <f t="shared" si="114"/>
        <v>0</v>
      </c>
      <c r="J610" t="str">
        <f t="shared" si="115"/>
        <v>000</v>
      </c>
      <c r="K610">
        <f t="shared" si="116"/>
        <v>0</v>
      </c>
      <c r="L610">
        <f t="shared" si="117"/>
        <v>0</v>
      </c>
      <c r="M610" t="str">
        <f t="shared" si="118"/>
        <v>00.000</v>
      </c>
      <c r="N610" s="1" t="str">
        <f t="shared" si="119"/>
        <v>00000.000</v>
      </c>
      <c r="O610" t="str">
        <f>IF('Import OpenCPN'!W611&gt;0,"N","S")</f>
        <v>S</v>
      </c>
      <c r="P610" t="str">
        <f>IF('Import OpenCPN'!X611&gt;0,"E","W")</f>
        <v>W</v>
      </c>
    </row>
    <row r="611" spans="1:16" x14ac:dyDescent="0.2">
      <c r="A611">
        <f>'Import OpenCPN'!W612</f>
        <v>0</v>
      </c>
      <c r="B611">
        <f>'Import OpenCPN'!X612</f>
        <v>0</v>
      </c>
      <c r="C611">
        <f t="shared" si="108"/>
        <v>0</v>
      </c>
      <c r="D611" t="str">
        <f t="shared" si="109"/>
        <v>00</v>
      </c>
      <c r="E611">
        <f t="shared" si="110"/>
        <v>0</v>
      </c>
      <c r="F611">
        <f t="shared" si="111"/>
        <v>0</v>
      </c>
      <c r="G611" s="23" t="str">
        <f t="shared" si="112"/>
        <v>00.000</v>
      </c>
      <c r="H611" s="1" t="str">
        <f t="shared" si="113"/>
        <v>0000.000</v>
      </c>
      <c r="I611">
        <f t="shared" si="114"/>
        <v>0</v>
      </c>
      <c r="J611" t="str">
        <f t="shared" si="115"/>
        <v>000</v>
      </c>
      <c r="K611">
        <f t="shared" si="116"/>
        <v>0</v>
      </c>
      <c r="L611">
        <f t="shared" si="117"/>
        <v>0</v>
      </c>
      <c r="M611" t="str">
        <f t="shared" si="118"/>
        <v>00.000</v>
      </c>
      <c r="N611" s="1" t="str">
        <f t="shared" si="119"/>
        <v>00000.000</v>
      </c>
      <c r="O611" t="str">
        <f>IF('Import OpenCPN'!W612&gt;0,"N","S")</f>
        <v>S</v>
      </c>
      <c r="P611" t="str">
        <f>IF('Import OpenCPN'!X612&gt;0,"E","W")</f>
        <v>W</v>
      </c>
    </row>
    <row r="612" spans="1:16" x14ac:dyDescent="0.2">
      <c r="A612">
        <f>'Import OpenCPN'!W613</f>
        <v>0</v>
      </c>
      <c r="B612">
        <f>'Import OpenCPN'!X613</f>
        <v>0</v>
      </c>
      <c r="C612">
        <f t="shared" si="108"/>
        <v>0</v>
      </c>
      <c r="D612" t="str">
        <f t="shared" si="109"/>
        <v>00</v>
      </c>
      <c r="E612">
        <f t="shared" si="110"/>
        <v>0</v>
      </c>
      <c r="F612">
        <f t="shared" si="111"/>
        <v>0</v>
      </c>
      <c r="G612" s="23" t="str">
        <f t="shared" si="112"/>
        <v>00.000</v>
      </c>
      <c r="H612" s="1" t="str">
        <f t="shared" si="113"/>
        <v>0000.000</v>
      </c>
      <c r="I612">
        <f t="shared" si="114"/>
        <v>0</v>
      </c>
      <c r="J612" t="str">
        <f t="shared" si="115"/>
        <v>000</v>
      </c>
      <c r="K612">
        <f t="shared" si="116"/>
        <v>0</v>
      </c>
      <c r="L612">
        <f t="shared" si="117"/>
        <v>0</v>
      </c>
      <c r="M612" t="str">
        <f t="shared" si="118"/>
        <v>00.000</v>
      </c>
      <c r="N612" s="1" t="str">
        <f t="shared" si="119"/>
        <v>00000.000</v>
      </c>
      <c r="O612" t="str">
        <f>IF('Import OpenCPN'!W613&gt;0,"N","S")</f>
        <v>S</v>
      </c>
      <c r="P612" t="str">
        <f>IF('Import OpenCPN'!X613&gt;0,"E","W")</f>
        <v>W</v>
      </c>
    </row>
    <row r="613" spans="1:16" x14ac:dyDescent="0.2">
      <c r="A613">
        <f>'Import OpenCPN'!W614</f>
        <v>0</v>
      </c>
      <c r="B613">
        <f>'Import OpenCPN'!X614</f>
        <v>0</v>
      </c>
      <c r="C613">
        <f t="shared" si="108"/>
        <v>0</v>
      </c>
      <c r="D613" t="str">
        <f t="shared" si="109"/>
        <v>00</v>
      </c>
      <c r="E613">
        <f t="shared" si="110"/>
        <v>0</v>
      </c>
      <c r="F613">
        <f t="shared" si="111"/>
        <v>0</v>
      </c>
      <c r="G613" s="23" t="str">
        <f t="shared" si="112"/>
        <v>00.000</v>
      </c>
      <c r="H613" s="1" t="str">
        <f t="shared" si="113"/>
        <v>0000.000</v>
      </c>
      <c r="I613">
        <f t="shared" si="114"/>
        <v>0</v>
      </c>
      <c r="J613" t="str">
        <f t="shared" si="115"/>
        <v>000</v>
      </c>
      <c r="K613">
        <f t="shared" si="116"/>
        <v>0</v>
      </c>
      <c r="L613">
        <f t="shared" si="117"/>
        <v>0</v>
      </c>
      <c r="M613" t="str">
        <f t="shared" si="118"/>
        <v>00.000</v>
      </c>
      <c r="N613" s="1" t="str">
        <f t="shared" si="119"/>
        <v>00000.000</v>
      </c>
      <c r="O613" t="str">
        <f>IF('Import OpenCPN'!W614&gt;0,"N","S")</f>
        <v>S</v>
      </c>
      <c r="P613" t="str">
        <f>IF('Import OpenCPN'!X614&gt;0,"E","W")</f>
        <v>W</v>
      </c>
    </row>
    <row r="614" spans="1:16" x14ac:dyDescent="0.2">
      <c r="A614">
        <f>'Import OpenCPN'!W615</f>
        <v>0</v>
      </c>
      <c r="B614">
        <f>'Import OpenCPN'!X615</f>
        <v>0</v>
      </c>
      <c r="C614">
        <f t="shared" si="108"/>
        <v>0</v>
      </c>
      <c r="D614" t="str">
        <f t="shared" si="109"/>
        <v>00</v>
      </c>
      <c r="E614">
        <f t="shared" si="110"/>
        <v>0</v>
      </c>
      <c r="F614">
        <f t="shared" si="111"/>
        <v>0</v>
      </c>
      <c r="G614" s="23" t="str">
        <f t="shared" si="112"/>
        <v>00.000</v>
      </c>
      <c r="H614" s="1" t="str">
        <f t="shared" si="113"/>
        <v>0000.000</v>
      </c>
      <c r="I614">
        <f t="shared" si="114"/>
        <v>0</v>
      </c>
      <c r="J614" t="str">
        <f t="shared" si="115"/>
        <v>000</v>
      </c>
      <c r="K614">
        <f t="shared" si="116"/>
        <v>0</v>
      </c>
      <c r="L614">
        <f t="shared" si="117"/>
        <v>0</v>
      </c>
      <c r="M614" t="str">
        <f t="shared" si="118"/>
        <v>00.000</v>
      </c>
      <c r="N614" s="1" t="str">
        <f t="shared" si="119"/>
        <v>00000.000</v>
      </c>
      <c r="O614" t="str">
        <f>IF('Import OpenCPN'!W615&gt;0,"N","S")</f>
        <v>S</v>
      </c>
      <c r="P614" t="str">
        <f>IF('Import OpenCPN'!X615&gt;0,"E","W")</f>
        <v>W</v>
      </c>
    </row>
    <row r="615" spans="1:16" x14ac:dyDescent="0.2">
      <c r="A615">
        <f>'Import OpenCPN'!W616</f>
        <v>0</v>
      </c>
      <c r="B615">
        <f>'Import OpenCPN'!X616</f>
        <v>0</v>
      </c>
      <c r="C615">
        <f t="shared" si="108"/>
        <v>0</v>
      </c>
      <c r="D615" t="str">
        <f t="shared" si="109"/>
        <v>00</v>
      </c>
      <c r="E615">
        <f t="shared" si="110"/>
        <v>0</v>
      </c>
      <c r="F615">
        <f t="shared" si="111"/>
        <v>0</v>
      </c>
      <c r="G615" s="23" t="str">
        <f t="shared" si="112"/>
        <v>00.000</v>
      </c>
      <c r="H615" s="1" t="str">
        <f t="shared" si="113"/>
        <v>0000.000</v>
      </c>
      <c r="I615">
        <f t="shared" si="114"/>
        <v>0</v>
      </c>
      <c r="J615" t="str">
        <f t="shared" si="115"/>
        <v>000</v>
      </c>
      <c r="K615">
        <f t="shared" si="116"/>
        <v>0</v>
      </c>
      <c r="L615">
        <f t="shared" si="117"/>
        <v>0</v>
      </c>
      <c r="M615" t="str">
        <f t="shared" si="118"/>
        <v>00.000</v>
      </c>
      <c r="N615" s="1" t="str">
        <f t="shared" si="119"/>
        <v>00000.000</v>
      </c>
      <c r="O615" t="str">
        <f>IF('Import OpenCPN'!W616&gt;0,"N","S")</f>
        <v>S</v>
      </c>
      <c r="P615" t="str">
        <f>IF('Import OpenCPN'!X616&gt;0,"E","W")</f>
        <v>W</v>
      </c>
    </row>
    <row r="616" spans="1:16" x14ac:dyDescent="0.2">
      <c r="A616">
        <f>'Import OpenCPN'!W617</f>
        <v>0</v>
      </c>
      <c r="B616">
        <f>'Import OpenCPN'!X617</f>
        <v>0</v>
      </c>
      <c r="C616">
        <f t="shared" si="108"/>
        <v>0</v>
      </c>
      <c r="D616" t="str">
        <f t="shared" si="109"/>
        <v>00</v>
      </c>
      <c r="E616">
        <f t="shared" si="110"/>
        <v>0</v>
      </c>
      <c r="F616">
        <f t="shared" si="111"/>
        <v>0</v>
      </c>
      <c r="G616" s="23" t="str">
        <f t="shared" si="112"/>
        <v>00.000</v>
      </c>
      <c r="H616" s="1" t="str">
        <f t="shared" si="113"/>
        <v>0000.000</v>
      </c>
      <c r="I616">
        <f t="shared" si="114"/>
        <v>0</v>
      </c>
      <c r="J616" t="str">
        <f t="shared" si="115"/>
        <v>000</v>
      </c>
      <c r="K616">
        <f t="shared" si="116"/>
        <v>0</v>
      </c>
      <c r="L616">
        <f t="shared" si="117"/>
        <v>0</v>
      </c>
      <c r="M616" t="str">
        <f t="shared" si="118"/>
        <v>00.000</v>
      </c>
      <c r="N616" s="1" t="str">
        <f t="shared" si="119"/>
        <v>00000.000</v>
      </c>
      <c r="O616" t="str">
        <f>IF('Import OpenCPN'!W617&gt;0,"N","S")</f>
        <v>S</v>
      </c>
      <c r="P616" t="str">
        <f>IF('Import OpenCPN'!X617&gt;0,"E","W")</f>
        <v>W</v>
      </c>
    </row>
    <row r="617" spans="1:16" x14ac:dyDescent="0.2">
      <c r="A617">
        <f>'Import OpenCPN'!W618</f>
        <v>0</v>
      </c>
      <c r="B617">
        <f>'Import OpenCPN'!X618</f>
        <v>0</v>
      </c>
      <c r="C617">
        <f t="shared" si="108"/>
        <v>0</v>
      </c>
      <c r="D617" t="str">
        <f t="shared" si="109"/>
        <v>00</v>
      </c>
      <c r="E617">
        <f t="shared" si="110"/>
        <v>0</v>
      </c>
      <c r="F617">
        <f t="shared" si="111"/>
        <v>0</v>
      </c>
      <c r="G617" s="23" t="str">
        <f t="shared" si="112"/>
        <v>00.000</v>
      </c>
      <c r="H617" s="1" t="str">
        <f t="shared" si="113"/>
        <v>0000.000</v>
      </c>
      <c r="I617">
        <f t="shared" si="114"/>
        <v>0</v>
      </c>
      <c r="J617" t="str">
        <f t="shared" si="115"/>
        <v>000</v>
      </c>
      <c r="K617">
        <f t="shared" si="116"/>
        <v>0</v>
      </c>
      <c r="L617">
        <f t="shared" si="117"/>
        <v>0</v>
      </c>
      <c r="M617" t="str">
        <f t="shared" si="118"/>
        <v>00.000</v>
      </c>
      <c r="N617" s="1" t="str">
        <f t="shared" si="119"/>
        <v>00000.000</v>
      </c>
      <c r="O617" t="str">
        <f>IF('Import OpenCPN'!W618&gt;0,"N","S")</f>
        <v>S</v>
      </c>
      <c r="P617" t="str">
        <f>IF('Import OpenCPN'!X618&gt;0,"E","W")</f>
        <v>W</v>
      </c>
    </row>
    <row r="618" spans="1:16" x14ac:dyDescent="0.2">
      <c r="A618">
        <f>'Import OpenCPN'!W619</f>
        <v>0</v>
      </c>
      <c r="B618">
        <f>'Import OpenCPN'!X619</f>
        <v>0</v>
      </c>
      <c r="C618">
        <f t="shared" si="108"/>
        <v>0</v>
      </c>
      <c r="D618" t="str">
        <f t="shared" si="109"/>
        <v>00</v>
      </c>
      <c r="E618">
        <f t="shared" si="110"/>
        <v>0</v>
      </c>
      <c r="F618">
        <f t="shared" si="111"/>
        <v>0</v>
      </c>
      <c r="G618" s="23" t="str">
        <f t="shared" si="112"/>
        <v>00.000</v>
      </c>
      <c r="H618" s="1" t="str">
        <f t="shared" si="113"/>
        <v>0000.000</v>
      </c>
      <c r="I618">
        <f t="shared" si="114"/>
        <v>0</v>
      </c>
      <c r="J618" t="str">
        <f t="shared" si="115"/>
        <v>000</v>
      </c>
      <c r="K618">
        <f t="shared" si="116"/>
        <v>0</v>
      </c>
      <c r="L618">
        <f t="shared" si="117"/>
        <v>0</v>
      </c>
      <c r="M618" t="str">
        <f t="shared" si="118"/>
        <v>00.000</v>
      </c>
      <c r="N618" s="1" t="str">
        <f t="shared" si="119"/>
        <v>00000.000</v>
      </c>
      <c r="O618" t="str">
        <f>IF('Import OpenCPN'!W619&gt;0,"N","S")</f>
        <v>S</v>
      </c>
      <c r="P618" t="str">
        <f>IF('Import OpenCPN'!X619&gt;0,"E","W")</f>
        <v>W</v>
      </c>
    </row>
    <row r="619" spans="1:16" x14ac:dyDescent="0.2">
      <c r="A619">
        <f>'Import OpenCPN'!W620</f>
        <v>0</v>
      </c>
      <c r="B619">
        <f>'Import OpenCPN'!X620</f>
        <v>0</v>
      </c>
      <c r="C619">
        <f t="shared" si="108"/>
        <v>0</v>
      </c>
      <c r="D619" t="str">
        <f t="shared" si="109"/>
        <v>00</v>
      </c>
      <c r="E619">
        <f t="shared" si="110"/>
        <v>0</v>
      </c>
      <c r="F619">
        <f t="shared" si="111"/>
        <v>0</v>
      </c>
      <c r="G619" s="23" t="str">
        <f t="shared" si="112"/>
        <v>00.000</v>
      </c>
      <c r="H619" s="1" t="str">
        <f t="shared" si="113"/>
        <v>0000.000</v>
      </c>
      <c r="I619">
        <f t="shared" si="114"/>
        <v>0</v>
      </c>
      <c r="J619" t="str">
        <f t="shared" si="115"/>
        <v>000</v>
      </c>
      <c r="K619">
        <f t="shared" si="116"/>
        <v>0</v>
      </c>
      <c r="L619">
        <f t="shared" si="117"/>
        <v>0</v>
      </c>
      <c r="M619" t="str">
        <f t="shared" si="118"/>
        <v>00.000</v>
      </c>
      <c r="N619" s="1" t="str">
        <f t="shared" si="119"/>
        <v>00000.000</v>
      </c>
      <c r="O619" t="str">
        <f>IF('Import OpenCPN'!W620&gt;0,"N","S")</f>
        <v>S</v>
      </c>
      <c r="P619" t="str">
        <f>IF('Import OpenCPN'!X620&gt;0,"E","W")</f>
        <v>W</v>
      </c>
    </row>
    <row r="620" spans="1:16" x14ac:dyDescent="0.2">
      <c r="A620">
        <f>'Import OpenCPN'!W621</f>
        <v>0</v>
      </c>
      <c r="B620">
        <f>'Import OpenCPN'!X621</f>
        <v>0</v>
      </c>
      <c r="C620">
        <f t="shared" si="108"/>
        <v>0</v>
      </c>
      <c r="D620" t="str">
        <f t="shared" si="109"/>
        <v>00</v>
      </c>
      <c r="E620">
        <f t="shared" si="110"/>
        <v>0</v>
      </c>
      <c r="F620">
        <f t="shared" si="111"/>
        <v>0</v>
      </c>
      <c r="G620" s="23" t="str">
        <f t="shared" si="112"/>
        <v>00.000</v>
      </c>
      <c r="H620" s="1" t="str">
        <f t="shared" si="113"/>
        <v>0000.000</v>
      </c>
      <c r="I620">
        <f t="shared" si="114"/>
        <v>0</v>
      </c>
      <c r="J620" t="str">
        <f t="shared" si="115"/>
        <v>000</v>
      </c>
      <c r="K620">
        <f t="shared" si="116"/>
        <v>0</v>
      </c>
      <c r="L620">
        <f t="shared" si="117"/>
        <v>0</v>
      </c>
      <c r="M620" t="str">
        <f t="shared" si="118"/>
        <v>00.000</v>
      </c>
      <c r="N620" s="1" t="str">
        <f t="shared" si="119"/>
        <v>00000.000</v>
      </c>
      <c r="O620" t="str">
        <f>IF('Import OpenCPN'!W621&gt;0,"N","S")</f>
        <v>S</v>
      </c>
      <c r="P620" t="str">
        <f>IF('Import OpenCPN'!X621&gt;0,"E","W")</f>
        <v>W</v>
      </c>
    </row>
    <row r="621" spans="1:16" x14ac:dyDescent="0.2">
      <c r="A621">
        <f>'Import OpenCPN'!W622</f>
        <v>0</v>
      </c>
      <c r="B621">
        <f>'Import OpenCPN'!X622</f>
        <v>0</v>
      </c>
      <c r="C621">
        <f t="shared" si="108"/>
        <v>0</v>
      </c>
      <c r="D621" t="str">
        <f t="shared" si="109"/>
        <v>00</v>
      </c>
      <c r="E621">
        <f t="shared" si="110"/>
        <v>0</v>
      </c>
      <c r="F621">
        <f t="shared" si="111"/>
        <v>0</v>
      </c>
      <c r="G621" s="23" t="str">
        <f t="shared" si="112"/>
        <v>00.000</v>
      </c>
      <c r="H621" s="1" t="str">
        <f t="shared" si="113"/>
        <v>0000.000</v>
      </c>
      <c r="I621">
        <f t="shared" si="114"/>
        <v>0</v>
      </c>
      <c r="J621" t="str">
        <f t="shared" si="115"/>
        <v>000</v>
      </c>
      <c r="K621">
        <f t="shared" si="116"/>
        <v>0</v>
      </c>
      <c r="L621">
        <f t="shared" si="117"/>
        <v>0</v>
      </c>
      <c r="M621" t="str">
        <f t="shared" si="118"/>
        <v>00.000</v>
      </c>
      <c r="N621" s="1" t="str">
        <f t="shared" si="119"/>
        <v>00000.000</v>
      </c>
      <c r="O621" t="str">
        <f>IF('Import OpenCPN'!W622&gt;0,"N","S")</f>
        <v>S</v>
      </c>
      <c r="P621" t="str">
        <f>IF('Import OpenCPN'!X622&gt;0,"E","W")</f>
        <v>W</v>
      </c>
    </row>
    <row r="622" spans="1:16" x14ac:dyDescent="0.2">
      <c r="A622">
        <f>'Import OpenCPN'!W623</f>
        <v>0</v>
      </c>
      <c r="B622">
        <f>'Import OpenCPN'!X623</f>
        <v>0</v>
      </c>
      <c r="C622">
        <f t="shared" si="108"/>
        <v>0</v>
      </c>
      <c r="D622" t="str">
        <f t="shared" si="109"/>
        <v>00</v>
      </c>
      <c r="E622">
        <f t="shared" si="110"/>
        <v>0</v>
      </c>
      <c r="F622">
        <f t="shared" si="111"/>
        <v>0</v>
      </c>
      <c r="G622" s="23" t="str">
        <f t="shared" si="112"/>
        <v>00.000</v>
      </c>
      <c r="H622" s="1" t="str">
        <f t="shared" si="113"/>
        <v>0000.000</v>
      </c>
      <c r="I622">
        <f t="shared" si="114"/>
        <v>0</v>
      </c>
      <c r="J622" t="str">
        <f t="shared" si="115"/>
        <v>000</v>
      </c>
      <c r="K622">
        <f t="shared" si="116"/>
        <v>0</v>
      </c>
      <c r="L622">
        <f t="shared" si="117"/>
        <v>0</v>
      </c>
      <c r="M622" t="str">
        <f t="shared" si="118"/>
        <v>00.000</v>
      </c>
      <c r="N622" s="1" t="str">
        <f t="shared" si="119"/>
        <v>00000.000</v>
      </c>
      <c r="O622" t="str">
        <f>IF('Import OpenCPN'!W623&gt;0,"N","S")</f>
        <v>S</v>
      </c>
      <c r="P622" t="str">
        <f>IF('Import OpenCPN'!X623&gt;0,"E","W")</f>
        <v>W</v>
      </c>
    </row>
    <row r="623" spans="1:16" x14ac:dyDescent="0.2">
      <c r="A623">
        <f>'Import OpenCPN'!W624</f>
        <v>0</v>
      </c>
      <c r="B623">
        <f>'Import OpenCPN'!X624</f>
        <v>0</v>
      </c>
      <c r="C623">
        <f t="shared" si="108"/>
        <v>0</v>
      </c>
      <c r="D623" t="str">
        <f t="shared" si="109"/>
        <v>00</v>
      </c>
      <c r="E623">
        <f t="shared" si="110"/>
        <v>0</v>
      </c>
      <c r="F623">
        <f t="shared" si="111"/>
        <v>0</v>
      </c>
      <c r="G623" s="23" t="str">
        <f t="shared" si="112"/>
        <v>00.000</v>
      </c>
      <c r="H623" s="1" t="str">
        <f t="shared" si="113"/>
        <v>0000.000</v>
      </c>
      <c r="I623">
        <f t="shared" si="114"/>
        <v>0</v>
      </c>
      <c r="J623" t="str">
        <f t="shared" si="115"/>
        <v>000</v>
      </c>
      <c r="K623">
        <f t="shared" si="116"/>
        <v>0</v>
      </c>
      <c r="L623">
        <f t="shared" si="117"/>
        <v>0</v>
      </c>
      <c r="M623" t="str">
        <f t="shared" si="118"/>
        <v>00.000</v>
      </c>
      <c r="N623" s="1" t="str">
        <f t="shared" si="119"/>
        <v>00000.000</v>
      </c>
      <c r="O623" t="str">
        <f>IF('Import OpenCPN'!W624&gt;0,"N","S")</f>
        <v>S</v>
      </c>
      <c r="P623" t="str">
        <f>IF('Import OpenCPN'!X624&gt;0,"E","W")</f>
        <v>W</v>
      </c>
    </row>
    <row r="624" spans="1:16" x14ac:dyDescent="0.2">
      <c r="A624">
        <f>'Import OpenCPN'!W625</f>
        <v>0</v>
      </c>
      <c r="B624">
        <f>'Import OpenCPN'!X625</f>
        <v>0</v>
      </c>
      <c r="C624">
        <f t="shared" si="108"/>
        <v>0</v>
      </c>
      <c r="D624" t="str">
        <f t="shared" si="109"/>
        <v>00</v>
      </c>
      <c r="E624">
        <f t="shared" si="110"/>
        <v>0</v>
      </c>
      <c r="F624">
        <f t="shared" si="111"/>
        <v>0</v>
      </c>
      <c r="G624" s="23" t="str">
        <f t="shared" si="112"/>
        <v>00.000</v>
      </c>
      <c r="H624" s="1" t="str">
        <f t="shared" si="113"/>
        <v>0000.000</v>
      </c>
      <c r="I624">
        <f t="shared" si="114"/>
        <v>0</v>
      </c>
      <c r="J624" t="str">
        <f t="shared" si="115"/>
        <v>000</v>
      </c>
      <c r="K624">
        <f t="shared" si="116"/>
        <v>0</v>
      </c>
      <c r="L624">
        <f t="shared" si="117"/>
        <v>0</v>
      </c>
      <c r="M624" t="str">
        <f t="shared" si="118"/>
        <v>00.000</v>
      </c>
      <c r="N624" s="1" t="str">
        <f t="shared" si="119"/>
        <v>00000.000</v>
      </c>
      <c r="O624" t="str">
        <f>IF('Import OpenCPN'!W625&gt;0,"N","S")</f>
        <v>S</v>
      </c>
      <c r="P624" t="str">
        <f>IF('Import OpenCPN'!X625&gt;0,"E","W")</f>
        <v>W</v>
      </c>
    </row>
    <row r="625" spans="1:16" x14ac:dyDescent="0.2">
      <c r="A625">
        <f>'Import OpenCPN'!W626</f>
        <v>0</v>
      </c>
      <c r="B625">
        <f>'Import OpenCPN'!X626</f>
        <v>0</v>
      </c>
      <c r="C625">
        <f t="shared" si="108"/>
        <v>0</v>
      </c>
      <c r="D625" t="str">
        <f t="shared" si="109"/>
        <v>00</v>
      </c>
      <c r="E625">
        <f t="shared" si="110"/>
        <v>0</v>
      </c>
      <c r="F625">
        <f t="shared" si="111"/>
        <v>0</v>
      </c>
      <c r="G625" s="23" t="str">
        <f t="shared" si="112"/>
        <v>00.000</v>
      </c>
      <c r="H625" s="1" t="str">
        <f t="shared" si="113"/>
        <v>0000.000</v>
      </c>
      <c r="I625">
        <f t="shared" si="114"/>
        <v>0</v>
      </c>
      <c r="J625" t="str">
        <f t="shared" si="115"/>
        <v>000</v>
      </c>
      <c r="K625">
        <f t="shared" si="116"/>
        <v>0</v>
      </c>
      <c r="L625">
        <f t="shared" si="117"/>
        <v>0</v>
      </c>
      <c r="M625" t="str">
        <f t="shared" si="118"/>
        <v>00.000</v>
      </c>
      <c r="N625" s="1" t="str">
        <f t="shared" si="119"/>
        <v>00000.000</v>
      </c>
      <c r="O625" t="str">
        <f>IF('Import OpenCPN'!W626&gt;0,"N","S")</f>
        <v>S</v>
      </c>
      <c r="P625" t="str">
        <f>IF('Import OpenCPN'!X626&gt;0,"E","W")</f>
        <v>W</v>
      </c>
    </row>
    <row r="626" spans="1:16" x14ac:dyDescent="0.2">
      <c r="A626">
        <f>'Import OpenCPN'!W627</f>
        <v>0</v>
      </c>
      <c r="B626">
        <f>'Import OpenCPN'!X627</f>
        <v>0</v>
      </c>
      <c r="C626">
        <f t="shared" si="108"/>
        <v>0</v>
      </c>
      <c r="D626" t="str">
        <f t="shared" si="109"/>
        <v>00</v>
      </c>
      <c r="E626">
        <f t="shared" si="110"/>
        <v>0</v>
      </c>
      <c r="F626">
        <f t="shared" si="111"/>
        <v>0</v>
      </c>
      <c r="G626" s="23" t="str">
        <f t="shared" si="112"/>
        <v>00.000</v>
      </c>
      <c r="H626" s="1" t="str">
        <f t="shared" si="113"/>
        <v>0000.000</v>
      </c>
      <c r="I626">
        <f t="shared" si="114"/>
        <v>0</v>
      </c>
      <c r="J626" t="str">
        <f t="shared" si="115"/>
        <v>000</v>
      </c>
      <c r="K626">
        <f t="shared" si="116"/>
        <v>0</v>
      </c>
      <c r="L626">
        <f t="shared" si="117"/>
        <v>0</v>
      </c>
      <c r="M626" t="str">
        <f t="shared" si="118"/>
        <v>00.000</v>
      </c>
      <c r="N626" s="1" t="str">
        <f t="shared" si="119"/>
        <v>00000.000</v>
      </c>
      <c r="O626" t="str">
        <f>IF('Import OpenCPN'!W627&gt;0,"N","S")</f>
        <v>S</v>
      </c>
      <c r="P626" t="str">
        <f>IF('Import OpenCPN'!X627&gt;0,"E","W")</f>
        <v>W</v>
      </c>
    </row>
    <row r="627" spans="1:16" x14ac:dyDescent="0.2">
      <c r="A627">
        <f>'Import OpenCPN'!W628</f>
        <v>0</v>
      </c>
      <c r="B627">
        <f>'Import OpenCPN'!X628</f>
        <v>0</v>
      </c>
      <c r="C627">
        <f t="shared" si="108"/>
        <v>0</v>
      </c>
      <c r="D627" t="str">
        <f t="shared" si="109"/>
        <v>00</v>
      </c>
      <c r="E627">
        <f t="shared" si="110"/>
        <v>0</v>
      </c>
      <c r="F627">
        <f t="shared" si="111"/>
        <v>0</v>
      </c>
      <c r="G627" s="23" t="str">
        <f t="shared" si="112"/>
        <v>00.000</v>
      </c>
      <c r="H627" s="1" t="str">
        <f t="shared" si="113"/>
        <v>0000.000</v>
      </c>
      <c r="I627">
        <f t="shared" si="114"/>
        <v>0</v>
      </c>
      <c r="J627" t="str">
        <f t="shared" si="115"/>
        <v>000</v>
      </c>
      <c r="K627">
        <f t="shared" si="116"/>
        <v>0</v>
      </c>
      <c r="L627">
        <f t="shared" si="117"/>
        <v>0</v>
      </c>
      <c r="M627" t="str">
        <f t="shared" si="118"/>
        <v>00.000</v>
      </c>
      <c r="N627" s="1" t="str">
        <f t="shared" si="119"/>
        <v>00000.000</v>
      </c>
      <c r="O627" t="str">
        <f>IF('Import OpenCPN'!W628&gt;0,"N","S")</f>
        <v>S</v>
      </c>
      <c r="P627" t="str">
        <f>IF('Import OpenCPN'!X628&gt;0,"E","W")</f>
        <v>W</v>
      </c>
    </row>
    <row r="628" spans="1:16" x14ac:dyDescent="0.2">
      <c r="A628">
        <f>'Import OpenCPN'!W629</f>
        <v>0</v>
      </c>
      <c r="B628">
        <f>'Import OpenCPN'!X629</f>
        <v>0</v>
      </c>
      <c r="C628">
        <f t="shared" si="108"/>
        <v>0</v>
      </c>
      <c r="D628" t="str">
        <f t="shared" si="109"/>
        <v>00</v>
      </c>
      <c r="E628">
        <f t="shared" si="110"/>
        <v>0</v>
      </c>
      <c r="F628">
        <f t="shared" si="111"/>
        <v>0</v>
      </c>
      <c r="G628" s="23" t="str">
        <f t="shared" si="112"/>
        <v>00.000</v>
      </c>
      <c r="H628" s="1" t="str">
        <f t="shared" si="113"/>
        <v>0000.000</v>
      </c>
      <c r="I628">
        <f t="shared" si="114"/>
        <v>0</v>
      </c>
      <c r="J628" t="str">
        <f t="shared" si="115"/>
        <v>000</v>
      </c>
      <c r="K628">
        <f t="shared" si="116"/>
        <v>0</v>
      </c>
      <c r="L628">
        <f t="shared" si="117"/>
        <v>0</v>
      </c>
      <c r="M628" t="str">
        <f t="shared" si="118"/>
        <v>00.000</v>
      </c>
      <c r="N628" s="1" t="str">
        <f t="shared" si="119"/>
        <v>00000.000</v>
      </c>
      <c r="O628" t="str">
        <f>IF('Import OpenCPN'!W629&gt;0,"N","S")</f>
        <v>S</v>
      </c>
      <c r="P628" t="str">
        <f>IF('Import OpenCPN'!X629&gt;0,"E","W")</f>
        <v>W</v>
      </c>
    </row>
    <row r="629" spans="1:16" x14ac:dyDescent="0.2">
      <c r="A629">
        <f>'Import OpenCPN'!W630</f>
        <v>0</v>
      </c>
      <c r="B629">
        <f>'Import OpenCPN'!X630</f>
        <v>0</v>
      </c>
      <c r="C629">
        <f t="shared" si="108"/>
        <v>0</v>
      </c>
      <c r="D629" t="str">
        <f t="shared" si="109"/>
        <v>00</v>
      </c>
      <c r="E629">
        <f t="shared" si="110"/>
        <v>0</v>
      </c>
      <c r="F629">
        <f t="shared" si="111"/>
        <v>0</v>
      </c>
      <c r="G629" s="23" t="str">
        <f t="shared" si="112"/>
        <v>00.000</v>
      </c>
      <c r="H629" s="1" t="str">
        <f t="shared" si="113"/>
        <v>0000.000</v>
      </c>
      <c r="I629">
        <f t="shared" si="114"/>
        <v>0</v>
      </c>
      <c r="J629" t="str">
        <f t="shared" si="115"/>
        <v>000</v>
      </c>
      <c r="K629">
        <f t="shared" si="116"/>
        <v>0</v>
      </c>
      <c r="L629">
        <f t="shared" si="117"/>
        <v>0</v>
      </c>
      <c r="M629" t="str">
        <f t="shared" si="118"/>
        <v>00.000</v>
      </c>
      <c r="N629" s="1" t="str">
        <f t="shared" si="119"/>
        <v>00000.000</v>
      </c>
      <c r="O629" t="str">
        <f>IF('Import OpenCPN'!W630&gt;0,"N","S")</f>
        <v>S</v>
      </c>
      <c r="P629" t="str">
        <f>IF('Import OpenCPN'!X630&gt;0,"E","W")</f>
        <v>W</v>
      </c>
    </row>
    <row r="630" spans="1:16" x14ac:dyDescent="0.2">
      <c r="A630">
        <f>'Import OpenCPN'!W631</f>
        <v>0</v>
      </c>
      <c r="B630">
        <f>'Import OpenCPN'!X631</f>
        <v>0</v>
      </c>
      <c r="C630">
        <f t="shared" si="108"/>
        <v>0</v>
      </c>
      <c r="D630" t="str">
        <f t="shared" si="109"/>
        <v>00</v>
      </c>
      <c r="E630">
        <f t="shared" si="110"/>
        <v>0</v>
      </c>
      <c r="F630">
        <f t="shared" si="111"/>
        <v>0</v>
      </c>
      <c r="G630" s="23" t="str">
        <f t="shared" si="112"/>
        <v>00.000</v>
      </c>
      <c r="H630" s="1" t="str">
        <f t="shared" si="113"/>
        <v>0000.000</v>
      </c>
      <c r="I630">
        <f t="shared" si="114"/>
        <v>0</v>
      </c>
      <c r="J630" t="str">
        <f t="shared" si="115"/>
        <v>000</v>
      </c>
      <c r="K630">
        <f t="shared" si="116"/>
        <v>0</v>
      </c>
      <c r="L630">
        <f t="shared" si="117"/>
        <v>0</v>
      </c>
      <c r="M630" t="str">
        <f t="shared" si="118"/>
        <v>00.000</v>
      </c>
      <c r="N630" s="1" t="str">
        <f t="shared" si="119"/>
        <v>00000.000</v>
      </c>
      <c r="O630" t="str">
        <f>IF('Import OpenCPN'!W631&gt;0,"N","S")</f>
        <v>S</v>
      </c>
      <c r="P630" t="str">
        <f>IF('Import OpenCPN'!X631&gt;0,"E","W")</f>
        <v>W</v>
      </c>
    </row>
    <row r="631" spans="1:16" x14ac:dyDescent="0.2">
      <c r="A631">
        <f>'Import OpenCPN'!W632</f>
        <v>0</v>
      </c>
      <c r="B631">
        <f>'Import OpenCPN'!X632</f>
        <v>0</v>
      </c>
      <c r="C631">
        <f t="shared" si="108"/>
        <v>0</v>
      </c>
      <c r="D631" t="str">
        <f t="shared" si="109"/>
        <v>00</v>
      </c>
      <c r="E631">
        <f t="shared" si="110"/>
        <v>0</v>
      </c>
      <c r="F631">
        <f t="shared" si="111"/>
        <v>0</v>
      </c>
      <c r="G631" s="23" t="str">
        <f t="shared" si="112"/>
        <v>00.000</v>
      </c>
      <c r="H631" s="1" t="str">
        <f t="shared" si="113"/>
        <v>0000.000</v>
      </c>
      <c r="I631">
        <f t="shared" si="114"/>
        <v>0</v>
      </c>
      <c r="J631" t="str">
        <f t="shared" si="115"/>
        <v>000</v>
      </c>
      <c r="K631">
        <f t="shared" si="116"/>
        <v>0</v>
      </c>
      <c r="L631">
        <f t="shared" si="117"/>
        <v>0</v>
      </c>
      <c r="M631" t="str">
        <f t="shared" si="118"/>
        <v>00.000</v>
      </c>
      <c r="N631" s="1" t="str">
        <f t="shared" si="119"/>
        <v>00000.000</v>
      </c>
      <c r="O631" t="str">
        <f>IF('Import OpenCPN'!W632&gt;0,"N","S")</f>
        <v>S</v>
      </c>
      <c r="P631" t="str">
        <f>IF('Import OpenCPN'!X632&gt;0,"E","W")</f>
        <v>W</v>
      </c>
    </row>
    <row r="632" spans="1:16" x14ac:dyDescent="0.2">
      <c r="A632">
        <f>'Import OpenCPN'!W633</f>
        <v>0</v>
      </c>
      <c r="B632">
        <f>'Import OpenCPN'!X633</f>
        <v>0</v>
      </c>
      <c r="C632">
        <f t="shared" si="108"/>
        <v>0</v>
      </c>
      <c r="D632" t="str">
        <f t="shared" si="109"/>
        <v>00</v>
      </c>
      <c r="E632">
        <f t="shared" si="110"/>
        <v>0</v>
      </c>
      <c r="F632">
        <f t="shared" si="111"/>
        <v>0</v>
      </c>
      <c r="G632" s="23" t="str">
        <f t="shared" si="112"/>
        <v>00.000</v>
      </c>
      <c r="H632" s="1" t="str">
        <f t="shared" si="113"/>
        <v>0000.000</v>
      </c>
      <c r="I632">
        <f t="shared" si="114"/>
        <v>0</v>
      </c>
      <c r="J632" t="str">
        <f t="shared" si="115"/>
        <v>000</v>
      </c>
      <c r="K632">
        <f t="shared" si="116"/>
        <v>0</v>
      </c>
      <c r="L632">
        <f t="shared" si="117"/>
        <v>0</v>
      </c>
      <c r="M632" t="str">
        <f t="shared" si="118"/>
        <v>00.000</v>
      </c>
      <c r="N632" s="1" t="str">
        <f t="shared" si="119"/>
        <v>00000.000</v>
      </c>
      <c r="O632" t="str">
        <f>IF('Import OpenCPN'!W633&gt;0,"N","S")</f>
        <v>S</v>
      </c>
      <c r="P632" t="str">
        <f>IF('Import OpenCPN'!X633&gt;0,"E","W")</f>
        <v>W</v>
      </c>
    </row>
    <row r="633" spans="1:16" x14ac:dyDescent="0.2">
      <c r="A633">
        <f>'Import OpenCPN'!W634</f>
        <v>0</v>
      </c>
      <c r="B633">
        <f>'Import OpenCPN'!X634</f>
        <v>0</v>
      </c>
      <c r="C633">
        <f t="shared" si="108"/>
        <v>0</v>
      </c>
      <c r="D633" t="str">
        <f t="shared" si="109"/>
        <v>00</v>
      </c>
      <c r="E633">
        <f t="shared" si="110"/>
        <v>0</v>
      </c>
      <c r="F633">
        <f t="shared" si="111"/>
        <v>0</v>
      </c>
      <c r="G633" s="23" t="str">
        <f t="shared" si="112"/>
        <v>00.000</v>
      </c>
      <c r="H633" s="1" t="str">
        <f t="shared" si="113"/>
        <v>0000.000</v>
      </c>
      <c r="I633">
        <f t="shared" si="114"/>
        <v>0</v>
      </c>
      <c r="J633" t="str">
        <f t="shared" si="115"/>
        <v>000</v>
      </c>
      <c r="K633">
        <f t="shared" si="116"/>
        <v>0</v>
      </c>
      <c r="L633">
        <f t="shared" si="117"/>
        <v>0</v>
      </c>
      <c r="M633" t="str">
        <f t="shared" si="118"/>
        <v>00.000</v>
      </c>
      <c r="N633" s="1" t="str">
        <f t="shared" si="119"/>
        <v>00000.000</v>
      </c>
      <c r="O633" t="str">
        <f>IF('Import OpenCPN'!W634&gt;0,"N","S")</f>
        <v>S</v>
      </c>
      <c r="P633" t="str">
        <f>IF('Import OpenCPN'!X634&gt;0,"E","W")</f>
        <v>W</v>
      </c>
    </row>
    <row r="634" spans="1:16" x14ac:dyDescent="0.2">
      <c r="A634">
        <f>'Import OpenCPN'!W635</f>
        <v>0</v>
      </c>
      <c r="B634">
        <f>'Import OpenCPN'!X635</f>
        <v>0</v>
      </c>
      <c r="C634">
        <f t="shared" si="108"/>
        <v>0</v>
      </c>
      <c r="D634" t="str">
        <f t="shared" si="109"/>
        <v>00</v>
      </c>
      <c r="E634">
        <f t="shared" si="110"/>
        <v>0</v>
      </c>
      <c r="F634">
        <f t="shared" si="111"/>
        <v>0</v>
      </c>
      <c r="G634" s="23" t="str">
        <f t="shared" si="112"/>
        <v>00.000</v>
      </c>
      <c r="H634" s="1" t="str">
        <f t="shared" si="113"/>
        <v>0000.000</v>
      </c>
      <c r="I634">
        <f t="shared" si="114"/>
        <v>0</v>
      </c>
      <c r="J634" t="str">
        <f t="shared" si="115"/>
        <v>000</v>
      </c>
      <c r="K634">
        <f t="shared" si="116"/>
        <v>0</v>
      </c>
      <c r="L634">
        <f t="shared" si="117"/>
        <v>0</v>
      </c>
      <c r="M634" t="str">
        <f t="shared" si="118"/>
        <v>00.000</v>
      </c>
      <c r="N634" s="1" t="str">
        <f t="shared" si="119"/>
        <v>00000.000</v>
      </c>
      <c r="O634" t="str">
        <f>IF('Import OpenCPN'!W635&gt;0,"N","S")</f>
        <v>S</v>
      </c>
      <c r="P634" t="str">
        <f>IF('Import OpenCPN'!X635&gt;0,"E","W")</f>
        <v>W</v>
      </c>
    </row>
    <row r="635" spans="1:16" x14ac:dyDescent="0.2">
      <c r="A635">
        <f>'Import OpenCPN'!W636</f>
        <v>0</v>
      </c>
      <c r="B635">
        <f>'Import OpenCPN'!X636</f>
        <v>0</v>
      </c>
      <c r="C635">
        <f t="shared" si="108"/>
        <v>0</v>
      </c>
      <c r="D635" t="str">
        <f t="shared" si="109"/>
        <v>00</v>
      </c>
      <c r="E635">
        <f t="shared" si="110"/>
        <v>0</v>
      </c>
      <c r="F635">
        <f t="shared" si="111"/>
        <v>0</v>
      </c>
      <c r="G635" s="23" t="str">
        <f t="shared" si="112"/>
        <v>00.000</v>
      </c>
      <c r="H635" s="1" t="str">
        <f t="shared" si="113"/>
        <v>0000.000</v>
      </c>
      <c r="I635">
        <f t="shared" si="114"/>
        <v>0</v>
      </c>
      <c r="J635" t="str">
        <f t="shared" si="115"/>
        <v>000</v>
      </c>
      <c r="K635">
        <f t="shared" si="116"/>
        <v>0</v>
      </c>
      <c r="L635">
        <f t="shared" si="117"/>
        <v>0</v>
      </c>
      <c r="M635" t="str">
        <f t="shared" si="118"/>
        <v>00.000</v>
      </c>
      <c r="N635" s="1" t="str">
        <f t="shared" si="119"/>
        <v>00000.000</v>
      </c>
      <c r="O635" t="str">
        <f>IF('Import OpenCPN'!W636&gt;0,"N","S")</f>
        <v>S</v>
      </c>
      <c r="P635" t="str">
        <f>IF('Import OpenCPN'!X636&gt;0,"E","W")</f>
        <v>W</v>
      </c>
    </row>
    <row r="636" spans="1:16" x14ac:dyDescent="0.2">
      <c r="A636">
        <f>'Import OpenCPN'!W637</f>
        <v>0</v>
      </c>
      <c r="B636">
        <f>'Import OpenCPN'!X637</f>
        <v>0</v>
      </c>
      <c r="C636">
        <f t="shared" si="108"/>
        <v>0</v>
      </c>
      <c r="D636" t="str">
        <f t="shared" si="109"/>
        <v>00</v>
      </c>
      <c r="E636">
        <f t="shared" si="110"/>
        <v>0</v>
      </c>
      <c r="F636">
        <f t="shared" si="111"/>
        <v>0</v>
      </c>
      <c r="G636" s="23" t="str">
        <f t="shared" si="112"/>
        <v>00.000</v>
      </c>
      <c r="H636" s="1" t="str">
        <f t="shared" si="113"/>
        <v>0000.000</v>
      </c>
      <c r="I636">
        <f t="shared" si="114"/>
        <v>0</v>
      </c>
      <c r="J636" t="str">
        <f t="shared" si="115"/>
        <v>000</v>
      </c>
      <c r="K636">
        <f t="shared" si="116"/>
        <v>0</v>
      </c>
      <c r="L636">
        <f t="shared" si="117"/>
        <v>0</v>
      </c>
      <c r="M636" t="str">
        <f t="shared" si="118"/>
        <v>00.000</v>
      </c>
      <c r="N636" s="1" t="str">
        <f t="shared" si="119"/>
        <v>00000.000</v>
      </c>
      <c r="O636" t="str">
        <f>IF('Import OpenCPN'!W637&gt;0,"N","S")</f>
        <v>S</v>
      </c>
      <c r="P636" t="str">
        <f>IF('Import OpenCPN'!X637&gt;0,"E","W")</f>
        <v>W</v>
      </c>
    </row>
    <row r="637" spans="1:16" x14ac:dyDescent="0.2">
      <c r="A637">
        <f>'Import OpenCPN'!W638</f>
        <v>0</v>
      </c>
      <c r="B637">
        <f>'Import OpenCPN'!X638</f>
        <v>0</v>
      </c>
      <c r="C637">
        <f t="shared" si="108"/>
        <v>0</v>
      </c>
      <c r="D637" t="str">
        <f t="shared" si="109"/>
        <v>00</v>
      </c>
      <c r="E637">
        <f t="shared" si="110"/>
        <v>0</v>
      </c>
      <c r="F637">
        <f t="shared" si="111"/>
        <v>0</v>
      </c>
      <c r="G637" s="23" t="str">
        <f t="shared" si="112"/>
        <v>00.000</v>
      </c>
      <c r="H637" s="1" t="str">
        <f t="shared" si="113"/>
        <v>0000.000</v>
      </c>
      <c r="I637">
        <f t="shared" si="114"/>
        <v>0</v>
      </c>
      <c r="J637" t="str">
        <f t="shared" si="115"/>
        <v>000</v>
      </c>
      <c r="K637">
        <f t="shared" si="116"/>
        <v>0</v>
      </c>
      <c r="L637">
        <f t="shared" si="117"/>
        <v>0</v>
      </c>
      <c r="M637" t="str">
        <f t="shared" si="118"/>
        <v>00.000</v>
      </c>
      <c r="N637" s="1" t="str">
        <f t="shared" si="119"/>
        <v>00000.000</v>
      </c>
      <c r="O637" t="str">
        <f>IF('Import OpenCPN'!W638&gt;0,"N","S")</f>
        <v>S</v>
      </c>
      <c r="P637" t="str">
        <f>IF('Import OpenCPN'!X638&gt;0,"E","W")</f>
        <v>W</v>
      </c>
    </row>
    <row r="638" spans="1:16" x14ac:dyDescent="0.2">
      <c r="A638">
        <f>'Import OpenCPN'!W639</f>
        <v>0</v>
      </c>
      <c r="B638">
        <f>'Import OpenCPN'!X639</f>
        <v>0</v>
      </c>
      <c r="C638">
        <f t="shared" si="108"/>
        <v>0</v>
      </c>
      <c r="D638" t="str">
        <f t="shared" si="109"/>
        <v>00</v>
      </c>
      <c r="E638">
        <f t="shared" si="110"/>
        <v>0</v>
      </c>
      <c r="F638">
        <f t="shared" si="111"/>
        <v>0</v>
      </c>
      <c r="G638" s="23" t="str">
        <f t="shared" si="112"/>
        <v>00.000</v>
      </c>
      <c r="H638" s="1" t="str">
        <f t="shared" si="113"/>
        <v>0000.000</v>
      </c>
      <c r="I638">
        <f t="shared" si="114"/>
        <v>0</v>
      </c>
      <c r="J638" t="str">
        <f t="shared" si="115"/>
        <v>000</v>
      </c>
      <c r="K638">
        <f t="shared" si="116"/>
        <v>0</v>
      </c>
      <c r="L638">
        <f t="shared" si="117"/>
        <v>0</v>
      </c>
      <c r="M638" t="str">
        <f t="shared" si="118"/>
        <v>00.000</v>
      </c>
      <c r="N638" s="1" t="str">
        <f t="shared" si="119"/>
        <v>00000.000</v>
      </c>
      <c r="O638" t="str">
        <f>IF('Import OpenCPN'!W639&gt;0,"N","S")</f>
        <v>S</v>
      </c>
      <c r="P638" t="str">
        <f>IF('Import OpenCPN'!X639&gt;0,"E","W")</f>
        <v>W</v>
      </c>
    </row>
    <row r="639" spans="1:16" x14ac:dyDescent="0.2">
      <c r="A639">
        <f>'Import OpenCPN'!W640</f>
        <v>0</v>
      </c>
      <c r="B639">
        <f>'Import OpenCPN'!X640</f>
        <v>0</v>
      </c>
      <c r="C639">
        <f t="shared" si="108"/>
        <v>0</v>
      </c>
      <c r="D639" t="str">
        <f t="shared" si="109"/>
        <v>00</v>
      </c>
      <c r="E639">
        <f t="shared" si="110"/>
        <v>0</v>
      </c>
      <c r="F639">
        <f t="shared" si="111"/>
        <v>0</v>
      </c>
      <c r="G639" s="23" t="str">
        <f t="shared" si="112"/>
        <v>00.000</v>
      </c>
      <c r="H639" s="1" t="str">
        <f t="shared" si="113"/>
        <v>0000.000</v>
      </c>
      <c r="I639">
        <f t="shared" si="114"/>
        <v>0</v>
      </c>
      <c r="J639" t="str">
        <f t="shared" si="115"/>
        <v>000</v>
      </c>
      <c r="K639">
        <f t="shared" si="116"/>
        <v>0</v>
      </c>
      <c r="L639">
        <f t="shared" si="117"/>
        <v>0</v>
      </c>
      <c r="M639" t="str">
        <f t="shared" si="118"/>
        <v>00.000</v>
      </c>
      <c r="N639" s="1" t="str">
        <f t="shared" si="119"/>
        <v>00000.000</v>
      </c>
      <c r="O639" t="str">
        <f>IF('Import OpenCPN'!W640&gt;0,"N","S")</f>
        <v>S</v>
      </c>
      <c r="P639" t="str">
        <f>IF('Import OpenCPN'!X640&gt;0,"E","W")</f>
        <v>W</v>
      </c>
    </row>
    <row r="640" spans="1:16" x14ac:dyDescent="0.2">
      <c r="A640">
        <f>'Import OpenCPN'!W641</f>
        <v>0</v>
      </c>
      <c r="B640">
        <f>'Import OpenCPN'!X641</f>
        <v>0</v>
      </c>
      <c r="C640">
        <f t="shared" si="108"/>
        <v>0</v>
      </c>
      <c r="D640" t="str">
        <f t="shared" si="109"/>
        <v>00</v>
      </c>
      <c r="E640">
        <f t="shared" si="110"/>
        <v>0</v>
      </c>
      <c r="F640">
        <f t="shared" si="111"/>
        <v>0</v>
      </c>
      <c r="G640" s="23" t="str">
        <f t="shared" si="112"/>
        <v>00.000</v>
      </c>
      <c r="H640" s="1" t="str">
        <f t="shared" si="113"/>
        <v>0000.000</v>
      </c>
      <c r="I640">
        <f t="shared" si="114"/>
        <v>0</v>
      </c>
      <c r="J640" t="str">
        <f t="shared" si="115"/>
        <v>000</v>
      </c>
      <c r="K640">
        <f t="shared" si="116"/>
        <v>0</v>
      </c>
      <c r="L640">
        <f t="shared" si="117"/>
        <v>0</v>
      </c>
      <c r="M640" t="str">
        <f t="shared" si="118"/>
        <v>00.000</v>
      </c>
      <c r="N640" s="1" t="str">
        <f t="shared" si="119"/>
        <v>00000.000</v>
      </c>
      <c r="O640" t="str">
        <f>IF('Import OpenCPN'!W641&gt;0,"N","S")</f>
        <v>S</v>
      </c>
      <c r="P640" t="str">
        <f>IF('Import OpenCPN'!X641&gt;0,"E","W")</f>
        <v>W</v>
      </c>
    </row>
    <row r="641" spans="1:16" x14ac:dyDescent="0.2">
      <c r="A641">
        <f>'Import OpenCPN'!W642</f>
        <v>0</v>
      </c>
      <c r="B641">
        <f>'Import OpenCPN'!X642</f>
        <v>0</v>
      </c>
      <c r="C641">
        <f t="shared" si="108"/>
        <v>0</v>
      </c>
      <c r="D641" t="str">
        <f t="shared" si="109"/>
        <v>00</v>
      </c>
      <c r="E641">
        <f t="shared" si="110"/>
        <v>0</v>
      </c>
      <c r="F641">
        <f t="shared" si="111"/>
        <v>0</v>
      </c>
      <c r="G641" s="23" t="str">
        <f t="shared" si="112"/>
        <v>00.000</v>
      </c>
      <c r="H641" s="1" t="str">
        <f t="shared" si="113"/>
        <v>0000.000</v>
      </c>
      <c r="I641">
        <f t="shared" si="114"/>
        <v>0</v>
      </c>
      <c r="J641" t="str">
        <f t="shared" si="115"/>
        <v>000</v>
      </c>
      <c r="K641">
        <f t="shared" si="116"/>
        <v>0</v>
      </c>
      <c r="L641">
        <f t="shared" si="117"/>
        <v>0</v>
      </c>
      <c r="M641" t="str">
        <f t="shared" si="118"/>
        <v>00.000</v>
      </c>
      <c r="N641" s="1" t="str">
        <f t="shared" si="119"/>
        <v>00000.000</v>
      </c>
      <c r="O641" t="str">
        <f>IF('Import OpenCPN'!W642&gt;0,"N","S")</f>
        <v>S</v>
      </c>
      <c r="P641" t="str">
        <f>IF('Import OpenCPN'!X642&gt;0,"E","W")</f>
        <v>W</v>
      </c>
    </row>
    <row r="642" spans="1:16" x14ac:dyDescent="0.2">
      <c r="A642">
        <f>'Import OpenCPN'!W643</f>
        <v>0</v>
      </c>
      <c r="B642">
        <f>'Import OpenCPN'!X643</f>
        <v>0</v>
      </c>
      <c r="C642">
        <f t="shared" ref="C642:C705" si="120">ABS(TRUNC(A642,0))</f>
        <v>0</v>
      </c>
      <c r="D642" t="str">
        <f t="shared" ref="D642:D705" si="121">TEXT(C642,"00")</f>
        <v>00</v>
      </c>
      <c r="E642">
        <f t="shared" ref="E642:E705" si="122">ABS(A642)-C642</f>
        <v>0</v>
      </c>
      <c r="F642">
        <f t="shared" ref="F642:F705" si="123">E642*60</f>
        <v>0</v>
      </c>
      <c r="G642" s="23" t="str">
        <f t="shared" ref="G642:G705" si="124">TEXT(F642,"00.000")</f>
        <v>00.000</v>
      </c>
      <c r="H642" s="1" t="str">
        <f t="shared" ref="H642:H705" si="125">D642&amp;G642</f>
        <v>0000.000</v>
      </c>
      <c r="I642">
        <f t="shared" ref="I642:I705" si="126">ABS(TRUNC(B642,0))</f>
        <v>0</v>
      </c>
      <c r="J642" t="str">
        <f t="shared" ref="J642:J705" si="127">TEXT(I642,"000")</f>
        <v>000</v>
      </c>
      <c r="K642">
        <f t="shared" ref="K642:K705" si="128">ABS(B642)-I642</f>
        <v>0</v>
      </c>
      <c r="L642">
        <f t="shared" ref="L642:L705" si="129">K642*60</f>
        <v>0</v>
      </c>
      <c r="M642" t="str">
        <f t="shared" ref="M642:M705" si="130">TEXT(L642,"00.000")</f>
        <v>00.000</v>
      </c>
      <c r="N642" s="1" t="str">
        <f t="shared" ref="N642:N705" si="131">J642&amp;M642</f>
        <v>00000.000</v>
      </c>
      <c r="O642" t="str">
        <f>IF('Import OpenCPN'!W643&gt;0,"N","S")</f>
        <v>S</v>
      </c>
      <c r="P642" t="str">
        <f>IF('Import OpenCPN'!X643&gt;0,"E","W")</f>
        <v>W</v>
      </c>
    </row>
    <row r="643" spans="1:16" x14ac:dyDescent="0.2">
      <c r="A643">
        <f>'Import OpenCPN'!W644</f>
        <v>0</v>
      </c>
      <c r="B643">
        <f>'Import OpenCPN'!X644</f>
        <v>0</v>
      </c>
      <c r="C643">
        <f t="shared" si="120"/>
        <v>0</v>
      </c>
      <c r="D643" t="str">
        <f t="shared" si="121"/>
        <v>00</v>
      </c>
      <c r="E643">
        <f t="shared" si="122"/>
        <v>0</v>
      </c>
      <c r="F643">
        <f t="shared" si="123"/>
        <v>0</v>
      </c>
      <c r="G643" s="23" t="str">
        <f t="shared" si="124"/>
        <v>00.000</v>
      </c>
      <c r="H643" s="1" t="str">
        <f t="shared" si="125"/>
        <v>0000.000</v>
      </c>
      <c r="I643">
        <f t="shared" si="126"/>
        <v>0</v>
      </c>
      <c r="J643" t="str">
        <f t="shared" si="127"/>
        <v>000</v>
      </c>
      <c r="K643">
        <f t="shared" si="128"/>
        <v>0</v>
      </c>
      <c r="L643">
        <f t="shared" si="129"/>
        <v>0</v>
      </c>
      <c r="M643" t="str">
        <f t="shared" si="130"/>
        <v>00.000</v>
      </c>
      <c r="N643" s="1" t="str">
        <f t="shared" si="131"/>
        <v>00000.000</v>
      </c>
      <c r="O643" t="str">
        <f>IF('Import OpenCPN'!W644&gt;0,"N","S")</f>
        <v>S</v>
      </c>
      <c r="P643" t="str">
        <f>IF('Import OpenCPN'!X644&gt;0,"E","W")</f>
        <v>W</v>
      </c>
    </row>
    <row r="644" spans="1:16" x14ac:dyDescent="0.2">
      <c r="A644">
        <f>'Import OpenCPN'!W645</f>
        <v>0</v>
      </c>
      <c r="B644">
        <f>'Import OpenCPN'!X645</f>
        <v>0</v>
      </c>
      <c r="C644">
        <f t="shared" si="120"/>
        <v>0</v>
      </c>
      <c r="D644" t="str">
        <f t="shared" si="121"/>
        <v>00</v>
      </c>
      <c r="E644">
        <f t="shared" si="122"/>
        <v>0</v>
      </c>
      <c r="F644">
        <f t="shared" si="123"/>
        <v>0</v>
      </c>
      <c r="G644" s="23" t="str">
        <f t="shared" si="124"/>
        <v>00.000</v>
      </c>
      <c r="H644" s="1" t="str">
        <f t="shared" si="125"/>
        <v>0000.000</v>
      </c>
      <c r="I644">
        <f t="shared" si="126"/>
        <v>0</v>
      </c>
      <c r="J644" t="str">
        <f t="shared" si="127"/>
        <v>000</v>
      </c>
      <c r="K644">
        <f t="shared" si="128"/>
        <v>0</v>
      </c>
      <c r="L644">
        <f t="shared" si="129"/>
        <v>0</v>
      </c>
      <c r="M644" t="str">
        <f t="shared" si="130"/>
        <v>00.000</v>
      </c>
      <c r="N644" s="1" t="str">
        <f t="shared" si="131"/>
        <v>00000.000</v>
      </c>
      <c r="O644" t="str">
        <f>IF('Import OpenCPN'!W645&gt;0,"N","S")</f>
        <v>S</v>
      </c>
      <c r="P644" t="str">
        <f>IF('Import OpenCPN'!X645&gt;0,"E","W")</f>
        <v>W</v>
      </c>
    </row>
    <row r="645" spans="1:16" x14ac:dyDescent="0.2">
      <c r="A645">
        <f>'Import OpenCPN'!W646</f>
        <v>0</v>
      </c>
      <c r="B645">
        <f>'Import OpenCPN'!X646</f>
        <v>0</v>
      </c>
      <c r="C645">
        <f t="shared" si="120"/>
        <v>0</v>
      </c>
      <c r="D645" t="str">
        <f t="shared" si="121"/>
        <v>00</v>
      </c>
      <c r="E645">
        <f t="shared" si="122"/>
        <v>0</v>
      </c>
      <c r="F645">
        <f t="shared" si="123"/>
        <v>0</v>
      </c>
      <c r="G645" s="23" t="str">
        <f t="shared" si="124"/>
        <v>00.000</v>
      </c>
      <c r="H645" s="1" t="str">
        <f t="shared" si="125"/>
        <v>0000.000</v>
      </c>
      <c r="I645">
        <f t="shared" si="126"/>
        <v>0</v>
      </c>
      <c r="J645" t="str">
        <f t="shared" si="127"/>
        <v>000</v>
      </c>
      <c r="K645">
        <f t="shared" si="128"/>
        <v>0</v>
      </c>
      <c r="L645">
        <f t="shared" si="129"/>
        <v>0</v>
      </c>
      <c r="M645" t="str">
        <f t="shared" si="130"/>
        <v>00.000</v>
      </c>
      <c r="N645" s="1" t="str">
        <f t="shared" si="131"/>
        <v>00000.000</v>
      </c>
      <c r="O645" t="str">
        <f>IF('Import OpenCPN'!W646&gt;0,"N","S")</f>
        <v>S</v>
      </c>
      <c r="P645" t="str">
        <f>IF('Import OpenCPN'!X646&gt;0,"E","W")</f>
        <v>W</v>
      </c>
    </row>
    <row r="646" spans="1:16" x14ac:dyDescent="0.2">
      <c r="A646">
        <f>'Import OpenCPN'!W647</f>
        <v>0</v>
      </c>
      <c r="B646">
        <f>'Import OpenCPN'!X647</f>
        <v>0</v>
      </c>
      <c r="C646">
        <f t="shared" si="120"/>
        <v>0</v>
      </c>
      <c r="D646" t="str">
        <f t="shared" si="121"/>
        <v>00</v>
      </c>
      <c r="E646">
        <f t="shared" si="122"/>
        <v>0</v>
      </c>
      <c r="F646">
        <f t="shared" si="123"/>
        <v>0</v>
      </c>
      <c r="G646" s="23" t="str">
        <f t="shared" si="124"/>
        <v>00.000</v>
      </c>
      <c r="H646" s="1" t="str">
        <f t="shared" si="125"/>
        <v>0000.000</v>
      </c>
      <c r="I646">
        <f t="shared" si="126"/>
        <v>0</v>
      </c>
      <c r="J646" t="str">
        <f t="shared" si="127"/>
        <v>000</v>
      </c>
      <c r="K646">
        <f t="shared" si="128"/>
        <v>0</v>
      </c>
      <c r="L646">
        <f t="shared" si="129"/>
        <v>0</v>
      </c>
      <c r="M646" t="str">
        <f t="shared" si="130"/>
        <v>00.000</v>
      </c>
      <c r="N646" s="1" t="str">
        <f t="shared" si="131"/>
        <v>00000.000</v>
      </c>
      <c r="O646" t="str">
        <f>IF('Import OpenCPN'!W647&gt;0,"N","S")</f>
        <v>S</v>
      </c>
      <c r="P646" t="str">
        <f>IF('Import OpenCPN'!X647&gt;0,"E","W")</f>
        <v>W</v>
      </c>
    </row>
    <row r="647" spans="1:16" x14ac:dyDescent="0.2">
      <c r="A647">
        <f>'Import OpenCPN'!W648</f>
        <v>0</v>
      </c>
      <c r="B647">
        <f>'Import OpenCPN'!X648</f>
        <v>0</v>
      </c>
      <c r="C647">
        <f t="shared" si="120"/>
        <v>0</v>
      </c>
      <c r="D647" t="str">
        <f t="shared" si="121"/>
        <v>00</v>
      </c>
      <c r="E647">
        <f t="shared" si="122"/>
        <v>0</v>
      </c>
      <c r="F647">
        <f t="shared" si="123"/>
        <v>0</v>
      </c>
      <c r="G647" s="23" t="str">
        <f t="shared" si="124"/>
        <v>00.000</v>
      </c>
      <c r="H647" s="1" t="str">
        <f t="shared" si="125"/>
        <v>0000.000</v>
      </c>
      <c r="I647">
        <f t="shared" si="126"/>
        <v>0</v>
      </c>
      <c r="J647" t="str">
        <f t="shared" si="127"/>
        <v>000</v>
      </c>
      <c r="K647">
        <f t="shared" si="128"/>
        <v>0</v>
      </c>
      <c r="L647">
        <f t="shared" si="129"/>
        <v>0</v>
      </c>
      <c r="M647" t="str">
        <f t="shared" si="130"/>
        <v>00.000</v>
      </c>
      <c r="N647" s="1" t="str">
        <f t="shared" si="131"/>
        <v>00000.000</v>
      </c>
      <c r="O647" t="str">
        <f>IF('Import OpenCPN'!W648&gt;0,"N","S")</f>
        <v>S</v>
      </c>
      <c r="P647" t="str">
        <f>IF('Import OpenCPN'!X648&gt;0,"E","W")</f>
        <v>W</v>
      </c>
    </row>
    <row r="648" spans="1:16" x14ac:dyDescent="0.2">
      <c r="A648">
        <f>'Import OpenCPN'!W649</f>
        <v>0</v>
      </c>
      <c r="B648">
        <f>'Import OpenCPN'!X649</f>
        <v>0</v>
      </c>
      <c r="C648">
        <f t="shared" si="120"/>
        <v>0</v>
      </c>
      <c r="D648" t="str">
        <f t="shared" si="121"/>
        <v>00</v>
      </c>
      <c r="E648">
        <f t="shared" si="122"/>
        <v>0</v>
      </c>
      <c r="F648">
        <f t="shared" si="123"/>
        <v>0</v>
      </c>
      <c r="G648" s="23" t="str">
        <f t="shared" si="124"/>
        <v>00.000</v>
      </c>
      <c r="H648" s="1" t="str">
        <f t="shared" si="125"/>
        <v>0000.000</v>
      </c>
      <c r="I648">
        <f t="shared" si="126"/>
        <v>0</v>
      </c>
      <c r="J648" t="str">
        <f t="shared" si="127"/>
        <v>000</v>
      </c>
      <c r="K648">
        <f t="shared" si="128"/>
        <v>0</v>
      </c>
      <c r="L648">
        <f t="shared" si="129"/>
        <v>0</v>
      </c>
      <c r="M648" t="str">
        <f t="shared" si="130"/>
        <v>00.000</v>
      </c>
      <c r="N648" s="1" t="str">
        <f t="shared" si="131"/>
        <v>00000.000</v>
      </c>
      <c r="O648" t="str">
        <f>IF('Import OpenCPN'!W649&gt;0,"N","S")</f>
        <v>S</v>
      </c>
      <c r="P648" t="str">
        <f>IF('Import OpenCPN'!X649&gt;0,"E","W")</f>
        <v>W</v>
      </c>
    </row>
    <row r="649" spans="1:16" x14ac:dyDescent="0.2">
      <c r="A649">
        <f>'Import OpenCPN'!W650</f>
        <v>0</v>
      </c>
      <c r="B649">
        <f>'Import OpenCPN'!X650</f>
        <v>0</v>
      </c>
      <c r="C649">
        <f t="shared" si="120"/>
        <v>0</v>
      </c>
      <c r="D649" t="str">
        <f t="shared" si="121"/>
        <v>00</v>
      </c>
      <c r="E649">
        <f t="shared" si="122"/>
        <v>0</v>
      </c>
      <c r="F649">
        <f t="shared" si="123"/>
        <v>0</v>
      </c>
      <c r="G649" s="23" t="str">
        <f t="shared" si="124"/>
        <v>00.000</v>
      </c>
      <c r="H649" s="1" t="str">
        <f t="shared" si="125"/>
        <v>0000.000</v>
      </c>
      <c r="I649">
        <f t="shared" si="126"/>
        <v>0</v>
      </c>
      <c r="J649" t="str">
        <f t="shared" si="127"/>
        <v>000</v>
      </c>
      <c r="K649">
        <f t="shared" si="128"/>
        <v>0</v>
      </c>
      <c r="L649">
        <f t="shared" si="129"/>
        <v>0</v>
      </c>
      <c r="M649" t="str">
        <f t="shared" si="130"/>
        <v>00.000</v>
      </c>
      <c r="N649" s="1" t="str">
        <f t="shared" si="131"/>
        <v>00000.000</v>
      </c>
      <c r="O649" t="str">
        <f>IF('Import OpenCPN'!W650&gt;0,"N","S")</f>
        <v>S</v>
      </c>
      <c r="P649" t="str">
        <f>IF('Import OpenCPN'!X650&gt;0,"E","W")</f>
        <v>W</v>
      </c>
    </row>
    <row r="650" spans="1:16" x14ac:dyDescent="0.2">
      <c r="A650">
        <f>'Import OpenCPN'!W651</f>
        <v>0</v>
      </c>
      <c r="B650">
        <f>'Import OpenCPN'!X651</f>
        <v>0</v>
      </c>
      <c r="C650">
        <f t="shared" si="120"/>
        <v>0</v>
      </c>
      <c r="D650" t="str">
        <f t="shared" si="121"/>
        <v>00</v>
      </c>
      <c r="E650">
        <f t="shared" si="122"/>
        <v>0</v>
      </c>
      <c r="F650">
        <f t="shared" si="123"/>
        <v>0</v>
      </c>
      <c r="G650" s="23" t="str">
        <f t="shared" si="124"/>
        <v>00.000</v>
      </c>
      <c r="H650" s="1" t="str">
        <f t="shared" si="125"/>
        <v>0000.000</v>
      </c>
      <c r="I650">
        <f t="shared" si="126"/>
        <v>0</v>
      </c>
      <c r="J650" t="str">
        <f t="shared" si="127"/>
        <v>000</v>
      </c>
      <c r="K650">
        <f t="shared" si="128"/>
        <v>0</v>
      </c>
      <c r="L650">
        <f t="shared" si="129"/>
        <v>0</v>
      </c>
      <c r="M650" t="str">
        <f t="shared" si="130"/>
        <v>00.000</v>
      </c>
      <c r="N650" s="1" t="str">
        <f t="shared" si="131"/>
        <v>00000.000</v>
      </c>
      <c r="O650" t="str">
        <f>IF('Import OpenCPN'!W651&gt;0,"N","S")</f>
        <v>S</v>
      </c>
      <c r="P650" t="str">
        <f>IF('Import OpenCPN'!X651&gt;0,"E","W")</f>
        <v>W</v>
      </c>
    </row>
    <row r="651" spans="1:16" x14ac:dyDescent="0.2">
      <c r="A651">
        <f>'Import OpenCPN'!W652</f>
        <v>0</v>
      </c>
      <c r="B651">
        <f>'Import OpenCPN'!X652</f>
        <v>0</v>
      </c>
      <c r="C651">
        <f t="shared" si="120"/>
        <v>0</v>
      </c>
      <c r="D651" t="str">
        <f t="shared" si="121"/>
        <v>00</v>
      </c>
      <c r="E651">
        <f t="shared" si="122"/>
        <v>0</v>
      </c>
      <c r="F651">
        <f t="shared" si="123"/>
        <v>0</v>
      </c>
      <c r="G651" s="23" t="str">
        <f t="shared" si="124"/>
        <v>00.000</v>
      </c>
      <c r="H651" s="1" t="str">
        <f t="shared" si="125"/>
        <v>0000.000</v>
      </c>
      <c r="I651">
        <f t="shared" si="126"/>
        <v>0</v>
      </c>
      <c r="J651" t="str">
        <f t="shared" si="127"/>
        <v>000</v>
      </c>
      <c r="K651">
        <f t="shared" si="128"/>
        <v>0</v>
      </c>
      <c r="L651">
        <f t="shared" si="129"/>
        <v>0</v>
      </c>
      <c r="M651" t="str">
        <f t="shared" si="130"/>
        <v>00.000</v>
      </c>
      <c r="N651" s="1" t="str">
        <f t="shared" si="131"/>
        <v>00000.000</v>
      </c>
      <c r="O651" t="str">
        <f>IF('Import OpenCPN'!W652&gt;0,"N","S")</f>
        <v>S</v>
      </c>
      <c r="P651" t="str">
        <f>IF('Import OpenCPN'!X652&gt;0,"E","W")</f>
        <v>W</v>
      </c>
    </row>
    <row r="652" spans="1:16" x14ac:dyDescent="0.2">
      <c r="A652">
        <f>'Import OpenCPN'!W653</f>
        <v>0</v>
      </c>
      <c r="B652">
        <f>'Import OpenCPN'!X653</f>
        <v>0</v>
      </c>
      <c r="C652">
        <f t="shared" si="120"/>
        <v>0</v>
      </c>
      <c r="D652" t="str">
        <f t="shared" si="121"/>
        <v>00</v>
      </c>
      <c r="E652">
        <f t="shared" si="122"/>
        <v>0</v>
      </c>
      <c r="F652">
        <f t="shared" si="123"/>
        <v>0</v>
      </c>
      <c r="G652" s="23" t="str">
        <f t="shared" si="124"/>
        <v>00.000</v>
      </c>
      <c r="H652" s="1" t="str">
        <f t="shared" si="125"/>
        <v>0000.000</v>
      </c>
      <c r="I652">
        <f t="shared" si="126"/>
        <v>0</v>
      </c>
      <c r="J652" t="str">
        <f t="shared" si="127"/>
        <v>000</v>
      </c>
      <c r="K652">
        <f t="shared" si="128"/>
        <v>0</v>
      </c>
      <c r="L652">
        <f t="shared" si="129"/>
        <v>0</v>
      </c>
      <c r="M652" t="str">
        <f t="shared" si="130"/>
        <v>00.000</v>
      </c>
      <c r="N652" s="1" t="str">
        <f t="shared" si="131"/>
        <v>00000.000</v>
      </c>
      <c r="O652" t="str">
        <f>IF('Import OpenCPN'!W653&gt;0,"N","S")</f>
        <v>S</v>
      </c>
      <c r="P652" t="str">
        <f>IF('Import OpenCPN'!X653&gt;0,"E","W")</f>
        <v>W</v>
      </c>
    </row>
    <row r="653" spans="1:16" x14ac:dyDescent="0.2">
      <c r="A653">
        <f>'Import OpenCPN'!W654</f>
        <v>0</v>
      </c>
      <c r="B653">
        <f>'Import OpenCPN'!X654</f>
        <v>0</v>
      </c>
      <c r="C653">
        <f t="shared" si="120"/>
        <v>0</v>
      </c>
      <c r="D653" t="str">
        <f t="shared" si="121"/>
        <v>00</v>
      </c>
      <c r="E653">
        <f t="shared" si="122"/>
        <v>0</v>
      </c>
      <c r="F653">
        <f t="shared" si="123"/>
        <v>0</v>
      </c>
      <c r="G653" s="23" t="str">
        <f t="shared" si="124"/>
        <v>00.000</v>
      </c>
      <c r="H653" s="1" t="str">
        <f t="shared" si="125"/>
        <v>0000.000</v>
      </c>
      <c r="I653">
        <f t="shared" si="126"/>
        <v>0</v>
      </c>
      <c r="J653" t="str">
        <f t="shared" si="127"/>
        <v>000</v>
      </c>
      <c r="K653">
        <f t="shared" si="128"/>
        <v>0</v>
      </c>
      <c r="L653">
        <f t="shared" si="129"/>
        <v>0</v>
      </c>
      <c r="M653" t="str">
        <f t="shared" si="130"/>
        <v>00.000</v>
      </c>
      <c r="N653" s="1" t="str">
        <f t="shared" si="131"/>
        <v>00000.000</v>
      </c>
      <c r="O653" t="str">
        <f>IF('Import OpenCPN'!W654&gt;0,"N","S")</f>
        <v>S</v>
      </c>
      <c r="P653" t="str">
        <f>IF('Import OpenCPN'!X654&gt;0,"E","W")</f>
        <v>W</v>
      </c>
    </row>
    <row r="654" spans="1:16" x14ac:dyDescent="0.2">
      <c r="A654">
        <f>'Import OpenCPN'!W655</f>
        <v>0</v>
      </c>
      <c r="B654">
        <f>'Import OpenCPN'!X655</f>
        <v>0</v>
      </c>
      <c r="C654">
        <f t="shared" si="120"/>
        <v>0</v>
      </c>
      <c r="D654" t="str">
        <f t="shared" si="121"/>
        <v>00</v>
      </c>
      <c r="E654">
        <f t="shared" si="122"/>
        <v>0</v>
      </c>
      <c r="F654">
        <f t="shared" si="123"/>
        <v>0</v>
      </c>
      <c r="G654" s="23" t="str">
        <f t="shared" si="124"/>
        <v>00.000</v>
      </c>
      <c r="H654" s="1" t="str">
        <f t="shared" si="125"/>
        <v>0000.000</v>
      </c>
      <c r="I654">
        <f t="shared" si="126"/>
        <v>0</v>
      </c>
      <c r="J654" t="str">
        <f t="shared" si="127"/>
        <v>000</v>
      </c>
      <c r="K654">
        <f t="shared" si="128"/>
        <v>0</v>
      </c>
      <c r="L654">
        <f t="shared" si="129"/>
        <v>0</v>
      </c>
      <c r="M654" t="str">
        <f t="shared" si="130"/>
        <v>00.000</v>
      </c>
      <c r="N654" s="1" t="str">
        <f t="shared" si="131"/>
        <v>00000.000</v>
      </c>
      <c r="O654" t="str">
        <f>IF('Import OpenCPN'!W655&gt;0,"N","S")</f>
        <v>S</v>
      </c>
      <c r="P654" t="str">
        <f>IF('Import OpenCPN'!X655&gt;0,"E","W")</f>
        <v>W</v>
      </c>
    </row>
    <row r="655" spans="1:16" x14ac:dyDescent="0.2">
      <c r="A655">
        <f>'Import OpenCPN'!W656</f>
        <v>0</v>
      </c>
      <c r="B655">
        <f>'Import OpenCPN'!X656</f>
        <v>0</v>
      </c>
      <c r="C655">
        <f t="shared" si="120"/>
        <v>0</v>
      </c>
      <c r="D655" t="str">
        <f t="shared" si="121"/>
        <v>00</v>
      </c>
      <c r="E655">
        <f t="shared" si="122"/>
        <v>0</v>
      </c>
      <c r="F655">
        <f t="shared" si="123"/>
        <v>0</v>
      </c>
      <c r="G655" s="23" t="str">
        <f t="shared" si="124"/>
        <v>00.000</v>
      </c>
      <c r="H655" s="1" t="str">
        <f t="shared" si="125"/>
        <v>0000.000</v>
      </c>
      <c r="I655">
        <f t="shared" si="126"/>
        <v>0</v>
      </c>
      <c r="J655" t="str">
        <f t="shared" si="127"/>
        <v>000</v>
      </c>
      <c r="K655">
        <f t="shared" si="128"/>
        <v>0</v>
      </c>
      <c r="L655">
        <f t="shared" si="129"/>
        <v>0</v>
      </c>
      <c r="M655" t="str">
        <f t="shared" si="130"/>
        <v>00.000</v>
      </c>
      <c r="N655" s="1" t="str">
        <f t="shared" si="131"/>
        <v>00000.000</v>
      </c>
      <c r="O655" t="str">
        <f>IF('Import OpenCPN'!W656&gt;0,"N","S")</f>
        <v>S</v>
      </c>
      <c r="P655" t="str">
        <f>IF('Import OpenCPN'!X656&gt;0,"E","W")</f>
        <v>W</v>
      </c>
    </row>
    <row r="656" spans="1:16" x14ac:dyDescent="0.2">
      <c r="A656">
        <f>'Import OpenCPN'!W657</f>
        <v>0</v>
      </c>
      <c r="B656">
        <f>'Import OpenCPN'!X657</f>
        <v>0</v>
      </c>
      <c r="C656">
        <f t="shared" si="120"/>
        <v>0</v>
      </c>
      <c r="D656" t="str">
        <f t="shared" si="121"/>
        <v>00</v>
      </c>
      <c r="E656">
        <f t="shared" si="122"/>
        <v>0</v>
      </c>
      <c r="F656">
        <f t="shared" si="123"/>
        <v>0</v>
      </c>
      <c r="G656" s="23" t="str">
        <f t="shared" si="124"/>
        <v>00.000</v>
      </c>
      <c r="H656" s="1" t="str">
        <f t="shared" si="125"/>
        <v>0000.000</v>
      </c>
      <c r="I656">
        <f t="shared" si="126"/>
        <v>0</v>
      </c>
      <c r="J656" t="str">
        <f t="shared" si="127"/>
        <v>000</v>
      </c>
      <c r="K656">
        <f t="shared" si="128"/>
        <v>0</v>
      </c>
      <c r="L656">
        <f t="shared" si="129"/>
        <v>0</v>
      </c>
      <c r="M656" t="str">
        <f t="shared" si="130"/>
        <v>00.000</v>
      </c>
      <c r="N656" s="1" t="str">
        <f t="shared" si="131"/>
        <v>00000.000</v>
      </c>
      <c r="O656" t="str">
        <f>IF('Import OpenCPN'!W657&gt;0,"N","S")</f>
        <v>S</v>
      </c>
      <c r="P656" t="str">
        <f>IF('Import OpenCPN'!X657&gt;0,"E","W")</f>
        <v>W</v>
      </c>
    </row>
    <row r="657" spans="1:16" x14ac:dyDescent="0.2">
      <c r="A657">
        <f>'Import OpenCPN'!W658</f>
        <v>0</v>
      </c>
      <c r="B657">
        <f>'Import OpenCPN'!X658</f>
        <v>0</v>
      </c>
      <c r="C657">
        <f t="shared" si="120"/>
        <v>0</v>
      </c>
      <c r="D657" t="str">
        <f t="shared" si="121"/>
        <v>00</v>
      </c>
      <c r="E657">
        <f t="shared" si="122"/>
        <v>0</v>
      </c>
      <c r="F657">
        <f t="shared" si="123"/>
        <v>0</v>
      </c>
      <c r="G657" s="23" t="str">
        <f t="shared" si="124"/>
        <v>00.000</v>
      </c>
      <c r="H657" s="1" t="str">
        <f t="shared" si="125"/>
        <v>0000.000</v>
      </c>
      <c r="I657">
        <f t="shared" si="126"/>
        <v>0</v>
      </c>
      <c r="J657" t="str">
        <f t="shared" si="127"/>
        <v>000</v>
      </c>
      <c r="K657">
        <f t="shared" si="128"/>
        <v>0</v>
      </c>
      <c r="L657">
        <f t="shared" si="129"/>
        <v>0</v>
      </c>
      <c r="M657" t="str">
        <f t="shared" si="130"/>
        <v>00.000</v>
      </c>
      <c r="N657" s="1" t="str">
        <f t="shared" si="131"/>
        <v>00000.000</v>
      </c>
      <c r="O657" t="str">
        <f>IF('Import OpenCPN'!W658&gt;0,"N","S")</f>
        <v>S</v>
      </c>
      <c r="P657" t="str">
        <f>IF('Import OpenCPN'!X658&gt;0,"E","W")</f>
        <v>W</v>
      </c>
    </row>
    <row r="658" spans="1:16" x14ac:dyDescent="0.2">
      <c r="A658">
        <f>'Import OpenCPN'!W659</f>
        <v>0</v>
      </c>
      <c r="B658">
        <f>'Import OpenCPN'!X659</f>
        <v>0</v>
      </c>
      <c r="C658">
        <f t="shared" si="120"/>
        <v>0</v>
      </c>
      <c r="D658" t="str">
        <f t="shared" si="121"/>
        <v>00</v>
      </c>
      <c r="E658">
        <f t="shared" si="122"/>
        <v>0</v>
      </c>
      <c r="F658">
        <f t="shared" si="123"/>
        <v>0</v>
      </c>
      <c r="G658" s="23" t="str">
        <f t="shared" si="124"/>
        <v>00.000</v>
      </c>
      <c r="H658" s="1" t="str">
        <f t="shared" si="125"/>
        <v>0000.000</v>
      </c>
      <c r="I658">
        <f t="shared" si="126"/>
        <v>0</v>
      </c>
      <c r="J658" t="str">
        <f t="shared" si="127"/>
        <v>000</v>
      </c>
      <c r="K658">
        <f t="shared" si="128"/>
        <v>0</v>
      </c>
      <c r="L658">
        <f t="shared" si="129"/>
        <v>0</v>
      </c>
      <c r="M658" t="str">
        <f t="shared" si="130"/>
        <v>00.000</v>
      </c>
      <c r="N658" s="1" t="str">
        <f t="shared" si="131"/>
        <v>00000.000</v>
      </c>
      <c r="O658" t="str">
        <f>IF('Import OpenCPN'!W659&gt;0,"N","S")</f>
        <v>S</v>
      </c>
      <c r="P658" t="str">
        <f>IF('Import OpenCPN'!X659&gt;0,"E","W")</f>
        <v>W</v>
      </c>
    </row>
    <row r="659" spans="1:16" x14ac:dyDescent="0.2">
      <c r="A659">
        <f>'Import OpenCPN'!W660</f>
        <v>0</v>
      </c>
      <c r="B659">
        <f>'Import OpenCPN'!X660</f>
        <v>0</v>
      </c>
      <c r="C659">
        <f t="shared" si="120"/>
        <v>0</v>
      </c>
      <c r="D659" t="str">
        <f t="shared" si="121"/>
        <v>00</v>
      </c>
      <c r="E659">
        <f t="shared" si="122"/>
        <v>0</v>
      </c>
      <c r="F659">
        <f t="shared" si="123"/>
        <v>0</v>
      </c>
      <c r="G659" s="23" t="str">
        <f t="shared" si="124"/>
        <v>00.000</v>
      </c>
      <c r="H659" s="1" t="str">
        <f t="shared" si="125"/>
        <v>0000.000</v>
      </c>
      <c r="I659">
        <f t="shared" si="126"/>
        <v>0</v>
      </c>
      <c r="J659" t="str">
        <f t="shared" si="127"/>
        <v>000</v>
      </c>
      <c r="K659">
        <f t="shared" si="128"/>
        <v>0</v>
      </c>
      <c r="L659">
        <f t="shared" si="129"/>
        <v>0</v>
      </c>
      <c r="M659" t="str">
        <f t="shared" si="130"/>
        <v>00.000</v>
      </c>
      <c r="N659" s="1" t="str">
        <f t="shared" si="131"/>
        <v>00000.000</v>
      </c>
      <c r="O659" t="str">
        <f>IF('Import OpenCPN'!W660&gt;0,"N","S")</f>
        <v>S</v>
      </c>
      <c r="P659" t="str">
        <f>IF('Import OpenCPN'!X660&gt;0,"E","W")</f>
        <v>W</v>
      </c>
    </row>
    <row r="660" spans="1:16" x14ac:dyDescent="0.2">
      <c r="A660">
        <f>'Import OpenCPN'!W661</f>
        <v>0</v>
      </c>
      <c r="B660">
        <f>'Import OpenCPN'!X661</f>
        <v>0</v>
      </c>
      <c r="C660">
        <f t="shared" si="120"/>
        <v>0</v>
      </c>
      <c r="D660" t="str">
        <f t="shared" si="121"/>
        <v>00</v>
      </c>
      <c r="E660">
        <f t="shared" si="122"/>
        <v>0</v>
      </c>
      <c r="F660">
        <f t="shared" si="123"/>
        <v>0</v>
      </c>
      <c r="G660" s="23" t="str">
        <f t="shared" si="124"/>
        <v>00.000</v>
      </c>
      <c r="H660" s="1" t="str">
        <f t="shared" si="125"/>
        <v>0000.000</v>
      </c>
      <c r="I660">
        <f t="shared" si="126"/>
        <v>0</v>
      </c>
      <c r="J660" t="str">
        <f t="shared" si="127"/>
        <v>000</v>
      </c>
      <c r="K660">
        <f t="shared" si="128"/>
        <v>0</v>
      </c>
      <c r="L660">
        <f t="shared" si="129"/>
        <v>0</v>
      </c>
      <c r="M660" t="str">
        <f t="shared" si="130"/>
        <v>00.000</v>
      </c>
      <c r="N660" s="1" t="str">
        <f t="shared" si="131"/>
        <v>00000.000</v>
      </c>
      <c r="O660" t="str">
        <f>IF('Import OpenCPN'!W661&gt;0,"N","S")</f>
        <v>S</v>
      </c>
      <c r="P660" t="str">
        <f>IF('Import OpenCPN'!X661&gt;0,"E","W")</f>
        <v>W</v>
      </c>
    </row>
    <row r="661" spans="1:16" x14ac:dyDescent="0.2">
      <c r="A661">
        <f>'Import OpenCPN'!W662</f>
        <v>0</v>
      </c>
      <c r="B661">
        <f>'Import OpenCPN'!X662</f>
        <v>0</v>
      </c>
      <c r="C661">
        <f t="shared" si="120"/>
        <v>0</v>
      </c>
      <c r="D661" t="str">
        <f t="shared" si="121"/>
        <v>00</v>
      </c>
      <c r="E661">
        <f t="shared" si="122"/>
        <v>0</v>
      </c>
      <c r="F661">
        <f t="shared" si="123"/>
        <v>0</v>
      </c>
      <c r="G661" s="23" t="str">
        <f t="shared" si="124"/>
        <v>00.000</v>
      </c>
      <c r="H661" s="1" t="str">
        <f t="shared" si="125"/>
        <v>0000.000</v>
      </c>
      <c r="I661">
        <f t="shared" si="126"/>
        <v>0</v>
      </c>
      <c r="J661" t="str">
        <f t="shared" si="127"/>
        <v>000</v>
      </c>
      <c r="K661">
        <f t="shared" si="128"/>
        <v>0</v>
      </c>
      <c r="L661">
        <f t="shared" si="129"/>
        <v>0</v>
      </c>
      <c r="M661" t="str">
        <f t="shared" si="130"/>
        <v>00.000</v>
      </c>
      <c r="N661" s="1" t="str">
        <f t="shared" si="131"/>
        <v>00000.000</v>
      </c>
      <c r="O661" t="str">
        <f>IF('Import OpenCPN'!W662&gt;0,"N","S")</f>
        <v>S</v>
      </c>
      <c r="P661" t="str">
        <f>IF('Import OpenCPN'!X662&gt;0,"E","W")</f>
        <v>W</v>
      </c>
    </row>
    <row r="662" spans="1:16" x14ac:dyDescent="0.2">
      <c r="A662">
        <f>'Import OpenCPN'!W663</f>
        <v>0</v>
      </c>
      <c r="B662">
        <f>'Import OpenCPN'!X663</f>
        <v>0</v>
      </c>
      <c r="C662">
        <f t="shared" si="120"/>
        <v>0</v>
      </c>
      <c r="D662" t="str">
        <f t="shared" si="121"/>
        <v>00</v>
      </c>
      <c r="E662">
        <f t="shared" si="122"/>
        <v>0</v>
      </c>
      <c r="F662">
        <f t="shared" si="123"/>
        <v>0</v>
      </c>
      <c r="G662" s="23" t="str">
        <f t="shared" si="124"/>
        <v>00.000</v>
      </c>
      <c r="H662" s="1" t="str">
        <f t="shared" si="125"/>
        <v>0000.000</v>
      </c>
      <c r="I662">
        <f t="shared" si="126"/>
        <v>0</v>
      </c>
      <c r="J662" t="str">
        <f t="shared" si="127"/>
        <v>000</v>
      </c>
      <c r="K662">
        <f t="shared" si="128"/>
        <v>0</v>
      </c>
      <c r="L662">
        <f t="shared" si="129"/>
        <v>0</v>
      </c>
      <c r="M662" t="str">
        <f t="shared" si="130"/>
        <v>00.000</v>
      </c>
      <c r="N662" s="1" t="str">
        <f t="shared" si="131"/>
        <v>00000.000</v>
      </c>
      <c r="O662" t="str">
        <f>IF('Import OpenCPN'!W663&gt;0,"N","S")</f>
        <v>S</v>
      </c>
      <c r="P662" t="str">
        <f>IF('Import OpenCPN'!X663&gt;0,"E","W")</f>
        <v>W</v>
      </c>
    </row>
    <row r="663" spans="1:16" x14ac:dyDescent="0.2">
      <c r="A663">
        <f>'Import OpenCPN'!W664</f>
        <v>0</v>
      </c>
      <c r="B663">
        <f>'Import OpenCPN'!X664</f>
        <v>0</v>
      </c>
      <c r="C663">
        <f t="shared" si="120"/>
        <v>0</v>
      </c>
      <c r="D663" t="str">
        <f t="shared" si="121"/>
        <v>00</v>
      </c>
      <c r="E663">
        <f t="shared" si="122"/>
        <v>0</v>
      </c>
      <c r="F663">
        <f t="shared" si="123"/>
        <v>0</v>
      </c>
      <c r="G663" s="23" t="str">
        <f t="shared" si="124"/>
        <v>00.000</v>
      </c>
      <c r="H663" s="1" t="str">
        <f t="shared" si="125"/>
        <v>0000.000</v>
      </c>
      <c r="I663">
        <f t="shared" si="126"/>
        <v>0</v>
      </c>
      <c r="J663" t="str">
        <f t="shared" si="127"/>
        <v>000</v>
      </c>
      <c r="K663">
        <f t="shared" si="128"/>
        <v>0</v>
      </c>
      <c r="L663">
        <f t="shared" si="129"/>
        <v>0</v>
      </c>
      <c r="M663" t="str">
        <f t="shared" si="130"/>
        <v>00.000</v>
      </c>
      <c r="N663" s="1" t="str">
        <f t="shared" si="131"/>
        <v>00000.000</v>
      </c>
      <c r="O663" t="str">
        <f>IF('Import OpenCPN'!W664&gt;0,"N","S")</f>
        <v>S</v>
      </c>
      <c r="P663" t="str">
        <f>IF('Import OpenCPN'!X664&gt;0,"E","W")</f>
        <v>W</v>
      </c>
    </row>
    <row r="664" spans="1:16" x14ac:dyDescent="0.2">
      <c r="A664">
        <f>'Import OpenCPN'!W665</f>
        <v>0</v>
      </c>
      <c r="B664">
        <f>'Import OpenCPN'!X665</f>
        <v>0</v>
      </c>
      <c r="C664">
        <f t="shared" si="120"/>
        <v>0</v>
      </c>
      <c r="D664" t="str">
        <f t="shared" si="121"/>
        <v>00</v>
      </c>
      <c r="E664">
        <f t="shared" si="122"/>
        <v>0</v>
      </c>
      <c r="F664">
        <f t="shared" si="123"/>
        <v>0</v>
      </c>
      <c r="G664" s="23" t="str">
        <f t="shared" si="124"/>
        <v>00.000</v>
      </c>
      <c r="H664" s="1" t="str">
        <f t="shared" si="125"/>
        <v>0000.000</v>
      </c>
      <c r="I664">
        <f t="shared" si="126"/>
        <v>0</v>
      </c>
      <c r="J664" t="str">
        <f t="shared" si="127"/>
        <v>000</v>
      </c>
      <c r="K664">
        <f t="shared" si="128"/>
        <v>0</v>
      </c>
      <c r="L664">
        <f t="shared" si="129"/>
        <v>0</v>
      </c>
      <c r="M664" t="str">
        <f t="shared" si="130"/>
        <v>00.000</v>
      </c>
      <c r="N664" s="1" t="str">
        <f t="shared" si="131"/>
        <v>00000.000</v>
      </c>
      <c r="O664" t="str">
        <f>IF('Import OpenCPN'!W665&gt;0,"N","S")</f>
        <v>S</v>
      </c>
      <c r="P664" t="str">
        <f>IF('Import OpenCPN'!X665&gt;0,"E","W")</f>
        <v>W</v>
      </c>
    </row>
    <row r="665" spans="1:16" x14ac:dyDescent="0.2">
      <c r="A665">
        <f>'Import OpenCPN'!W666</f>
        <v>0</v>
      </c>
      <c r="B665">
        <f>'Import OpenCPN'!X666</f>
        <v>0</v>
      </c>
      <c r="C665">
        <f t="shared" si="120"/>
        <v>0</v>
      </c>
      <c r="D665" t="str">
        <f t="shared" si="121"/>
        <v>00</v>
      </c>
      <c r="E665">
        <f t="shared" si="122"/>
        <v>0</v>
      </c>
      <c r="F665">
        <f t="shared" si="123"/>
        <v>0</v>
      </c>
      <c r="G665" s="23" t="str">
        <f t="shared" si="124"/>
        <v>00.000</v>
      </c>
      <c r="H665" s="1" t="str">
        <f t="shared" si="125"/>
        <v>0000.000</v>
      </c>
      <c r="I665">
        <f t="shared" si="126"/>
        <v>0</v>
      </c>
      <c r="J665" t="str">
        <f t="shared" si="127"/>
        <v>000</v>
      </c>
      <c r="K665">
        <f t="shared" si="128"/>
        <v>0</v>
      </c>
      <c r="L665">
        <f t="shared" si="129"/>
        <v>0</v>
      </c>
      <c r="M665" t="str">
        <f t="shared" si="130"/>
        <v>00.000</v>
      </c>
      <c r="N665" s="1" t="str">
        <f t="shared" si="131"/>
        <v>00000.000</v>
      </c>
      <c r="O665" t="str">
        <f>IF('Import OpenCPN'!W666&gt;0,"N","S")</f>
        <v>S</v>
      </c>
      <c r="P665" t="str">
        <f>IF('Import OpenCPN'!X666&gt;0,"E","W")</f>
        <v>W</v>
      </c>
    </row>
    <row r="666" spans="1:16" x14ac:dyDescent="0.2">
      <c r="A666">
        <f>'Import OpenCPN'!W667</f>
        <v>0</v>
      </c>
      <c r="B666">
        <f>'Import OpenCPN'!X667</f>
        <v>0</v>
      </c>
      <c r="C666">
        <f t="shared" si="120"/>
        <v>0</v>
      </c>
      <c r="D666" t="str">
        <f t="shared" si="121"/>
        <v>00</v>
      </c>
      <c r="E666">
        <f t="shared" si="122"/>
        <v>0</v>
      </c>
      <c r="F666">
        <f t="shared" si="123"/>
        <v>0</v>
      </c>
      <c r="G666" s="23" t="str">
        <f t="shared" si="124"/>
        <v>00.000</v>
      </c>
      <c r="H666" s="1" t="str">
        <f t="shared" si="125"/>
        <v>0000.000</v>
      </c>
      <c r="I666">
        <f t="shared" si="126"/>
        <v>0</v>
      </c>
      <c r="J666" t="str">
        <f t="shared" si="127"/>
        <v>000</v>
      </c>
      <c r="K666">
        <f t="shared" si="128"/>
        <v>0</v>
      </c>
      <c r="L666">
        <f t="shared" si="129"/>
        <v>0</v>
      </c>
      <c r="M666" t="str">
        <f t="shared" si="130"/>
        <v>00.000</v>
      </c>
      <c r="N666" s="1" t="str">
        <f t="shared" si="131"/>
        <v>00000.000</v>
      </c>
      <c r="O666" t="str">
        <f>IF('Import OpenCPN'!W667&gt;0,"N","S")</f>
        <v>S</v>
      </c>
      <c r="P666" t="str">
        <f>IF('Import OpenCPN'!X667&gt;0,"E","W")</f>
        <v>W</v>
      </c>
    </row>
    <row r="667" spans="1:16" x14ac:dyDescent="0.2">
      <c r="A667">
        <f>'Import OpenCPN'!W668</f>
        <v>0</v>
      </c>
      <c r="B667">
        <f>'Import OpenCPN'!X668</f>
        <v>0</v>
      </c>
      <c r="C667">
        <f t="shared" si="120"/>
        <v>0</v>
      </c>
      <c r="D667" t="str">
        <f t="shared" si="121"/>
        <v>00</v>
      </c>
      <c r="E667">
        <f t="shared" si="122"/>
        <v>0</v>
      </c>
      <c r="F667">
        <f t="shared" si="123"/>
        <v>0</v>
      </c>
      <c r="G667" s="23" t="str">
        <f t="shared" si="124"/>
        <v>00.000</v>
      </c>
      <c r="H667" s="1" t="str">
        <f t="shared" si="125"/>
        <v>0000.000</v>
      </c>
      <c r="I667">
        <f t="shared" si="126"/>
        <v>0</v>
      </c>
      <c r="J667" t="str">
        <f t="shared" si="127"/>
        <v>000</v>
      </c>
      <c r="K667">
        <f t="shared" si="128"/>
        <v>0</v>
      </c>
      <c r="L667">
        <f t="shared" si="129"/>
        <v>0</v>
      </c>
      <c r="M667" t="str">
        <f t="shared" si="130"/>
        <v>00.000</v>
      </c>
      <c r="N667" s="1" t="str">
        <f t="shared" si="131"/>
        <v>00000.000</v>
      </c>
      <c r="O667" t="str">
        <f>IF('Import OpenCPN'!W668&gt;0,"N","S")</f>
        <v>S</v>
      </c>
      <c r="P667" t="str">
        <f>IF('Import OpenCPN'!X668&gt;0,"E","W")</f>
        <v>W</v>
      </c>
    </row>
    <row r="668" spans="1:16" x14ac:dyDescent="0.2">
      <c r="A668">
        <f>'Import OpenCPN'!W669</f>
        <v>0</v>
      </c>
      <c r="B668">
        <f>'Import OpenCPN'!X669</f>
        <v>0</v>
      </c>
      <c r="C668">
        <f t="shared" si="120"/>
        <v>0</v>
      </c>
      <c r="D668" t="str">
        <f t="shared" si="121"/>
        <v>00</v>
      </c>
      <c r="E668">
        <f t="shared" si="122"/>
        <v>0</v>
      </c>
      <c r="F668">
        <f t="shared" si="123"/>
        <v>0</v>
      </c>
      <c r="G668" s="23" t="str">
        <f t="shared" si="124"/>
        <v>00.000</v>
      </c>
      <c r="H668" s="1" t="str">
        <f t="shared" si="125"/>
        <v>0000.000</v>
      </c>
      <c r="I668">
        <f t="shared" si="126"/>
        <v>0</v>
      </c>
      <c r="J668" t="str">
        <f t="shared" si="127"/>
        <v>000</v>
      </c>
      <c r="K668">
        <f t="shared" si="128"/>
        <v>0</v>
      </c>
      <c r="L668">
        <f t="shared" si="129"/>
        <v>0</v>
      </c>
      <c r="M668" t="str">
        <f t="shared" si="130"/>
        <v>00.000</v>
      </c>
      <c r="N668" s="1" t="str">
        <f t="shared" si="131"/>
        <v>00000.000</v>
      </c>
      <c r="O668" t="str">
        <f>IF('Import OpenCPN'!W669&gt;0,"N","S")</f>
        <v>S</v>
      </c>
      <c r="P668" t="str">
        <f>IF('Import OpenCPN'!X669&gt;0,"E","W")</f>
        <v>W</v>
      </c>
    </row>
    <row r="669" spans="1:16" x14ac:dyDescent="0.2">
      <c r="A669">
        <f>'Import OpenCPN'!W670</f>
        <v>0</v>
      </c>
      <c r="B669">
        <f>'Import OpenCPN'!X670</f>
        <v>0</v>
      </c>
      <c r="C669">
        <f t="shared" si="120"/>
        <v>0</v>
      </c>
      <c r="D669" t="str">
        <f t="shared" si="121"/>
        <v>00</v>
      </c>
      <c r="E669">
        <f t="shared" si="122"/>
        <v>0</v>
      </c>
      <c r="F669">
        <f t="shared" si="123"/>
        <v>0</v>
      </c>
      <c r="G669" s="23" t="str">
        <f t="shared" si="124"/>
        <v>00.000</v>
      </c>
      <c r="H669" s="1" t="str">
        <f t="shared" si="125"/>
        <v>0000.000</v>
      </c>
      <c r="I669">
        <f t="shared" si="126"/>
        <v>0</v>
      </c>
      <c r="J669" t="str">
        <f t="shared" si="127"/>
        <v>000</v>
      </c>
      <c r="K669">
        <f t="shared" si="128"/>
        <v>0</v>
      </c>
      <c r="L669">
        <f t="shared" si="129"/>
        <v>0</v>
      </c>
      <c r="M669" t="str">
        <f t="shared" si="130"/>
        <v>00.000</v>
      </c>
      <c r="N669" s="1" t="str">
        <f t="shared" si="131"/>
        <v>00000.000</v>
      </c>
      <c r="O669" t="str">
        <f>IF('Import OpenCPN'!W670&gt;0,"N","S")</f>
        <v>S</v>
      </c>
      <c r="P669" t="str">
        <f>IF('Import OpenCPN'!X670&gt;0,"E","W")</f>
        <v>W</v>
      </c>
    </row>
    <row r="670" spans="1:16" x14ac:dyDescent="0.2">
      <c r="A670">
        <f>'Import OpenCPN'!W671</f>
        <v>0</v>
      </c>
      <c r="B670">
        <f>'Import OpenCPN'!X671</f>
        <v>0</v>
      </c>
      <c r="C670">
        <f t="shared" si="120"/>
        <v>0</v>
      </c>
      <c r="D670" t="str">
        <f t="shared" si="121"/>
        <v>00</v>
      </c>
      <c r="E670">
        <f t="shared" si="122"/>
        <v>0</v>
      </c>
      <c r="F670">
        <f t="shared" si="123"/>
        <v>0</v>
      </c>
      <c r="G670" s="23" t="str">
        <f t="shared" si="124"/>
        <v>00.000</v>
      </c>
      <c r="H670" s="1" t="str">
        <f t="shared" si="125"/>
        <v>0000.000</v>
      </c>
      <c r="I670">
        <f t="shared" si="126"/>
        <v>0</v>
      </c>
      <c r="J670" t="str">
        <f t="shared" si="127"/>
        <v>000</v>
      </c>
      <c r="K670">
        <f t="shared" si="128"/>
        <v>0</v>
      </c>
      <c r="L670">
        <f t="shared" si="129"/>
        <v>0</v>
      </c>
      <c r="M670" t="str">
        <f t="shared" si="130"/>
        <v>00.000</v>
      </c>
      <c r="N670" s="1" t="str">
        <f t="shared" si="131"/>
        <v>00000.000</v>
      </c>
      <c r="O670" t="str">
        <f>IF('Import OpenCPN'!W671&gt;0,"N","S")</f>
        <v>S</v>
      </c>
      <c r="P670" t="str">
        <f>IF('Import OpenCPN'!X671&gt;0,"E","W")</f>
        <v>W</v>
      </c>
    </row>
    <row r="671" spans="1:16" x14ac:dyDescent="0.2">
      <c r="A671">
        <f>'Import OpenCPN'!W672</f>
        <v>0</v>
      </c>
      <c r="B671">
        <f>'Import OpenCPN'!X672</f>
        <v>0</v>
      </c>
      <c r="C671">
        <f t="shared" si="120"/>
        <v>0</v>
      </c>
      <c r="D671" t="str">
        <f t="shared" si="121"/>
        <v>00</v>
      </c>
      <c r="E671">
        <f t="shared" si="122"/>
        <v>0</v>
      </c>
      <c r="F671">
        <f t="shared" si="123"/>
        <v>0</v>
      </c>
      <c r="G671" s="23" t="str">
        <f t="shared" si="124"/>
        <v>00.000</v>
      </c>
      <c r="H671" s="1" t="str">
        <f t="shared" si="125"/>
        <v>0000.000</v>
      </c>
      <c r="I671">
        <f t="shared" si="126"/>
        <v>0</v>
      </c>
      <c r="J671" t="str">
        <f t="shared" si="127"/>
        <v>000</v>
      </c>
      <c r="K671">
        <f t="shared" si="128"/>
        <v>0</v>
      </c>
      <c r="L671">
        <f t="shared" si="129"/>
        <v>0</v>
      </c>
      <c r="M671" t="str">
        <f t="shared" si="130"/>
        <v>00.000</v>
      </c>
      <c r="N671" s="1" t="str">
        <f t="shared" si="131"/>
        <v>00000.000</v>
      </c>
      <c r="O671" t="str">
        <f>IF('Import OpenCPN'!W672&gt;0,"N","S")</f>
        <v>S</v>
      </c>
      <c r="P671" t="str">
        <f>IF('Import OpenCPN'!X672&gt;0,"E","W")</f>
        <v>W</v>
      </c>
    </row>
    <row r="672" spans="1:16" x14ac:dyDescent="0.2">
      <c r="A672">
        <f>'Import OpenCPN'!W673</f>
        <v>0</v>
      </c>
      <c r="B672">
        <f>'Import OpenCPN'!X673</f>
        <v>0</v>
      </c>
      <c r="C672">
        <f t="shared" si="120"/>
        <v>0</v>
      </c>
      <c r="D672" t="str">
        <f t="shared" si="121"/>
        <v>00</v>
      </c>
      <c r="E672">
        <f t="shared" si="122"/>
        <v>0</v>
      </c>
      <c r="F672">
        <f t="shared" si="123"/>
        <v>0</v>
      </c>
      <c r="G672" s="23" t="str">
        <f t="shared" si="124"/>
        <v>00.000</v>
      </c>
      <c r="H672" s="1" t="str">
        <f t="shared" si="125"/>
        <v>0000.000</v>
      </c>
      <c r="I672">
        <f t="shared" si="126"/>
        <v>0</v>
      </c>
      <c r="J672" t="str">
        <f t="shared" si="127"/>
        <v>000</v>
      </c>
      <c r="K672">
        <f t="shared" si="128"/>
        <v>0</v>
      </c>
      <c r="L672">
        <f t="shared" si="129"/>
        <v>0</v>
      </c>
      <c r="M672" t="str">
        <f t="shared" si="130"/>
        <v>00.000</v>
      </c>
      <c r="N672" s="1" t="str">
        <f t="shared" si="131"/>
        <v>00000.000</v>
      </c>
      <c r="O672" t="str">
        <f>IF('Import OpenCPN'!W673&gt;0,"N","S")</f>
        <v>S</v>
      </c>
      <c r="P672" t="str">
        <f>IF('Import OpenCPN'!X673&gt;0,"E","W")</f>
        <v>W</v>
      </c>
    </row>
    <row r="673" spans="1:16" x14ac:dyDescent="0.2">
      <c r="A673">
        <f>'Import OpenCPN'!W674</f>
        <v>0</v>
      </c>
      <c r="B673">
        <f>'Import OpenCPN'!X674</f>
        <v>0</v>
      </c>
      <c r="C673">
        <f t="shared" si="120"/>
        <v>0</v>
      </c>
      <c r="D673" t="str">
        <f t="shared" si="121"/>
        <v>00</v>
      </c>
      <c r="E673">
        <f t="shared" si="122"/>
        <v>0</v>
      </c>
      <c r="F673">
        <f t="shared" si="123"/>
        <v>0</v>
      </c>
      <c r="G673" s="23" t="str">
        <f t="shared" si="124"/>
        <v>00.000</v>
      </c>
      <c r="H673" s="1" t="str">
        <f t="shared" si="125"/>
        <v>0000.000</v>
      </c>
      <c r="I673">
        <f t="shared" si="126"/>
        <v>0</v>
      </c>
      <c r="J673" t="str">
        <f t="shared" si="127"/>
        <v>000</v>
      </c>
      <c r="K673">
        <f t="shared" si="128"/>
        <v>0</v>
      </c>
      <c r="L673">
        <f t="shared" si="129"/>
        <v>0</v>
      </c>
      <c r="M673" t="str">
        <f t="shared" si="130"/>
        <v>00.000</v>
      </c>
      <c r="N673" s="1" t="str">
        <f t="shared" si="131"/>
        <v>00000.000</v>
      </c>
      <c r="O673" t="str">
        <f>IF('Import OpenCPN'!W674&gt;0,"N","S")</f>
        <v>S</v>
      </c>
      <c r="P673" t="str">
        <f>IF('Import OpenCPN'!X674&gt;0,"E","W")</f>
        <v>W</v>
      </c>
    </row>
    <row r="674" spans="1:16" x14ac:dyDescent="0.2">
      <c r="A674">
        <f>'Import OpenCPN'!W675</f>
        <v>0</v>
      </c>
      <c r="B674">
        <f>'Import OpenCPN'!X675</f>
        <v>0</v>
      </c>
      <c r="C674">
        <f t="shared" si="120"/>
        <v>0</v>
      </c>
      <c r="D674" t="str">
        <f t="shared" si="121"/>
        <v>00</v>
      </c>
      <c r="E674">
        <f t="shared" si="122"/>
        <v>0</v>
      </c>
      <c r="F674">
        <f t="shared" si="123"/>
        <v>0</v>
      </c>
      <c r="G674" s="23" t="str">
        <f t="shared" si="124"/>
        <v>00.000</v>
      </c>
      <c r="H674" s="1" t="str">
        <f t="shared" si="125"/>
        <v>0000.000</v>
      </c>
      <c r="I674">
        <f t="shared" si="126"/>
        <v>0</v>
      </c>
      <c r="J674" t="str">
        <f t="shared" si="127"/>
        <v>000</v>
      </c>
      <c r="K674">
        <f t="shared" si="128"/>
        <v>0</v>
      </c>
      <c r="L674">
        <f t="shared" si="129"/>
        <v>0</v>
      </c>
      <c r="M674" t="str">
        <f t="shared" si="130"/>
        <v>00.000</v>
      </c>
      <c r="N674" s="1" t="str">
        <f t="shared" si="131"/>
        <v>00000.000</v>
      </c>
      <c r="O674" t="str">
        <f>IF('Import OpenCPN'!W675&gt;0,"N","S")</f>
        <v>S</v>
      </c>
      <c r="P674" t="str">
        <f>IF('Import OpenCPN'!X675&gt;0,"E","W")</f>
        <v>W</v>
      </c>
    </row>
    <row r="675" spans="1:16" x14ac:dyDescent="0.2">
      <c r="A675">
        <f>'Import OpenCPN'!W676</f>
        <v>0</v>
      </c>
      <c r="B675">
        <f>'Import OpenCPN'!X676</f>
        <v>0</v>
      </c>
      <c r="C675">
        <f t="shared" si="120"/>
        <v>0</v>
      </c>
      <c r="D675" t="str">
        <f t="shared" si="121"/>
        <v>00</v>
      </c>
      <c r="E675">
        <f t="shared" si="122"/>
        <v>0</v>
      </c>
      <c r="F675">
        <f t="shared" si="123"/>
        <v>0</v>
      </c>
      <c r="G675" s="23" t="str">
        <f t="shared" si="124"/>
        <v>00.000</v>
      </c>
      <c r="H675" s="1" t="str">
        <f t="shared" si="125"/>
        <v>0000.000</v>
      </c>
      <c r="I675">
        <f t="shared" si="126"/>
        <v>0</v>
      </c>
      <c r="J675" t="str">
        <f t="shared" si="127"/>
        <v>000</v>
      </c>
      <c r="K675">
        <f t="shared" si="128"/>
        <v>0</v>
      </c>
      <c r="L675">
        <f t="shared" si="129"/>
        <v>0</v>
      </c>
      <c r="M675" t="str">
        <f t="shared" si="130"/>
        <v>00.000</v>
      </c>
      <c r="N675" s="1" t="str">
        <f t="shared" si="131"/>
        <v>00000.000</v>
      </c>
      <c r="O675" t="str">
        <f>IF('Import OpenCPN'!W676&gt;0,"N","S")</f>
        <v>S</v>
      </c>
      <c r="P675" t="str">
        <f>IF('Import OpenCPN'!X676&gt;0,"E","W")</f>
        <v>W</v>
      </c>
    </row>
    <row r="676" spans="1:16" x14ac:dyDescent="0.2">
      <c r="A676">
        <f>'Import OpenCPN'!W677</f>
        <v>0</v>
      </c>
      <c r="B676">
        <f>'Import OpenCPN'!X677</f>
        <v>0</v>
      </c>
      <c r="C676">
        <f t="shared" si="120"/>
        <v>0</v>
      </c>
      <c r="D676" t="str">
        <f t="shared" si="121"/>
        <v>00</v>
      </c>
      <c r="E676">
        <f t="shared" si="122"/>
        <v>0</v>
      </c>
      <c r="F676">
        <f t="shared" si="123"/>
        <v>0</v>
      </c>
      <c r="G676" s="23" t="str">
        <f t="shared" si="124"/>
        <v>00.000</v>
      </c>
      <c r="H676" s="1" t="str">
        <f t="shared" si="125"/>
        <v>0000.000</v>
      </c>
      <c r="I676">
        <f t="shared" si="126"/>
        <v>0</v>
      </c>
      <c r="J676" t="str">
        <f t="shared" si="127"/>
        <v>000</v>
      </c>
      <c r="K676">
        <f t="shared" si="128"/>
        <v>0</v>
      </c>
      <c r="L676">
        <f t="shared" si="129"/>
        <v>0</v>
      </c>
      <c r="M676" t="str">
        <f t="shared" si="130"/>
        <v>00.000</v>
      </c>
      <c r="N676" s="1" t="str">
        <f t="shared" si="131"/>
        <v>00000.000</v>
      </c>
      <c r="O676" t="str">
        <f>IF('Import OpenCPN'!W677&gt;0,"N","S")</f>
        <v>S</v>
      </c>
      <c r="P676" t="str">
        <f>IF('Import OpenCPN'!X677&gt;0,"E","W")</f>
        <v>W</v>
      </c>
    </row>
    <row r="677" spans="1:16" x14ac:dyDescent="0.2">
      <c r="A677">
        <f>'Import OpenCPN'!W678</f>
        <v>0</v>
      </c>
      <c r="B677">
        <f>'Import OpenCPN'!X678</f>
        <v>0</v>
      </c>
      <c r="C677">
        <f t="shared" si="120"/>
        <v>0</v>
      </c>
      <c r="D677" t="str">
        <f t="shared" si="121"/>
        <v>00</v>
      </c>
      <c r="E677">
        <f t="shared" si="122"/>
        <v>0</v>
      </c>
      <c r="F677">
        <f t="shared" si="123"/>
        <v>0</v>
      </c>
      <c r="G677" s="23" t="str">
        <f t="shared" si="124"/>
        <v>00.000</v>
      </c>
      <c r="H677" s="1" t="str">
        <f t="shared" si="125"/>
        <v>0000.000</v>
      </c>
      <c r="I677">
        <f t="shared" si="126"/>
        <v>0</v>
      </c>
      <c r="J677" t="str">
        <f t="shared" si="127"/>
        <v>000</v>
      </c>
      <c r="K677">
        <f t="shared" si="128"/>
        <v>0</v>
      </c>
      <c r="L677">
        <f t="shared" si="129"/>
        <v>0</v>
      </c>
      <c r="M677" t="str">
        <f t="shared" si="130"/>
        <v>00.000</v>
      </c>
      <c r="N677" s="1" t="str">
        <f t="shared" si="131"/>
        <v>00000.000</v>
      </c>
      <c r="O677" t="str">
        <f>IF('Import OpenCPN'!W678&gt;0,"N","S")</f>
        <v>S</v>
      </c>
      <c r="P677" t="str">
        <f>IF('Import OpenCPN'!X678&gt;0,"E","W")</f>
        <v>W</v>
      </c>
    </row>
    <row r="678" spans="1:16" x14ac:dyDescent="0.2">
      <c r="A678">
        <f>'Import OpenCPN'!W679</f>
        <v>0</v>
      </c>
      <c r="B678">
        <f>'Import OpenCPN'!X679</f>
        <v>0</v>
      </c>
      <c r="C678">
        <f t="shared" si="120"/>
        <v>0</v>
      </c>
      <c r="D678" t="str">
        <f t="shared" si="121"/>
        <v>00</v>
      </c>
      <c r="E678">
        <f t="shared" si="122"/>
        <v>0</v>
      </c>
      <c r="F678">
        <f t="shared" si="123"/>
        <v>0</v>
      </c>
      <c r="G678" s="23" t="str">
        <f t="shared" si="124"/>
        <v>00.000</v>
      </c>
      <c r="H678" s="1" t="str">
        <f t="shared" si="125"/>
        <v>0000.000</v>
      </c>
      <c r="I678">
        <f t="shared" si="126"/>
        <v>0</v>
      </c>
      <c r="J678" t="str">
        <f t="shared" si="127"/>
        <v>000</v>
      </c>
      <c r="K678">
        <f t="shared" si="128"/>
        <v>0</v>
      </c>
      <c r="L678">
        <f t="shared" si="129"/>
        <v>0</v>
      </c>
      <c r="M678" t="str">
        <f t="shared" si="130"/>
        <v>00.000</v>
      </c>
      <c r="N678" s="1" t="str">
        <f t="shared" si="131"/>
        <v>00000.000</v>
      </c>
      <c r="O678" t="str">
        <f>IF('Import OpenCPN'!W679&gt;0,"N","S")</f>
        <v>S</v>
      </c>
      <c r="P678" t="str">
        <f>IF('Import OpenCPN'!X679&gt;0,"E","W")</f>
        <v>W</v>
      </c>
    </row>
    <row r="679" spans="1:16" x14ac:dyDescent="0.2">
      <c r="A679">
        <f>'Import OpenCPN'!W680</f>
        <v>0</v>
      </c>
      <c r="B679">
        <f>'Import OpenCPN'!X680</f>
        <v>0</v>
      </c>
      <c r="C679">
        <f t="shared" si="120"/>
        <v>0</v>
      </c>
      <c r="D679" t="str">
        <f t="shared" si="121"/>
        <v>00</v>
      </c>
      <c r="E679">
        <f t="shared" si="122"/>
        <v>0</v>
      </c>
      <c r="F679">
        <f t="shared" si="123"/>
        <v>0</v>
      </c>
      <c r="G679" s="23" t="str">
        <f t="shared" si="124"/>
        <v>00.000</v>
      </c>
      <c r="H679" s="1" t="str">
        <f t="shared" si="125"/>
        <v>0000.000</v>
      </c>
      <c r="I679">
        <f t="shared" si="126"/>
        <v>0</v>
      </c>
      <c r="J679" t="str">
        <f t="shared" si="127"/>
        <v>000</v>
      </c>
      <c r="K679">
        <f t="shared" si="128"/>
        <v>0</v>
      </c>
      <c r="L679">
        <f t="shared" si="129"/>
        <v>0</v>
      </c>
      <c r="M679" t="str">
        <f t="shared" si="130"/>
        <v>00.000</v>
      </c>
      <c r="N679" s="1" t="str">
        <f t="shared" si="131"/>
        <v>00000.000</v>
      </c>
      <c r="O679" t="str">
        <f>IF('Import OpenCPN'!W680&gt;0,"N","S")</f>
        <v>S</v>
      </c>
      <c r="P679" t="str">
        <f>IF('Import OpenCPN'!X680&gt;0,"E","W")</f>
        <v>W</v>
      </c>
    </row>
    <row r="680" spans="1:16" x14ac:dyDescent="0.2">
      <c r="A680">
        <f>'Import OpenCPN'!W681</f>
        <v>0</v>
      </c>
      <c r="B680">
        <f>'Import OpenCPN'!X681</f>
        <v>0</v>
      </c>
      <c r="C680">
        <f t="shared" si="120"/>
        <v>0</v>
      </c>
      <c r="D680" t="str">
        <f t="shared" si="121"/>
        <v>00</v>
      </c>
      <c r="E680">
        <f t="shared" si="122"/>
        <v>0</v>
      </c>
      <c r="F680">
        <f t="shared" si="123"/>
        <v>0</v>
      </c>
      <c r="G680" s="23" t="str">
        <f t="shared" si="124"/>
        <v>00.000</v>
      </c>
      <c r="H680" s="1" t="str">
        <f t="shared" si="125"/>
        <v>0000.000</v>
      </c>
      <c r="I680">
        <f t="shared" si="126"/>
        <v>0</v>
      </c>
      <c r="J680" t="str">
        <f t="shared" si="127"/>
        <v>000</v>
      </c>
      <c r="K680">
        <f t="shared" si="128"/>
        <v>0</v>
      </c>
      <c r="L680">
        <f t="shared" si="129"/>
        <v>0</v>
      </c>
      <c r="M680" t="str">
        <f t="shared" si="130"/>
        <v>00.000</v>
      </c>
      <c r="N680" s="1" t="str">
        <f t="shared" si="131"/>
        <v>00000.000</v>
      </c>
      <c r="O680" t="str">
        <f>IF('Import OpenCPN'!W681&gt;0,"N","S")</f>
        <v>S</v>
      </c>
      <c r="P680" t="str">
        <f>IF('Import OpenCPN'!X681&gt;0,"E","W")</f>
        <v>W</v>
      </c>
    </row>
    <row r="681" spans="1:16" x14ac:dyDescent="0.2">
      <c r="A681">
        <f>'Import OpenCPN'!W682</f>
        <v>0</v>
      </c>
      <c r="B681">
        <f>'Import OpenCPN'!X682</f>
        <v>0</v>
      </c>
      <c r="C681">
        <f t="shared" si="120"/>
        <v>0</v>
      </c>
      <c r="D681" t="str">
        <f t="shared" si="121"/>
        <v>00</v>
      </c>
      <c r="E681">
        <f t="shared" si="122"/>
        <v>0</v>
      </c>
      <c r="F681">
        <f t="shared" si="123"/>
        <v>0</v>
      </c>
      <c r="G681" s="23" t="str">
        <f t="shared" si="124"/>
        <v>00.000</v>
      </c>
      <c r="H681" s="1" t="str">
        <f t="shared" si="125"/>
        <v>0000.000</v>
      </c>
      <c r="I681">
        <f t="shared" si="126"/>
        <v>0</v>
      </c>
      <c r="J681" t="str">
        <f t="shared" si="127"/>
        <v>000</v>
      </c>
      <c r="K681">
        <f t="shared" si="128"/>
        <v>0</v>
      </c>
      <c r="L681">
        <f t="shared" si="129"/>
        <v>0</v>
      </c>
      <c r="M681" t="str">
        <f t="shared" si="130"/>
        <v>00.000</v>
      </c>
      <c r="N681" s="1" t="str">
        <f t="shared" si="131"/>
        <v>00000.000</v>
      </c>
      <c r="O681" t="str">
        <f>IF('Import OpenCPN'!W682&gt;0,"N","S")</f>
        <v>S</v>
      </c>
      <c r="P681" t="str">
        <f>IF('Import OpenCPN'!X682&gt;0,"E","W")</f>
        <v>W</v>
      </c>
    </row>
    <row r="682" spans="1:16" x14ac:dyDescent="0.2">
      <c r="A682">
        <f>'Import OpenCPN'!W683</f>
        <v>0</v>
      </c>
      <c r="B682">
        <f>'Import OpenCPN'!X683</f>
        <v>0</v>
      </c>
      <c r="C682">
        <f t="shared" si="120"/>
        <v>0</v>
      </c>
      <c r="D682" t="str">
        <f t="shared" si="121"/>
        <v>00</v>
      </c>
      <c r="E682">
        <f t="shared" si="122"/>
        <v>0</v>
      </c>
      <c r="F682">
        <f t="shared" si="123"/>
        <v>0</v>
      </c>
      <c r="G682" s="23" t="str">
        <f t="shared" si="124"/>
        <v>00.000</v>
      </c>
      <c r="H682" s="1" t="str">
        <f t="shared" si="125"/>
        <v>0000.000</v>
      </c>
      <c r="I682">
        <f t="shared" si="126"/>
        <v>0</v>
      </c>
      <c r="J682" t="str">
        <f t="shared" si="127"/>
        <v>000</v>
      </c>
      <c r="K682">
        <f t="shared" si="128"/>
        <v>0</v>
      </c>
      <c r="L682">
        <f t="shared" si="129"/>
        <v>0</v>
      </c>
      <c r="M682" t="str">
        <f t="shared" si="130"/>
        <v>00.000</v>
      </c>
      <c r="N682" s="1" t="str">
        <f t="shared" si="131"/>
        <v>00000.000</v>
      </c>
      <c r="O682" t="str">
        <f>IF('Import OpenCPN'!W683&gt;0,"N","S")</f>
        <v>S</v>
      </c>
      <c r="P682" t="str">
        <f>IF('Import OpenCPN'!X683&gt;0,"E","W")</f>
        <v>W</v>
      </c>
    </row>
    <row r="683" spans="1:16" x14ac:dyDescent="0.2">
      <c r="A683">
        <f>'Import OpenCPN'!W684</f>
        <v>0</v>
      </c>
      <c r="B683">
        <f>'Import OpenCPN'!X684</f>
        <v>0</v>
      </c>
      <c r="C683">
        <f t="shared" si="120"/>
        <v>0</v>
      </c>
      <c r="D683" t="str">
        <f t="shared" si="121"/>
        <v>00</v>
      </c>
      <c r="E683">
        <f t="shared" si="122"/>
        <v>0</v>
      </c>
      <c r="F683">
        <f t="shared" si="123"/>
        <v>0</v>
      </c>
      <c r="G683" s="23" t="str">
        <f t="shared" si="124"/>
        <v>00.000</v>
      </c>
      <c r="H683" s="1" t="str">
        <f t="shared" si="125"/>
        <v>0000.000</v>
      </c>
      <c r="I683">
        <f t="shared" si="126"/>
        <v>0</v>
      </c>
      <c r="J683" t="str">
        <f t="shared" si="127"/>
        <v>000</v>
      </c>
      <c r="K683">
        <f t="shared" si="128"/>
        <v>0</v>
      </c>
      <c r="L683">
        <f t="shared" si="129"/>
        <v>0</v>
      </c>
      <c r="M683" t="str">
        <f t="shared" si="130"/>
        <v>00.000</v>
      </c>
      <c r="N683" s="1" t="str">
        <f t="shared" si="131"/>
        <v>00000.000</v>
      </c>
      <c r="O683" t="str">
        <f>IF('Import OpenCPN'!W684&gt;0,"N","S")</f>
        <v>S</v>
      </c>
      <c r="P683" t="str">
        <f>IF('Import OpenCPN'!X684&gt;0,"E","W")</f>
        <v>W</v>
      </c>
    </row>
    <row r="684" spans="1:16" x14ac:dyDescent="0.2">
      <c r="A684">
        <f>'Import OpenCPN'!W685</f>
        <v>0</v>
      </c>
      <c r="B684">
        <f>'Import OpenCPN'!X685</f>
        <v>0</v>
      </c>
      <c r="C684">
        <f t="shared" si="120"/>
        <v>0</v>
      </c>
      <c r="D684" t="str">
        <f t="shared" si="121"/>
        <v>00</v>
      </c>
      <c r="E684">
        <f t="shared" si="122"/>
        <v>0</v>
      </c>
      <c r="F684">
        <f t="shared" si="123"/>
        <v>0</v>
      </c>
      <c r="G684" s="23" t="str">
        <f t="shared" si="124"/>
        <v>00.000</v>
      </c>
      <c r="H684" s="1" t="str">
        <f t="shared" si="125"/>
        <v>0000.000</v>
      </c>
      <c r="I684">
        <f t="shared" si="126"/>
        <v>0</v>
      </c>
      <c r="J684" t="str">
        <f t="shared" si="127"/>
        <v>000</v>
      </c>
      <c r="K684">
        <f t="shared" si="128"/>
        <v>0</v>
      </c>
      <c r="L684">
        <f t="shared" si="129"/>
        <v>0</v>
      </c>
      <c r="M684" t="str">
        <f t="shared" si="130"/>
        <v>00.000</v>
      </c>
      <c r="N684" s="1" t="str">
        <f t="shared" si="131"/>
        <v>00000.000</v>
      </c>
      <c r="O684" t="str">
        <f>IF('Import OpenCPN'!W685&gt;0,"N","S")</f>
        <v>S</v>
      </c>
      <c r="P684" t="str">
        <f>IF('Import OpenCPN'!X685&gt;0,"E","W")</f>
        <v>W</v>
      </c>
    </row>
    <row r="685" spans="1:16" x14ac:dyDescent="0.2">
      <c r="A685">
        <f>'Import OpenCPN'!W686</f>
        <v>0</v>
      </c>
      <c r="B685">
        <f>'Import OpenCPN'!X686</f>
        <v>0</v>
      </c>
      <c r="C685">
        <f t="shared" si="120"/>
        <v>0</v>
      </c>
      <c r="D685" t="str">
        <f t="shared" si="121"/>
        <v>00</v>
      </c>
      <c r="E685">
        <f t="shared" si="122"/>
        <v>0</v>
      </c>
      <c r="F685">
        <f t="shared" si="123"/>
        <v>0</v>
      </c>
      <c r="G685" s="23" t="str">
        <f t="shared" si="124"/>
        <v>00.000</v>
      </c>
      <c r="H685" s="1" t="str">
        <f t="shared" si="125"/>
        <v>0000.000</v>
      </c>
      <c r="I685">
        <f t="shared" si="126"/>
        <v>0</v>
      </c>
      <c r="J685" t="str">
        <f t="shared" si="127"/>
        <v>000</v>
      </c>
      <c r="K685">
        <f t="shared" si="128"/>
        <v>0</v>
      </c>
      <c r="L685">
        <f t="shared" si="129"/>
        <v>0</v>
      </c>
      <c r="M685" t="str">
        <f t="shared" si="130"/>
        <v>00.000</v>
      </c>
      <c r="N685" s="1" t="str">
        <f t="shared" si="131"/>
        <v>00000.000</v>
      </c>
      <c r="O685" t="str">
        <f>IF('Import OpenCPN'!W686&gt;0,"N","S")</f>
        <v>S</v>
      </c>
      <c r="P685" t="str">
        <f>IF('Import OpenCPN'!X686&gt;0,"E","W")</f>
        <v>W</v>
      </c>
    </row>
    <row r="686" spans="1:16" x14ac:dyDescent="0.2">
      <c r="A686">
        <f>'Import OpenCPN'!W687</f>
        <v>0</v>
      </c>
      <c r="B686">
        <f>'Import OpenCPN'!X687</f>
        <v>0</v>
      </c>
      <c r="C686">
        <f t="shared" si="120"/>
        <v>0</v>
      </c>
      <c r="D686" t="str">
        <f t="shared" si="121"/>
        <v>00</v>
      </c>
      <c r="E686">
        <f t="shared" si="122"/>
        <v>0</v>
      </c>
      <c r="F686">
        <f t="shared" si="123"/>
        <v>0</v>
      </c>
      <c r="G686" s="23" t="str">
        <f t="shared" si="124"/>
        <v>00.000</v>
      </c>
      <c r="H686" s="1" t="str">
        <f t="shared" si="125"/>
        <v>0000.000</v>
      </c>
      <c r="I686">
        <f t="shared" si="126"/>
        <v>0</v>
      </c>
      <c r="J686" t="str">
        <f t="shared" si="127"/>
        <v>000</v>
      </c>
      <c r="K686">
        <f t="shared" si="128"/>
        <v>0</v>
      </c>
      <c r="L686">
        <f t="shared" si="129"/>
        <v>0</v>
      </c>
      <c r="M686" t="str">
        <f t="shared" si="130"/>
        <v>00.000</v>
      </c>
      <c r="N686" s="1" t="str">
        <f t="shared" si="131"/>
        <v>00000.000</v>
      </c>
      <c r="O686" t="str">
        <f>IF('Import OpenCPN'!W687&gt;0,"N","S")</f>
        <v>S</v>
      </c>
      <c r="P686" t="str">
        <f>IF('Import OpenCPN'!X687&gt;0,"E","W")</f>
        <v>W</v>
      </c>
    </row>
    <row r="687" spans="1:16" x14ac:dyDescent="0.2">
      <c r="A687">
        <f>'Import OpenCPN'!W688</f>
        <v>0</v>
      </c>
      <c r="B687">
        <f>'Import OpenCPN'!X688</f>
        <v>0</v>
      </c>
      <c r="C687">
        <f t="shared" si="120"/>
        <v>0</v>
      </c>
      <c r="D687" t="str">
        <f t="shared" si="121"/>
        <v>00</v>
      </c>
      <c r="E687">
        <f t="shared" si="122"/>
        <v>0</v>
      </c>
      <c r="F687">
        <f t="shared" si="123"/>
        <v>0</v>
      </c>
      <c r="G687" s="23" t="str">
        <f t="shared" si="124"/>
        <v>00.000</v>
      </c>
      <c r="H687" s="1" t="str">
        <f t="shared" si="125"/>
        <v>0000.000</v>
      </c>
      <c r="I687">
        <f t="shared" si="126"/>
        <v>0</v>
      </c>
      <c r="J687" t="str">
        <f t="shared" si="127"/>
        <v>000</v>
      </c>
      <c r="K687">
        <f t="shared" si="128"/>
        <v>0</v>
      </c>
      <c r="L687">
        <f t="shared" si="129"/>
        <v>0</v>
      </c>
      <c r="M687" t="str">
        <f t="shared" si="130"/>
        <v>00.000</v>
      </c>
      <c r="N687" s="1" t="str">
        <f t="shared" si="131"/>
        <v>00000.000</v>
      </c>
      <c r="O687" t="str">
        <f>IF('Import OpenCPN'!W688&gt;0,"N","S")</f>
        <v>S</v>
      </c>
      <c r="P687" t="str">
        <f>IF('Import OpenCPN'!X688&gt;0,"E","W")</f>
        <v>W</v>
      </c>
    </row>
    <row r="688" spans="1:16" x14ac:dyDescent="0.2">
      <c r="A688">
        <f>'Import OpenCPN'!W689</f>
        <v>0</v>
      </c>
      <c r="B688">
        <f>'Import OpenCPN'!X689</f>
        <v>0</v>
      </c>
      <c r="C688">
        <f t="shared" si="120"/>
        <v>0</v>
      </c>
      <c r="D688" t="str">
        <f t="shared" si="121"/>
        <v>00</v>
      </c>
      <c r="E688">
        <f t="shared" si="122"/>
        <v>0</v>
      </c>
      <c r="F688">
        <f t="shared" si="123"/>
        <v>0</v>
      </c>
      <c r="G688" s="23" t="str">
        <f t="shared" si="124"/>
        <v>00.000</v>
      </c>
      <c r="H688" s="1" t="str">
        <f t="shared" si="125"/>
        <v>0000.000</v>
      </c>
      <c r="I688">
        <f t="shared" si="126"/>
        <v>0</v>
      </c>
      <c r="J688" t="str">
        <f t="shared" si="127"/>
        <v>000</v>
      </c>
      <c r="K688">
        <f t="shared" si="128"/>
        <v>0</v>
      </c>
      <c r="L688">
        <f t="shared" si="129"/>
        <v>0</v>
      </c>
      <c r="M688" t="str">
        <f t="shared" si="130"/>
        <v>00.000</v>
      </c>
      <c r="N688" s="1" t="str">
        <f t="shared" si="131"/>
        <v>00000.000</v>
      </c>
      <c r="O688" t="str">
        <f>IF('Import OpenCPN'!W689&gt;0,"N","S")</f>
        <v>S</v>
      </c>
      <c r="P688" t="str">
        <f>IF('Import OpenCPN'!X689&gt;0,"E","W")</f>
        <v>W</v>
      </c>
    </row>
    <row r="689" spans="1:16" x14ac:dyDescent="0.2">
      <c r="A689">
        <f>'Import OpenCPN'!W690</f>
        <v>0</v>
      </c>
      <c r="B689">
        <f>'Import OpenCPN'!X690</f>
        <v>0</v>
      </c>
      <c r="C689">
        <f t="shared" si="120"/>
        <v>0</v>
      </c>
      <c r="D689" t="str">
        <f t="shared" si="121"/>
        <v>00</v>
      </c>
      <c r="E689">
        <f t="shared" si="122"/>
        <v>0</v>
      </c>
      <c r="F689">
        <f t="shared" si="123"/>
        <v>0</v>
      </c>
      <c r="G689" s="23" t="str">
        <f t="shared" si="124"/>
        <v>00.000</v>
      </c>
      <c r="H689" s="1" t="str">
        <f t="shared" si="125"/>
        <v>0000.000</v>
      </c>
      <c r="I689">
        <f t="shared" si="126"/>
        <v>0</v>
      </c>
      <c r="J689" t="str">
        <f t="shared" si="127"/>
        <v>000</v>
      </c>
      <c r="K689">
        <f t="shared" si="128"/>
        <v>0</v>
      </c>
      <c r="L689">
        <f t="shared" si="129"/>
        <v>0</v>
      </c>
      <c r="M689" t="str">
        <f t="shared" si="130"/>
        <v>00.000</v>
      </c>
      <c r="N689" s="1" t="str">
        <f t="shared" si="131"/>
        <v>00000.000</v>
      </c>
      <c r="O689" t="str">
        <f>IF('Import OpenCPN'!W690&gt;0,"N","S")</f>
        <v>S</v>
      </c>
      <c r="P689" t="str">
        <f>IF('Import OpenCPN'!X690&gt;0,"E","W")</f>
        <v>W</v>
      </c>
    </row>
    <row r="690" spans="1:16" x14ac:dyDescent="0.2">
      <c r="A690">
        <f>'Import OpenCPN'!W691</f>
        <v>0</v>
      </c>
      <c r="B690">
        <f>'Import OpenCPN'!X691</f>
        <v>0</v>
      </c>
      <c r="C690">
        <f t="shared" si="120"/>
        <v>0</v>
      </c>
      <c r="D690" t="str">
        <f t="shared" si="121"/>
        <v>00</v>
      </c>
      <c r="E690">
        <f t="shared" si="122"/>
        <v>0</v>
      </c>
      <c r="F690">
        <f t="shared" si="123"/>
        <v>0</v>
      </c>
      <c r="G690" s="23" t="str">
        <f t="shared" si="124"/>
        <v>00.000</v>
      </c>
      <c r="H690" s="1" t="str">
        <f t="shared" si="125"/>
        <v>0000.000</v>
      </c>
      <c r="I690">
        <f t="shared" si="126"/>
        <v>0</v>
      </c>
      <c r="J690" t="str">
        <f t="shared" si="127"/>
        <v>000</v>
      </c>
      <c r="K690">
        <f t="shared" si="128"/>
        <v>0</v>
      </c>
      <c r="L690">
        <f t="shared" si="129"/>
        <v>0</v>
      </c>
      <c r="M690" t="str">
        <f t="shared" si="130"/>
        <v>00.000</v>
      </c>
      <c r="N690" s="1" t="str">
        <f t="shared" si="131"/>
        <v>00000.000</v>
      </c>
      <c r="O690" t="str">
        <f>IF('Import OpenCPN'!W691&gt;0,"N","S")</f>
        <v>S</v>
      </c>
      <c r="P690" t="str">
        <f>IF('Import OpenCPN'!X691&gt;0,"E","W")</f>
        <v>W</v>
      </c>
    </row>
    <row r="691" spans="1:16" x14ac:dyDescent="0.2">
      <c r="A691">
        <f>'Import OpenCPN'!W692</f>
        <v>0</v>
      </c>
      <c r="B691">
        <f>'Import OpenCPN'!X692</f>
        <v>0</v>
      </c>
      <c r="C691">
        <f t="shared" si="120"/>
        <v>0</v>
      </c>
      <c r="D691" t="str">
        <f t="shared" si="121"/>
        <v>00</v>
      </c>
      <c r="E691">
        <f t="shared" si="122"/>
        <v>0</v>
      </c>
      <c r="F691">
        <f t="shared" si="123"/>
        <v>0</v>
      </c>
      <c r="G691" s="23" t="str">
        <f t="shared" si="124"/>
        <v>00.000</v>
      </c>
      <c r="H691" s="1" t="str">
        <f t="shared" si="125"/>
        <v>0000.000</v>
      </c>
      <c r="I691">
        <f t="shared" si="126"/>
        <v>0</v>
      </c>
      <c r="J691" t="str">
        <f t="shared" si="127"/>
        <v>000</v>
      </c>
      <c r="K691">
        <f t="shared" si="128"/>
        <v>0</v>
      </c>
      <c r="L691">
        <f t="shared" si="129"/>
        <v>0</v>
      </c>
      <c r="M691" t="str">
        <f t="shared" si="130"/>
        <v>00.000</v>
      </c>
      <c r="N691" s="1" t="str">
        <f t="shared" si="131"/>
        <v>00000.000</v>
      </c>
      <c r="O691" t="str">
        <f>IF('Import OpenCPN'!W692&gt;0,"N","S")</f>
        <v>S</v>
      </c>
      <c r="P691" t="str">
        <f>IF('Import OpenCPN'!X692&gt;0,"E","W")</f>
        <v>W</v>
      </c>
    </row>
    <row r="692" spans="1:16" x14ac:dyDescent="0.2">
      <c r="A692">
        <f>'Import OpenCPN'!W693</f>
        <v>0</v>
      </c>
      <c r="B692">
        <f>'Import OpenCPN'!X693</f>
        <v>0</v>
      </c>
      <c r="C692">
        <f t="shared" si="120"/>
        <v>0</v>
      </c>
      <c r="D692" t="str">
        <f t="shared" si="121"/>
        <v>00</v>
      </c>
      <c r="E692">
        <f t="shared" si="122"/>
        <v>0</v>
      </c>
      <c r="F692">
        <f t="shared" si="123"/>
        <v>0</v>
      </c>
      <c r="G692" s="23" t="str">
        <f t="shared" si="124"/>
        <v>00.000</v>
      </c>
      <c r="H692" s="1" t="str">
        <f t="shared" si="125"/>
        <v>0000.000</v>
      </c>
      <c r="I692">
        <f t="shared" si="126"/>
        <v>0</v>
      </c>
      <c r="J692" t="str">
        <f t="shared" si="127"/>
        <v>000</v>
      </c>
      <c r="K692">
        <f t="shared" si="128"/>
        <v>0</v>
      </c>
      <c r="L692">
        <f t="shared" si="129"/>
        <v>0</v>
      </c>
      <c r="M692" t="str">
        <f t="shared" si="130"/>
        <v>00.000</v>
      </c>
      <c r="N692" s="1" t="str">
        <f t="shared" si="131"/>
        <v>00000.000</v>
      </c>
      <c r="O692" t="str">
        <f>IF('Import OpenCPN'!W693&gt;0,"N","S")</f>
        <v>S</v>
      </c>
      <c r="P692" t="str">
        <f>IF('Import OpenCPN'!X693&gt;0,"E","W")</f>
        <v>W</v>
      </c>
    </row>
    <row r="693" spans="1:16" x14ac:dyDescent="0.2">
      <c r="A693">
        <f>'Import OpenCPN'!W694</f>
        <v>0</v>
      </c>
      <c r="B693">
        <f>'Import OpenCPN'!X694</f>
        <v>0</v>
      </c>
      <c r="C693">
        <f t="shared" si="120"/>
        <v>0</v>
      </c>
      <c r="D693" t="str">
        <f t="shared" si="121"/>
        <v>00</v>
      </c>
      <c r="E693">
        <f t="shared" si="122"/>
        <v>0</v>
      </c>
      <c r="F693">
        <f t="shared" si="123"/>
        <v>0</v>
      </c>
      <c r="G693" s="23" t="str">
        <f t="shared" si="124"/>
        <v>00.000</v>
      </c>
      <c r="H693" s="1" t="str">
        <f t="shared" si="125"/>
        <v>0000.000</v>
      </c>
      <c r="I693">
        <f t="shared" si="126"/>
        <v>0</v>
      </c>
      <c r="J693" t="str">
        <f t="shared" si="127"/>
        <v>000</v>
      </c>
      <c r="K693">
        <f t="shared" si="128"/>
        <v>0</v>
      </c>
      <c r="L693">
        <f t="shared" si="129"/>
        <v>0</v>
      </c>
      <c r="M693" t="str">
        <f t="shared" si="130"/>
        <v>00.000</v>
      </c>
      <c r="N693" s="1" t="str">
        <f t="shared" si="131"/>
        <v>00000.000</v>
      </c>
      <c r="O693" t="str">
        <f>IF('Import OpenCPN'!W694&gt;0,"N","S")</f>
        <v>S</v>
      </c>
      <c r="P693" t="str">
        <f>IF('Import OpenCPN'!X694&gt;0,"E","W")</f>
        <v>W</v>
      </c>
    </row>
    <row r="694" spans="1:16" x14ac:dyDescent="0.2">
      <c r="A694">
        <f>'Import OpenCPN'!W695</f>
        <v>0</v>
      </c>
      <c r="B694">
        <f>'Import OpenCPN'!X695</f>
        <v>0</v>
      </c>
      <c r="C694">
        <f t="shared" si="120"/>
        <v>0</v>
      </c>
      <c r="D694" t="str">
        <f t="shared" si="121"/>
        <v>00</v>
      </c>
      <c r="E694">
        <f t="shared" si="122"/>
        <v>0</v>
      </c>
      <c r="F694">
        <f t="shared" si="123"/>
        <v>0</v>
      </c>
      <c r="G694" s="23" t="str">
        <f t="shared" si="124"/>
        <v>00.000</v>
      </c>
      <c r="H694" s="1" t="str">
        <f t="shared" si="125"/>
        <v>0000.000</v>
      </c>
      <c r="I694">
        <f t="shared" si="126"/>
        <v>0</v>
      </c>
      <c r="J694" t="str">
        <f t="shared" si="127"/>
        <v>000</v>
      </c>
      <c r="K694">
        <f t="shared" si="128"/>
        <v>0</v>
      </c>
      <c r="L694">
        <f t="shared" si="129"/>
        <v>0</v>
      </c>
      <c r="M694" t="str">
        <f t="shared" si="130"/>
        <v>00.000</v>
      </c>
      <c r="N694" s="1" t="str">
        <f t="shared" si="131"/>
        <v>00000.000</v>
      </c>
      <c r="O694" t="str">
        <f>IF('Import OpenCPN'!W695&gt;0,"N","S")</f>
        <v>S</v>
      </c>
      <c r="P694" t="str">
        <f>IF('Import OpenCPN'!X695&gt;0,"E","W")</f>
        <v>W</v>
      </c>
    </row>
    <row r="695" spans="1:16" x14ac:dyDescent="0.2">
      <c r="A695">
        <f>'Import OpenCPN'!W696</f>
        <v>0</v>
      </c>
      <c r="B695">
        <f>'Import OpenCPN'!X696</f>
        <v>0</v>
      </c>
      <c r="C695">
        <f t="shared" si="120"/>
        <v>0</v>
      </c>
      <c r="D695" t="str">
        <f t="shared" si="121"/>
        <v>00</v>
      </c>
      <c r="E695">
        <f t="shared" si="122"/>
        <v>0</v>
      </c>
      <c r="F695">
        <f t="shared" si="123"/>
        <v>0</v>
      </c>
      <c r="G695" s="23" t="str">
        <f t="shared" si="124"/>
        <v>00.000</v>
      </c>
      <c r="H695" s="1" t="str">
        <f t="shared" si="125"/>
        <v>0000.000</v>
      </c>
      <c r="I695">
        <f t="shared" si="126"/>
        <v>0</v>
      </c>
      <c r="J695" t="str">
        <f t="shared" si="127"/>
        <v>000</v>
      </c>
      <c r="K695">
        <f t="shared" si="128"/>
        <v>0</v>
      </c>
      <c r="L695">
        <f t="shared" si="129"/>
        <v>0</v>
      </c>
      <c r="M695" t="str">
        <f t="shared" si="130"/>
        <v>00.000</v>
      </c>
      <c r="N695" s="1" t="str">
        <f t="shared" si="131"/>
        <v>00000.000</v>
      </c>
      <c r="O695" t="str">
        <f>IF('Import OpenCPN'!W696&gt;0,"N","S")</f>
        <v>S</v>
      </c>
      <c r="P695" t="str">
        <f>IF('Import OpenCPN'!X696&gt;0,"E","W")</f>
        <v>W</v>
      </c>
    </row>
    <row r="696" spans="1:16" x14ac:dyDescent="0.2">
      <c r="A696">
        <f>'Import OpenCPN'!W697</f>
        <v>0</v>
      </c>
      <c r="B696">
        <f>'Import OpenCPN'!X697</f>
        <v>0</v>
      </c>
      <c r="C696">
        <f t="shared" si="120"/>
        <v>0</v>
      </c>
      <c r="D696" t="str">
        <f t="shared" si="121"/>
        <v>00</v>
      </c>
      <c r="E696">
        <f t="shared" si="122"/>
        <v>0</v>
      </c>
      <c r="F696">
        <f t="shared" si="123"/>
        <v>0</v>
      </c>
      <c r="G696" s="23" t="str">
        <f t="shared" si="124"/>
        <v>00.000</v>
      </c>
      <c r="H696" s="1" t="str">
        <f t="shared" si="125"/>
        <v>0000.000</v>
      </c>
      <c r="I696">
        <f t="shared" si="126"/>
        <v>0</v>
      </c>
      <c r="J696" t="str">
        <f t="shared" si="127"/>
        <v>000</v>
      </c>
      <c r="K696">
        <f t="shared" si="128"/>
        <v>0</v>
      </c>
      <c r="L696">
        <f t="shared" si="129"/>
        <v>0</v>
      </c>
      <c r="M696" t="str">
        <f t="shared" si="130"/>
        <v>00.000</v>
      </c>
      <c r="N696" s="1" t="str">
        <f t="shared" si="131"/>
        <v>00000.000</v>
      </c>
      <c r="O696" t="str">
        <f>IF('Import OpenCPN'!W697&gt;0,"N","S")</f>
        <v>S</v>
      </c>
      <c r="P696" t="str">
        <f>IF('Import OpenCPN'!X697&gt;0,"E","W")</f>
        <v>W</v>
      </c>
    </row>
    <row r="697" spans="1:16" x14ac:dyDescent="0.2">
      <c r="A697">
        <f>'Import OpenCPN'!W698</f>
        <v>0</v>
      </c>
      <c r="B697">
        <f>'Import OpenCPN'!X698</f>
        <v>0</v>
      </c>
      <c r="C697">
        <f t="shared" si="120"/>
        <v>0</v>
      </c>
      <c r="D697" t="str">
        <f t="shared" si="121"/>
        <v>00</v>
      </c>
      <c r="E697">
        <f t="shared" si="122"/>
        <v>0</v>
      </c>
      <c r="F697">
        <f t="shared" si="123"/>
        <v>0</v>
      </c>
      <c r="G697" s="23" t="str">
        <f t="shared" si="124"/>
        <v>00.000</v>
      </c>
      <c r="H697" s="1" t="str">
        <f t="shared" si="125"/>
        <v>0000.000</v>
      </c>
      <c r="I697">
        <f t="shared" si="126"/>
        <v>0</v>
      </c>
      <c r="J697" t="str">
        <f t="shared" si="127"/>
        <v>000</v>
      </c>
      <c r="K697">
        <f t="shared" si="128"/>
        <v>0</v>
      </c>
      <c r="L697">
        <f t="shared" si="129"/>
        <v>0</v>
      </c>
      <c r="M697" t="str">
        <f t="shared" si="130"/>
        <v>00.000</v>
      </c>
      <c r="N697" s="1" t="str">
        <f t="shared" si="131"/>
        <v>00000.000</v>
      </c>
      <c r="O697" t="str">
        <f>IF('Import OpenCPN'!W698&gt;0,"N","S")</f>
        <v>S</v>
      </c>
      <c r="P697" t="str">
        <f>IF('Import OpenCPN'!X698&gt;0,"E","W")</f>
        <v>W</v>
      </c>
    </row>
    <row r="698" spans="1:16" x14ac:dyDescent="0.2">
      <c r="A698">
        <f>'Import OpenCPN'!W699</f>
        <v>0</v>
      </c>
      <c r="B698">
        <f>'Import OpenCPN'!X699</f>
        <v>0</v>
      </c>
      <c r="C698">
        <f t="shared" si="120"/>
        <v>0</v>
      </c>
      <c r="D698" t="str">
        <f t="shared" si="121"/>
        <v>00</v>
      </c>
      <c r="E698">
        <f t="shared" si="122"/>
        <v>0</v>
      </c>
      <c r="F698">
        <f t="shared" si="123"/>
        <v>0</v>
      </c>
      <c r="G698" s="23" t="str">
        <f t="shared" si="124"/>
        <v>00.000</v>
      </c>
      <c r="H698" s="1" t="str">
        <f t="shared" si="125"/>
        <v>0000.000</v>
      </c>
      <c r="I698">
        <f t="shared" si="126"/>
        <v>0</v>
      </c>
      <c r="J698" t="str">
        <f t="shared" si="127"/>
        <v>000</v>
      </c>
      <c r="K698">
        <f t="shared" si="128"/>
        <v>0</v>
      </c>
      <c r="L698">
        <f t="shared" si="129"/>
        <v>0</v>
      </c>
      <c r="M698" t="str">
        <f t="shared" si="130"/>
        <v>00.000</v>
      </c>
      <c r="N698" s="1" t="str">
        <f t="shared" si="131"/>
        <v>00000.000</v>
      </c>
      <c r="O698" t="str">
        <f>IF('Import OpenCPN'!W699&gt;0,"N","S")</f>
        <v>S</v>
      </c>
      <c r="P698" t="str">
        <f>IF('Import OpenCPN'!X699&gt;0,"E","W")</f>
        <v>W</v>
      </c>
    </row>
    <row r="699" spans="1:16" x14ac:dyDescent="0.2">
      <c r="A699">
        <f>'Import OpenCPN'!W700</f>
        <v>0</v>
      </c>
      <c r="B699">
        <f>'Import OpenCPN'!X700</f>
        <v>0</v>
      </c>
      <c r="C699">
        <f t="shared" si="120"/>
        <v>0</v>
      </c>
      <c r="D699" t="str">
        <f t="shared" si="121"/>
        <v>00</v>
      </c>
      <c r="E699">
        <f t="shared" si="122"/>
        <v>0</v>
      </c>
      <c r="F699">
        <f t="shared" si="123"/>
        <v>0</v>
      </c>
      <c r="G699" s="23" t="str">
        <f t="shared" si="124"/>
        <v>00.000</v>
      </c>
      <c r="H699" s="1" t="str">
        <f t="shared" si="125"/>
        <v>0000.000</v>
      </c>
      <c r="I699">
        <f t="shared" si="126"/>
        <v>0</v>
      </c>
      <c r="J699" t="str">
        <f t="shared" si="127"/>
        <v>000</v>
      </c>
      <c r="K699">
        <f t="shared" si="128"/>
        <v>0</v>
      </c>
      <c r="L699">
        <f t="shared" si="129"/>
        <v>0</v>
      </c>
      <c r="M699" t="str">
        <f t="shared" si="130"/>
        <v>00.000</v>
      </c>
      <c r="N699" s="1" t="str">
        <f t="shared" si="131"/>
        <v>00000.000</v>
      </c>
      <c r="O699" t="str">
        <f>IF('Import OpenCPN'!W700&gt;0,"N","S")</f>
        <v>S</v>
      </c>
      <c r="P699" t="str">
        <f>IF('Import OpenCPN'!X700&gt;0,"E","W")</f>
        <v>W</v>
      </c>
    </row>
    <row r="700" spans="1:16" x14ac:dyDescent="0.2">
      <c r="A700">
        <f>'Import OpenCPN'!W701</f>
        <v>0</v>
      </c>
      <c r="B700">
        <f>'Import OpenCPN'!X701</f>
        <v>0</v>
      </c>
      <c r="C700">
        <f t="shared" si="120"/>
        <v>0</v>
      </c>
      <c r="D700" t="str">
        <f t="shared" si="121"/>
        <v>00</v>
      </c>
      <c r="E700">
        <f t="shared" si="122"/>
        <v>0</v>
      </c>
      <c r="F700">
        <f t="shared" si="123"/>
        <v>0</v>
      </c>
      <c r="G700" s="23" t="str">
        <f t="shared" si="124"/>
        <v>00.000</v>
      </c>
      <c r="H700" s="1" t="str">
        <f t="shared" si="125"/>
        <v>0000.000</v>
      </c>
      <c r="I700">
        <f t="shared" si="126"/>
        <v>0</v>
      </c>
      <c r="J700" t="str">
        <f t="shared" si="127"/>
        <v>000</v>
      </c>
      <c r="K700">
        <f t="shared" si="128"/>
        <v>0</v>
      </c>
      <c r="L700">
        <f t="shared" si="129"/>
        <v>0</v>
      </c>
      <c r="M700" t="str">
        <f t="shared" si="130"/>
        <v>00.000</v>
      </c>
      <c r="N700" s="1" t="str">
        <f t="shared" si="131"/>
        <v>00000.000</v>
      </c>
      <c r="O700" t="str">
        <f>IF('Import OpenCPN'!W701&gt;0,"N","S")</f>
        <v>S</v>
      </c>
      <c r="P700" t="str">
        <f>IF('Import OpenCPN'!X701&gt;0,"E","W")</f>
        <v>W</v>
      </c>
    </row>
    <row r="701" spans="1:16" x14ac:dyDescent="0.2">
      <c r="A701">
        <f>'Import OpenCPN'!W702</f>
        <v>0</v>
      </c>
      <c r="B701">
        <f>'Import OpenCPN'!X702</f>
        <v>0</v>
      </c>
      <c r="C701">
        <f t="shared" si="120"/>
        <v>0</v>
      </c>
      <c r="D701" t="str">
        <f t="shared" si="121"/>
        <v>00</v>
      </c>
      <c r="E701">
        <f t="shared" si="122"/>
        <v>0</v>
      </c>
      <c r="F701">
        <f t="shared" si="123"/>
        <v>0</v>
      </c>
      <c r="G701" s="23" t="str">
        <f t="shared" si="124"/>
        <v>00.000</v>
      </c>
      <c r="H701" s="1" t="str">
        <f t="shared" si="125"/>
        <v>0000.000</v>
      </c>
      <c r="I701">
        <f t="shared" si="126"/>
        <v>0</v>
      </c>
      <c r="J701" t="str">
        <f t="shared" si="127"/>
        <v>000</v>
      </c>
      <c r="K701">
        <f t="shared" si="128"/>
        <v>0</v>
      </c>
      <c r="L701">
        <f t="shared" si="129"/>
        <v>0</v>
      </c>
      <c r="M701" t="str">
        <f t="shared" si="130"/>
        <v>00.000</v>
      </c>
      <c r="N701" s="1" t="str">
        <f t="shared" si="131"/>
        <v>00000.000</v>
      </c>
      <c r="O701" t="str">
        <f>IF('Import OpenCPN'!W702&gt;0,"N","S")</f>
        <v>S</v>
      </c>
      <c r="P701" t="str">
        <f>IF('Import OpenCPN'!X702&gt;0,"E","W")</f>
        <v>W</v>
      </c>
    </row>
    <row r="702" spans="1:16" x14ac:dyDescent="0.2">
      <c r="A702">
        <f>'Import OpenCPN'!W703</f>
        <v>0</v>
      </c>
      <c r="B702">
        <f>'Import OpenCPN'!X703</f>
        <v>0</v>
      </c>
      <c r="C702">
        <f t="shared" si="120"/>
        <v>0</v>
      </c>
      <c r="D702" t="str">
        <f t="shared" si="121"/>
        <v>00</v>
      </c>
      <c r="E702">
        <f t="shared" si="122"/>
        <v>0</v>
      </c>
      <c r="F702">
        <f t="shared" si="123"/>
        <v>0</v>
      </c>
      <c r="G702" s="23" t="str">
        <f t="shared" si="124"/>
        <v>00.000</v>
      </c>
      <c r="H702" s="1" t="str">
        <f t="shared" si="125"/>
        <v>0000.000</v>
      </c>
      <c r="I702">
        <f t="shared" si="126"/>
        <v>0</v>
      </c>
      <c r="J702" t="str">
        <f t="shared" si="127"/>
        <v>000</v>
      </c>
      <c r="K702">
        <f t="shared" si="128"/>
        <v>0</v>
      </c>
      <c r="L702">
        <f t="shared" si="129"/>
        <v>0</v>
      </c>
      <c r="M702" t="str">
        <f t="shared" si="130"/>
        <v>00.000</v>
      </c>
      <c r="N702" s="1" t="str">
        <f t="shared" si="131"/>
        <v>00000.000</v>
      </c>
      <c r="O702" t="str">
        <f>IF('Import OpenCPN'!W703&gt;0,"N","S")</f>
        <v>S</v>
      </c>
      <c r="P702" t="str">
        <f>IF('Import OpenCPN'!X703&gt;0,"E","W")</f>
        <v>W</v>
      </c>
    </row>
    <row r="703" spans="1:16" x14ac:dyDescent="0.2">
      <c r="A703">
        <f>'Import OpenCPN'!W704</f>
        <v>0</v>
      </c>
      <c r="B703">
        <f>'Import OpenCPN'!X704</f>
        <v>0</v>
      </c>
      <c r="C703">
        <f t="shared" si="120"/>
        <v>0</v>
      </c>
      <c r="D703" t="str">
        <f t="shared" si="121"/>
        <v>00</v>
      </c>
      <c r="E703">
        <f t="shared" si="122"/>
        <v>0</v>
      </c>
      <c r="F703">
        <f t="shared" si="123"/>
        <v>0</v>
      </c>
      <c r="G703" s="23" t="str">
        <f t="shared" si="124"/>
        <v>00.000</v>
      </c>
      <c r="H703" s="1" t="str">
        <f t="shared" si="125"/>
        <v>0000.000</v>
      </c>
      <c r="I703">
        <f t="shared" si="126"/>
        <v>0</v>
      </c>
      <c r="J703" t="str">
        <f t="shared" si="127"/>
        <v>000</v>
      </c>
      <c r="K703">
        <f t="shared" si="128"/>
        <v>0</v>
      </c>
      <c r="L703">
        <f t="shared" si="129"/>
        <v>0</v>
      </c>
      <c r="M703" t="str">
        <f t="shared" si="130"/>
        <v>00.000</v>
      </c>
      <c r="N703" s="1" t="str">
        <f t="shared" si="131"/>
        <v>00000.000</v>
      </c>
      <c r="O703" t="str">
        <f>IF('Import OpenCPN'!W704&gt;0,"N","S")</f>
        <v>S</v>
      </c>
      <c r="P703" t="str">
        <f>IF('Import OpenCPN'!X704&gt;0,"E","W")</f>
        <v>W</v>
      </c>
    </row>
    <row r="704" spans="1:16" x14ac:dyDescent="0.2">
      <c r="A704">
        <f>'Import OpenCPN'!W705</f>
        <v>0</v>
      </c>
      <c r="B704">
        <f>'Import OpenCPN'!X705</f>
        <v>0</v>
      </c>
      <c r="C704">
        <f t="shared" si="120"/>
        <v>0</v>
      </c>
      <c r="D704" t="str">
        <f t="shared" si="121"/>
        <v>00</v>
      </c>
      <c r="E704">
        <f t="shared" si="122"/>
        <v>0</v>
      </c>
      <c r="F704">
        <f t="shared" si="123"/>
        <v>0</v>
      </c>
      <c r="G704" s="23" t="str">
        <f t="shared" si="124"/>
        <v>00.000</v>
      </c>
      <c r="H704" s="1" t="str">
        <f t="shared" si="125"/>
        <v>0000.000</v>
      </c>
      <c r="I704">
        <f t="shared" si="126"/>
        <v>0</v>
      </c>
      <c r="J704" t="str">
        <f t="shared" si="127"/>
        <v>000</v>
      </c>
      <c r="K704">
        <f t="shared" si="128"/>
        <v>0</v>
      </c>
      <c r="L704">
        <f t="shared" si="129"/>
        <v>0</v>
      </c>
      <c r="M704" t="str">
        <f t="shared" si="130"/>
        <v>00.000</v>
      </c>
      <c r="N704" s="1" t="str">
        <f t="shared" si="131"/>
        <v>00000.000</v>
      </c>
      <c r="O704" t="str">
        <f>IF('Import OpenCPN'!W705&gt;0,"N","S")</f>
        <v>S</v>
      </c>
      <c r="P704" t="str">
        <f>IF('Import OpenCPN'!X705&gt;0,"E","W")</f>
        <v>W</v>
      </c>
    </row>
    <row r="705" spans="1:16" x14ac:dyDescent="0.2">
      <c r="A705">
        <f>'Import OpenCPN'!W706</f>
        <v>0</v>
      </c>
      <c r="B705">
        <f>'Import OpenCPN'!X706</f>
        <v>0</v>
      </c>
      <c r="C705">
        <f t="shared" si="120"/>
        <v>0</v>
      </c>
      <c r="D705" t="str">
        <f t="shared" si="121"/>
        <v>00</v>
      </c>
      <c r="E705">
        <f t="shared" si="122"/>
        <v>0</v>
      </c>
      <c r="F705">
        <f t="shared" si="123"/>
        <v>0</v>
      </c>
      <c r="G705" s="23" t="str">
        <f t="shared" si="124"/>
        <v>00.000</v>
      </c>
      <c r="H705" s="1" t="str">
        <f t="shared" si="125"/>
        <v>0000.000</v>
      </c>
      <c r="I705">
        <f t="shared" si="126"/>
        <v>0</v>
      </c>
      <c r="J705" t="str">
        <f t="shared" si="127"/>
        <v>000</v>
      </c>
      <c r="K705">
        <f t="shared" si="128"/>
        <v>0</v>
      </c>
      <c r="L705">
        <f t="shared" si="129"/>
        <v>0</v>
      </c>
      <c r="M705" t="str">
        <f t="shared" si="130"/>
        <v>00.000</v>
      </c>
      <c r="N705" s="1" t="str">
        <f t="shared" si="131"/>
        <v>00000.000</v>
      </c>
      <c r="O705" t="str">
        <f>IF('Import OpenCPN'!W706&gt;0,"N","S")</f>
        <v>S</v>
      </c>
      <c r="P705" t="str">
        <f>IF('Import OpenCPN'!X706&gt;0,"E","W")</f>
        <v>W</v>
      </c>
    </row>
    <row r="706" spans="1:16" x14ac:dyDescent="0.2">
      <c r="A706">
        <f>'Import OpenCPN'!W707</f>
        <v>0</v>
      </c>
      <c r="B706">
        <f>'Import OpenCPN'!X707</f>
        <v>0</v>
      </c>
      <c r="C706">
        <f t="shared" ref="C706:C735" si="132">ABS(TRUNC(A706,0))</f>
        <v>0</v>
      </c>
      <c r="D706" t="str">
        <f t="shared" ref="D706:D735" si="133">TEXT(C706,"00")</f>
        <v>00</v>
      </c>
      <c r="E706">
        <f t="shared" ref="E706:E735" si="134">ABS(A706)-C706</f>
        <v>0</v>
      </c>
      <c r="F706">
        <f t="shared" ref="F706:F735" si="135">E706*60</f>
        <v>0</v>
      </c>
      <c r="G706" s="23" t="str">
        <f t="shared" ref="G706:G735" si="136">TEXT(F706,"00.000")</f>
        <v>00.000</v>
      </c>
      <c r="H706" s="1" t="str">
        <f t="shared" ref="H706:H735" si="137">D706&amp;G706</f>
        <v>0000.000</v>
      </c>
      <c r="I706">
        <f t="shared" ref="I706:I735" si="138">ABS(TRUNC(B706,0))</f>
        <v>0</v>
      </c>
      <c r="J706" t="str">
        <f t="shared" ref="J706:J735" si="139">TEXT(I706,"000")</f>
        <v>000</v>
      </c>
      <c r="K706">
        <f t="shared" ref="K706:K735" si="140">ABS(B706)-I706</f>
        <v>0</v>
      </c>
      <c r="L706">
        <f t="shared" ref="L706:L735" si="141">K706*60</f>
        <v>0</v>
      </c>
      <c r="M706" t="str">
        <f t="shared" ref="M706:M735" si="142">TEXT(L706,"00.000")</f>
        <v>00.000</v>
      </c>
      <c r="N706" s="1" t="str">
        <f t="shared" ref="N706:N735" si="143">J706&amp;M706</f>
        <v>00000.000</v>
      </c>
      <c r="O706" t="str">
        <f>IF('Import OpenCPN'!W707&gt;0,"N","S")</f>
        <v>S</v>
      </c>
      <c r="P706" t="str">
        <f>IF('Import OpenCPN'!X707&gt;0,"E","W")</f>
        <v>W</v>
      </c>
    </row>
    <row r="707" spans="1:16" x14ac:dyDescent="0.2">
      <c r="A707">
        <f>'Import OpenCPN'!W708</f>
        <v>0</v>
      </c>
      <c r="B707">
        <f>'Import OpenCPN'!X708</f>
        <v>0</v>
      </c>
      <c r="C707">
        <f t="shared" si="132"/>
        <v>0</v>
      </c>
      <c r="D707" t="str">
        <f t="shared" si="133"/>
        <v>00</v>
      </c>
      <c r="E707">
        <f t="shared" si="134"/>
        <v>0</v>
      </c>
      <c r="F707">
        <f t="shared" si="135"/>
        <v>0</v>
      </c>
      <c r="G707" s="23" t="str">
        <f t="shared" si="136"/>
        <v>00.000</v>
      </c>
      <c r="H707" s="1" t="str">
        <f t="shared" si="137"/>
        <v>0000.000</v>
      </c>
      <c r="I707">
        <f t="shared" si="138"/>
        <v>0</v>
      </c>
      <c r="J707" t="str">
        <f t="shared" si="139"/>
        <v>000</v>
      </c>
      <c r="K707">
        <f t="shared" si="140"/>
        <v>0</v>
      </c>
      <c r="L707">
        <f t="shared" si="141"/>
        <v>0</v>
      </c>
      <c r="M707" t="str">
        <f t="shared" si="142"/>
        <v>00.000</v>
      </c>
      <c r="N707" s="1" t="str">
        <f t="shared" si="143"/>
        <v>00000.000</v>
      </c>
      <c r="O707" t="str">
        <f>IF('Import OpenCPN'!W708&gt;0,"N","S")</f>
        <v>S</v>
      </c>
      <c r="P707" t="str">
        <f>IF('Import OpenCPN'!X708&gt;0,"E","W")</f>
        <v>W</v>
      </c>
    </row>
    <row r="708" spans="1:16" x14ac:dyDescent="0.2">
      <c r="A708">
        <f>'Import OpenCPN'!W709</f>
        <v>0</v>
      </c>
      <c r="B708">
        <f>'Import OpenCPN'!X709</f>
        <v>0</v>
      </c>
      <c r="C708">
        <f t="shared" si="132"/>
        <v>0</v>
      </c>
      <c r="D708" t="str">
        <f t="shared" si="133"/>
        <v>00</v>
      </c>
      <c r="E708">
        <f t="shared" si="134"/>
        <v>0</v>
      </c>
      <c r="F708">
        <f t="shared" si="135"/>
        <v>0</v>
      </c>
      <c r="G708" s="23" t="str">
        <f t="shared" si="136"/>
        <v>00.000</v>
      </c>
      <c r="H708" s="1" t="str">
        <f t="shared" si="137"/>
        <v>0000.000</v>
      </c>
      <c r="I708">
        <f t="shared" si="138"/>
        <v>0</v>
      </c>
      <c r="J708" t="str">
        <f t="shared" si="139"/>
        <v>000</v>
      </c>
      <c r="K708">
        <f t="shared" si="140"/>
        <v>0</v>
      </c>
      <c r="L708">
        <f t="shared" si="141"/>
        <v>0</v>
      </c>
      <c r="M708" t="str">
        <f t="shared" si="142"/>
        <v>00.000</v>
      </c>
      <c r="N708" s="1" t="str">
        <f t="shared" si="143"/>
        <v>00000.000</v>
      </c>
      <c r="O708" t="str">
        <f>IF('Import OpenCPN'!W709&gt;0,"N","S")</f>
        <v>S</v>
      </c>
      <c r="P708" t="str">
        <f>IF('Import OpenCPN'!X709&gt;0,"E","W")</f>
        <v>W</v>
      </c>
    </row>
    <row r="709" spans="1:16" x14ac:dyDescent="0.2">
      <c r="A709">
        <f>'Import OpenCPN'!W710</f>
        <v>0</v>
      </c>
      <c r="B709">
        <f>'Import OpenCPN'!X710</f>
        <v>0</v>
      </c>
      <c r="C709">
        <f t="shared" si="132"/>
        <v>0</v>
      </c>
      <c r="D709" t="str">
        <f t="shared" si="133"/>
        <v>00</v>
      </c>
      <c r="E709">
        <f t="shared" si="134"/>
        <v>0</v>
      </c>
      <c r="F709">
        <f t="shared" si="135"/>
        <v>0</v>
      </c>
      <c r="G709" s="23" t="str">
        <f t="shared" si="136"/>
        <v>00.000</v>
      </c>
      <c r="H709" s="1" t="str">
        <f t="shared" si="137"/>
        <v>0000.000</v>
      </c>
      <c r="I709">
        <f t="shared" si="138"/>
        <v>0</v>
      </c>
      <c r="J709" t="str">
        <f t="shared" si="139"/>
        <v>000</v>
      </c>
      <c r="K709">
        <f t="shared" si="140"/>
        <v>0</v>
      </c>
      <c r="L709">
        <f t="shared" si="141"/>
        <v>0</v>
      </c>
      <c r="M709" t="str">
        <f t="shared" si="142"/>
        <v>00.000</v>
      </c>
      <c r="N709" s="1" t="str">
        <f t="shared" si="143"/>
        <v>00000.000</v>
      </c>
      <c r="O709" t="str">
        <f>IF('Import OpenCPN'!W710&gt;0,"N","S")</f>
        <v>S</v>
      </c>
      <c r="P709" t="str">
        <f>IF('Import OpenCPN'!X710&gt;0,"E","W")</f>
        <v>W</v>
      </c>
    </row>
    <row r="710" spans="1:16" x14ac:dyDescent="0.2">
      <c r="A710">
        <f>'Import OpenCPN'!W711</f>
        <v>0</v>
      </c>
      <c r="B710">
        <f>'Import OpenCPN'!X711</f>
        <v>0</v>
      </c>
      <c r="C710">
        <f t="shared" si="132"/>
        <v>0</v>
      </c>
      <c r="D710" t="str">
        <f t="shared" si="133"/>
        <v>00</v>
      </c>
      <c r="E710">
        <f t="shared" si="134"/>
        <v>0</v>
      </c>
      <c r="F710">
        <f t="shared" si="135"/>
        <v>0</v>
      </c>
      <c r="G710" s="23" t="str">
        <f t="shared" si="136"/>
        <v>00.000</v>
      </c>
      <c r="H710" s="1" t="str">
        <f t="shared" si="137"/>
        <v>0000.000</v>
      </c>
      <c r="I710">
        <f t="shared" si="138"/>
        <v>0</v>
      </c>
      <c r="J710" t="str">
        <f t="shared" si="139"/>
        <v>000</v>
      </c>
      <c r="K710">
        <f t="shared" si="140"/>
        <v>0</v>
      </c>
      <c r="L710">
        <f t="shared" si="141"/>
        <v>0</v>
      </c>
      <c r="M710" t="str">
        <f t="shared" si="142"/>
        <v>00.000</v>
      </c>
      <c r="N710" s="1" t="str">
        <f t="shared" si="143"/>
        <v>00000.000</v>
      </c>
      <c r="O710" t="str">
        <f>IF('Import OpenCPN'!W711&gt;0,"N","S")</f>
        <v>S</v>
      </c>
      <c r="P710" t="str">
        <f>IF('Import OpenCPN'!X711&gt;0,"E","W")</f>
        <v>W</v>
      </c>
    </row>
    <row r="711" spans="1:16" x14ac:dyDescent="0.2">
      <c r="A711">
        <f>'Import OpenCPN'!W712</f>
        <v>0</v>
      </c>
      <c r="B711">
        <f>'Import OpenCPN'!X712</f>
        <v>0</v>
      </c>
      <c r="C711">
        <f t="shared" si="132"/>
        <v>0</v>
      </c>
      <c r="D711" t="str">
        <f t="shared" si="133"/>
        <v>00</v>
      </c>
      <c r="E711">
        <f t="shared" si="134"/>
        <v>0</v>
      </c>
      <c r="F711">
        <f t="shared" si="135"/>
        <v>0</v>
      </c>
      <c r="G711" s="23" t="str">
        <f t="shared" si="136"/>
        <v>00.000</v>
      </c>
      <c r="H711" s="1" t="str">
        <f t="shared" si="137"/>
        <v>0000.000</v>
      </c>
      <c r="I711">
        <f t="shared" si="138"/>
        <v>0</v>
      </c>
      <c r="J711" t="str">
        <f t="shared" si="139"/>
        <v>000</v>
      </c>
      <c r="K711">
        <f t="shared" si="140"/>
        <v>0</v>
      </c>
      <c r="L711">
        <f t="shared" si="141"/>
        <v>0</v>
      </c>
      <c r="M711" t="str">
        <f t="shared" si="142"/>
        <v>00.000</v>
      </c>
      <c r="N711" s="1" t="str">
        <f t="shared" si="143"/>
        <v>00000.000</v>
      </c>
      <c r="O711" t="str">
        <f>IF('Import OpenCPN'!W712&gt;0,"N","S")</f>
        <v>S</v>
      </c>
      <c r="P711" t="str">
        <f>IF('Import OpenCPN'!X712&gt;0,"E","W")</f>
        <v>W</v>
      </c>
    </row>
    <row r="712" spans="1:16" x14ac:dyDescent="0.2">
      <c r="A712">
        <f>'Import OpenCPN'!W713</f>
        <v>0</v>
      </c>
      <c r="B712">
        <f>'Import OpenCPN'!X713</f>
        <v>0</v>
      </c>
      <c r="C712">
        <f t="shared" si="132"/>
        <v>0</v>
      </c>
      <c r="D712" t="str">
        <f t="shared" si="133"/>
        <v>00</v>
      </c>
      <c r="E712">
        <f t="shared" si="134"/>
        <v>0</v>
      </c>
      <c r="F712">
        <f t="shared" si="135"/>
        <v>0</v>
      </c>
      <c r="G712" s="23" t="str">
        <f t="shared" si="136"/>
        <v>00.000</v>
      </c>
      <c r="H712" s="1" t="str">
        <f t="shared" si="137"/>
        <v>0000.000</v>
      </c>
      <c r="I712">
        <f t="shared" si="138"/>
        <v>0</v>
      </c>
      <c r="J712" t="str">
        <f t="shared" si="139"/>
        <v>000</v>
      </c>
      <c r="K712">
        <f t="shared" si="140"/>
        <v>0</v>
      </c>
      <c r="L712">
        <f t="shared" si="141"/>
        <v>0</v>
      </c>
      <c r="M712" t="str">
        <f t="shared" si="142"/>
        <v>00.000</v>
      </c>
      <c r="N712" s="1" t="str">
        <f t="shared" si="143"/>
        <v>00000.000</v>
      </c>
      <c r="O712" t="str">
        <f>IF('Import OpenCPN'!W713&gt;0,"N","S")</f>
        <v>S</v>
      </c>
      <c r="P712" t="str">
        <f>IF('Import OpenCPN'!X713&gt;0,"E","W")</f>
        <v>W</v>
      </c>
    </row>
    <row r="713" spans="1:16" x14ac:dyDescent="0.2">
      <c r="A713">
        <f>'Import OpenCPN'!W714</f>
        <v>0</v>
      </c>
      <c r="B713">
        <f>'Import OpenCPN'!X714</f>
        <v>0</v>
      </c>
      <c r="C713">
        <f t="shared" si="132"/>
        <v>0</v>
      </c>
      <c r="D713" t="str">
        <f t="shared" si="133"/>
        <v>00</v>
      </c>
      <c r="E713">
        <f t="shared" si="134"/>
        <v>0</v>
      </c>
      <c r="F713">
        <f t="shared" si="135"/>
        <v>0</v>
      </c>
      <c r="G713" s="23" t="str">
        <f t="shared" si="136"/>
        <v>00.000</v>
      </c>
      <c r="H713" s="1" t="str">
        <f t="shared" si="137"/>
        <v>0000.000</v>
      </c>
      <c r="I713">
        <f t="shared" si="138"/>
        <v>0</v>
      </c>
      <c r="J713" t="str">
        <f t="shared" si="139"/>
        <v>000</v>
      </c>
      <c r="K713">
        <f t="shared" si="140"/>
        <v>0</v>
      </c>
      <c r="L713">
        <f t="shared" si="141"/>
        <v>0</v>
      </c>
      <c r="M713" t="str">
        <f t="shared" si="142"/>
        <v>00.000</v>
      </c>
      <c r="N713" s="1" t="str">
        <f t="shared" si="143"/>
        <v>00000.000</v>
      </c>
      <c r="O713" t="str">
        <f>IF('Import OpenCPN'!W714&gt;0,"N","S")</f>
        <v>S</v>
      </c>
      <c r="P713" t="str">
        <f>IF('Import OpenCPN'!X714&gt;0,"E","W")</f>
        <v>W</v>
      </c>
    </row>
    <row r="714" spans="1:16" x14ac:dyDescent="0.2">
      <c r="A714">
        <f>'Import OpenCPN'!W715</f>
        <v>0</v>
      </c>
      <c r="B714">
        <f>'Import OpenCPN'!X715</f>
        <v>0</v>
      </c>
      <c r="C714">
        <f t="shared" si="132"/>
        <v>0</v>
      </c>
      <c r="D714" t="str">
        <f t="shared" si="133"/>
        <v>00</v>
      </c>
      <c r="E714">
        <f t="shared" si="134"/>
        <v>0</v>
      </c>
      <c r="F714">
        <f t="shared" si="135"/>
        <v>0</v>
      </c>
      <c r="G714" s="23" t="str">
        <f t="shared" si="136"/>
        <v>00.000</v>
      </c>
      <c r="H714" s="1" t="str">
        <f t="shared" si="137"/>
        <v>0000.000</v>
      </c>
      <c r="I714">
        <f t="shared" si="138"/>
        <v>0</v>
      </c>
      <c r="J714" t="str">
        <f t="shared" si="139"/>
        <v>000</v>
      </c>
      <c r="K714">
        <f t="shared" si="140"/>
        <v>0</v>
      </c>
      <c r="L714">
        <f t="shared" si="141"/>
        <v>0</v>
      </c>
      <c r="M714" t="str">
        <f t="shared" si="142"/>
        <v>00.000</v>
      </c>
      <c r="N714" s="1" t="str">
        <f t="shared" si="143"/>
        <v>00000.000</v>
      </c>
      <c r="O714" t="str">
        <f>IF('Import OpenCPN'!W715&gt;0,"N","S")</f>
        <v>S</v>
      </c>
      <c r="P714" t="str">
        <f>IF('Import OpenCPN'!X715&gt;0,"E","W")</f>
        <v>W</v>
      </c>
    </row>
    <row r="715" spans="1:16" x14ac:dyDescent="0.2">
      <c r="A715">
        <f>'Import OpenCPN'!W716</f>
        <v>0</v>
      </c>
      <c r="B715">
        <f>'Import OpenCPN'!X716</f>
        <v>0</v>
      </c>
      <c r="C715">
        <f t="shared" si="132"/>
        <v>0</v>
      </c>
      <c r="D715" t="str">
        <f t="shared" si="133"/>
        <v>00</v>
      </c>
      <c r="E715">
        <f t="shared" si="134"/>
        <v>0</v>
      </c>
      <c r="F715">
        <f t="shared" si="135"/>
        <v>0</v>
      </c>
      <c r="G715" s="23" t="str">
        <f t="shared" si="136"/>
        <v>00.000</v>
      </c>
      <c r="H715" s="1" t="str">
        <f t="shared" si="137"/>
        <v>0000.000</v>
      </c>
      <c r="I715">
        <f t="shared" si="138"/>
        <v>0</v>
      </c>
      <c r="J715" t="str">
        <f t="shared" si="139"/>
        <v>000</v>
      </c>
      <c r="K715">
        <f t="shared" si="140"/>
        <v>0</v>
      </c>
      <c r="L715">
        <f t="shared" si="141"/>
        <v>0</v>
      </c>
      <c r="M715" t="str">
        <f t="shared" si="142"/>
        <v>00.000</v>
      </c>
      <c r="N715" s="1" t="str">
        <f t="shared" si="143"/>
        <v>00000.000</v>
      </c>
      <c r="O715" t="str">
        <f>IF('Import OpenCPN'!W716&gt;0,"N","S")</f>
        <v>S</v>
      </c>
      <c r="P715" t="str">
        <f>IF('Import OpenCPN'!X716&gt;0,"E","W")</f>
        <v>W</v>
      </c>
    </row>
    <row r="716" spans="1:16" x14ac:dyDescent="0.2">
      <c r="A716">
        <f>'Import OpenCPN'!W717</f>
        <v>0</v>
      </c>
      <c r="B716">
        <f>'Import OpenCPN'!X717</f>
        <v>0</v>
      </c>
      <c r="C716">
        <f t="shared" si="132"/>
        <v>0</v>
      </c>
      <c r="D716" t="str">
        <f t="shared" si="133"/>
        <v>00</v>
      </c>
      <c r="E716">
        <f t="shared" si="134"/>
        <v>0</v>
      </c>
      <c r="F716">
        <f t="shared" si="135"/>
        <v>0</v>
      </c>
      <c r="G716" s="23" t="str">
        <f t="shared" si="136"/>
        <v>00.000</v>
      </c>
      <c r="H716" s="1" t="str">
        <f t="shared" si="137"/>
        <v>0000.000</v>
      </c>
      <c r="I716">
        <f t="shared" si="138"/>
        <v>0</v>
      </c>
      <c r="J716" t="str">
        <f t="shared" si="139"/>
        <v>000</v>
      </c>
      <c r="K716">
        <f t="shared" si="140"/>
        <v>0</v>
      </c>
      <c r="L716">
        <f t="shared" si="141"/>
        <v>0</v>
      </c>
      <c r="M716" t="str">
        <f t="shared" si="142"/>
        <v>00.000</v>
      </c>
      <c r="N716" s="1" t="str">
        <f t="shared" si="143"/>
        <v>00000.000</v>
      </c>
      <c r="O716" t="str">
        <f>IF('Import OpenCPN'!W717&gt;0,"N","S")</f>
        <v>S</v>
      </c>
      <c r="P716" t="str">
        <f>IF('Import OpenCPN'!X717&gt;0,"E","W")</f>
        <v>W</v>
      </c>
    </row>
    <row r="717" spans="1:16" x14ac:dyDescent="0.2">
      <c r="A717">
        <f>'Import OpenCPN'!W718</f>
        <v>0</v>
      </c>
      <c r="B717">
        <f>'Import OpenCPN'!X718</f>
        <v>0</v>
      </c>
      <c r="C717">
        <f t="shared" si="132"/>
        <v>0</v>
      </c>
      <c r="D717" t="str">
        <f t="shared" si="133"/>
        <v>00</v>
      </c>
      <c r="E717">
        <f t="shared" si="134"/>
        <v>0</v>
      </c>
      <c r="F717">
        <f t="shared" si="135"/>
        <v>0</v>
      </c>
      <c r="G717" s="23" t="str">
        <f t="shared" si="136"/>
        <v>00.000</v>
      </c>
      <c r="H717" s="1" t="str">
        <f t="shared" si="137"/>
        <v>0000.000</v>
      </c>
      <c r="I717">
        <f t="shared" si="138"/>
        <v>0</v>
      </c>
      <c r="J717" t="str">
        <f t="shared" si="139"/>
        <v>000</v>
      </c>
      <c r="K717">
        <f t="shared" si="140"/>
        <v>0</v>
      </c>
      <c r="L717">
        <f t="shared" si="141"/>
        <v>0</v>
      </c>
      <c r="M717" t="str">
        <f t="shared" si="142"/>
        <v>00.000</v>
      </c>
      <c r="N717" s="1" t="str">
        <f t="shared" si="143"/>
        <v>00000.000</v>
      </c>
      <c r="O717" t="str">
        <f>IF('Import OpenCPN'!W718&gt;0,"N","S")</f>
        <v>S</v>
      </c>
      <c r="P717" t="str">
        <f>IF('Import OpenCPN'!X718&gt;0,"E","W")</f>
        <v>W</v>
      </c>
    </row>
    <row r="718" spans="1:16" x14ac:dyDescent="0.2">
      <c r="A718">
        <f>'Import OpenCPN'!W719</f>
        <v>0</v>
      </c>
      <c r="B718">
        <f>'Import OpenCPN'!X719</f>
        <v>0</v>
      </c>
      <c r="C718">
        <f t="shared" si="132"/>
        <v>0</v>
      </c>
      <c r="D718" t="str">
        <f t="shared" si="133"/>
        <v>00</v>
      </c>
      <c r="E718">
        <f t="shared" si="134"/>
        <v>0</v>
      </c>
      <c r="F718">
        <f t="shared" si="135"/>
        <v>0</v>
      </c>
      <c r="G718" s="23" t="str">
        <f t="shared" si="136"/>
        <v>00.000</v>
      </c>
      <c r="H718" s="1" t="str">
        <f t="shared" si="137"/>
        <v>0000.000</v>
      </c>
      <c r="I718">
        <f t="shared" si="138"/>
        <v>0</v>
      </c>
      <c r="J718" t="str">
        <f t="shared" si="139"/>
        <v>000</v>
      </c>
      <c r="K718">
        <f t="shared" si="140"/>
        <v>0</v>
      </c>
      <c r="L718">
        <f t="shared" si="141"/>
        <v>0</v>
      </c>
      <c r="M718" t="str">
        <f t="shared" si="142"/>
        <v>00.000</v>
      </c>
      <c r="N718" s="1" t="str">
        <f t="shared" si="143"/>
        <v>00000.000</v>
      </c>
      <c r="O718" t="str">
        <f>IF('Import OpenCPN'!W719&gt;0,"N","S")</f>
        <v>S</v>
      </c>
      <c r="P718" t="str">
        <f>IF('Import OpenCPN'!X719&gt;0,"E","W")</f>
        <v>W</v>
      </c>
    </row>
    <row r="719" spans="1:16" x14ac:dyDescent="0.2">
      <c r="A719">
        <f>'Import OpenCPN'!W720</f>
        <v>0</v>
      </c>
      <c r="B719">
        <f>'Import OpenCPN'!X720</f>
        <v>0</v>
      </c>
      <c r="C719">
        <f t="shared" si="132"/>
        <v>0</v>
      </c>
      <c r="D719" t="str">
        <f t="shared" si="133"/>
        <v>00</v>
      </c>
      <c r="E719">
        <f t="shared" si="134"/>
        <v>0</v>
      </c>
      <c r="F719">
        <f t="shared" si="135"/>
        <v>0</v>
      </c>
      <c r="G719" s="23" t="str">
        <f t="shared" si="136"/>
        <v>00.000</v>
      </c>
      <c r="H719" s="1" t="str">
        <f t="shared" si="137"/>
        <v>0000.000</v>
      </c>
      <c r="I719">
        <f t="shared" si="138"/>
        <v>0</v>
      </c>
      <c r="J719" t="str">
        <f t="shared" si="139"/>
        <v>000</v>
      </c>
      <c r="K719">
        <f t="shared" si="140"/>
        <v>0</v>
      </c>
      <c r="L719">
        <f t="shared" si="141"/>
        <v>0</v>
      </c>
      <c r="M719" t="str">
        <f t="shared" si="142"/>
        <v>00.000</v>
      </c>
      <c r="N719" s="1" t="str">
        <f t="shared" si="143"/>
        <v>00000.000</v>
      </c>
      <c r="O719" t="str">
        <f>IF('Import OpenCPN'!W720&gt;0,"N","S")</f>
        <v>S</v>
      </c>
      <c r="P719" t="str">
        <f>IF('Import OpenCPN'!X720&gt;0,"E","W")</f>
        <v>W</v>
      </c>
    </row>
    <row r="720" spans="1:16" x14ac:dyDescent="0.2">
      <c r="A720">
        <f>'Import OpenCPN'!W721</f>
        <v>0</v>
      </c>
      <c r="B720">
        <f>'Import OpenCPN'!X721</f>
        <v>0</v>
      </c>
      <c r="C720">
        <f t="shared" si="132"/>
        <v>0</v>
      </c>
      <c r="D720" t="str">
        <f t="shared" si="133"/>
        <v>00</v>
      </c>
      <c r="E720">
        <f t="shared" si="134"/>
        <v>0</v>
      </c>
      <c r="F720">
        <f t="shared" si="135"/>
        <v>0</v>
      </c>
      <c r="G720" s="23" t="str">
        <f t="shared" si="136"/>
        <v>00.000</v>
      </c>
      <c r="H720" s="1" t="str">
        <f t="shared" si="137"/>
        <v>0000.000</v>
      </c>
      <c r="I720">
        <f t="shared" si="138"/>
        <v>0</v>
      </c>
      <c r="J720" t="str">
        <f t="shared" si="139"/>
        <v>000</v>
      </c>
      <c r="K720">
        <f t="shared" si="140"/>
        <v>0</v>
      </c>
      <c r="L720">
        <f t="shared" si="141"/>
        <v>0</v>
      </c>
      <c r="M720" t="str">
        <f t="shared" si="142"/>
        <v>00.000</v>
      </c>
      <c r="N720" s="1" t="str">
        <f t="shared" si="143"/>
        <v>00000.000</v>
      </c>
      <c r="O720" t="str">
        <f>IF('Import OpenCPN'!W721&gt;0,"N","S")</f>
        <v>S</v>
      </c>
      <c r="P720" t="str">
        <f>IF('Import OpenCPN'!X721&gt;0,"E","W")</f>
        <v>W</v>
      </c>
    </row>
    <row r="721" spans="1:16" x14ac:dyDescent="0.2">
      <c r="A721">
        <f>'Import OpenCPN'!W722</f>
        <v>0</v>
      </c>
      <c r="B721">
        <f>'Import OpenCPN'!X722</f>
        <v>0</v>
      </c>
      <c r="C721">
        <f t="shared" si="132"/>
        <v>0</v>
      </c>
      <c r="D721" t="str">
        <f t="shared" si="133"/>
        <v>00</v>
      </c>
      <c r="E721">
        <f t="shared" si="134"/>
        <v>0</v>
      </c>
      <c r="F721">
        <f t="shared" si="135"/>
        <v>0</v>
      </c>
      <c r="G721" s="23" t="str">
        <f t="shared" si="136"/>
        <v>00.000</v>
      </c>
      <c r="H721" s="1" t="str">
        <f t="shared" si="137"/>
        <v>0000.000</v>
      </c>
      <c r="I721">
        <f t="shared" si="138"/>
        <v>0</v>
      </c>
      <c r="J721" t="str">
        <f t="shared" si="139"/>
        <v>000</v>
      </c>
      <c r="K721">
        <f t="shared" si="140"/>
        <v>0</v>
      </c>
      <c r="L721">
        <f t="shared" si="141"/>
        <v>0</v>
      </c>
      <c r="M721" t="str">
        <f t="shared" si="142"/>
        <v>00.000</v>
      </c>
      <c r="N721" s="1" t="str">
        <f t="shared" si="143"/>
        <v>00000.000</v>
      </c>
      <c r="O721" t="str">
        <f>IF('Import OpenCPN'!W722&gt;0,"N","S")</f>
        <v>S</v>
      </c>
      <c r="P721" t="str">
        <f>IF('Import OpenCPN'!X722&gt;0,"E","W")</f>
        <v>W</v>
      </c>
    </row>
    <row r="722" spans="1:16" x14ac:dyDescent="0.2">
      <c r="A722">
        <f>'Import OpenCPN'!W723</f>
        <v>0</v>
      </c>
      <c r="B722">
        <f>'Import OpenCPN'!X723</f>
        <v>0</v>
      </c>
      <c r="C722">
        <f t="shared" si="132"/>
        <v>0</v>
      </c>
      <c r="D722" t="str">
        <f t="shared" si="133"/>
        <v>00</v>
      </c>
      <c r="E722">
        <f t="shared" si="134"/>
        <v>0</v>
      </c>
      <c r="F722">
        <f t="shared" si="135"/>
        <v>0</v>
      </c>
      <c r="G722" s="23" t="str">
        <f t="shared" si="136"/>
        <v>00.000</v>
      </c>
      <c r="H722" s="1" t="str">
        <f t="shared" si="137"/>
        <v>0000.000</v>
      </c>
      <c r="I722">
        <f t="shared" si="138"/>
        <v>0</v>
      </c>
      <c r="J722" t="str">
        <f t="shared" si="139"/>
        <v>000</v>
      </c>
      <c r="K722">
        <f t="shared" si="140"/>
        <v>0</v>
      </c>
      <c r="L722">
        <f t="shared" si="141"/>
        <v>0</v>
      </c>
      <c r="M722" t="str">
        <f t="shared" si="142"/>
        <v>00.000</v>
      </c>
      <c r="N722" s="1" t="str">
        <f t="shared" si="143"/>
        <v>00000.000</v>
      </c>
      <c r="O722" t="str">
        <f>IF('Import OpenCPN'!W723&gt;0,"N","S")</f>
        <v>S</v>
      </c>
      <c r="P722" t="str">
        <f>IF('Import OpenCPN'!X723&gt;0,"E","W")</f>
        <v>W</v>
      </c>
    </row>
    <row r="723" spans="1:16" x14ac:dyDescent="0.2">
      <c r="A723">
        <f>'Import OpenCPN'!W724</f>
        <v>0</v>
      </c>
      <c r="B723">
        <f>'Import OpenCPN'!X724</f>
        <v>0</v>
      </c>
      <c r="C723">
        <f t="shared" si="132"/>
        <v>0</v>
      </c>
      <c r="D723" t="str">
        <f t="shared" si="133"/>
        <v>00</v>
      </c>
      <c r="E723">
        <f t="shared" si="134"/>
        <v>0</v>
      </c>
      <c r="F723">
        <f t="shared" si="135"/>
        <v>0</v>
      </c>
      <c r="G723" s="23" t="str">
        <f t="shared" si="136"/>
        <v>00.000</v>
      </c>
      <c r="H723" s="1" t="str">
        <f t="shared" si="137"/>
        <v>0000.000</v>
      </c>
      <c r="I723">
        <f t="shared" si="138"/>
        <v>0</v>
      </c>
      <c r="J723" t="str">
        <f t="shared" si="139"/>
        <v>000</v>
      </c>
      <c r="K723">
        <f t="shared" si="140"/>
        <v>0</v>
      </c>
      <c r="L723">
        <f t="shared" si="141"/>
        <v>0</v>
      </c>
      <c r="M723" t="str">
        <f t="shared" si="142"/>
        <v>00.000</v>
      </c>
      <c r="N723" s="1" t="str">
        <f t="shared" si="143"/>
        <v>00000.000</v>
      </c>
      <c r="O723" t="str">
        <f>IF('Import OpenCPN'!W724&gt;0,"N","S")</f>
        <v>S</v>
      </c>
      <c r="P723" t="str">
        <f>IF('Import OpenCPN'!X724&gt;0,"E","W")</f>
        <v>W</v>
      </c>
    </row>
    <row r="724" spans="1:16" x14ac:dyDescent="0.2">
      <c r="A724">
        <f>'Import OpenCPN'!W725</f>
        <v>0</v>
      </c>
      <c r="B724">
        <f>'Import OpenCPN'!X725</f>
        <v>0</v>
      </c>
      <c r="C724">
        <f t="shared" si="132"/>
        <v>0</v>
      </c>
      <c r="D724" t="str">
        <f t="shared" si="133"/>
        <v>00</v>
      </c>
      <c r="E724">
        <f t="shared" si="134"/>
        <v>0</v>
      </c>
      <c r="F724">
        <f t="shared" si="135"/>
        <v>0</v>
      </c>
      <c r="G724" s="23" t="str">
        <f t="shared" si="136"/>
        <v>00.000</v>
      </c>
      <c r="H724" s="1" t="str">
        <f t="shared" si="137"/>
        <v>0000.000</v>
      </c>
      <c r="I724">
        <f t="shared" si="138"/>
        <v>0</v>
      </c>
      <c r="J724" t="str">
        <f t="shared" si="139"/>
        <v>000</v>
      </c>
      <c r="K724">
        <f t="shared" si="140"/>
        <v>0</v>
      </c>
      <c r="L724">
        <f t="shared" si="141"/>
        <v>0</v>
      </c>
      <c r="M724" t="str">
        <f t="shared" si="142"/>
        <v>00.000</v>
      </c>
      <c r="N724" s="1" t="str">
        <f t="shared" si="143"/>
        <v>00000.000</v>
      </c>
      <c r="O724" t="str">
        <f>IF('Import OpenCPN'!W725&gt;0,"N","S")</f>
        <v>S</v>
      </c>
      <c r="P724" t="str">
        <f>IF('Import OpenCPN'!X725&gt;0,"E","W")</f>
        <v>W</v>
      </c>
    </row>
    <row r="725" spans="1:16" x14ac:dyDescent="0.2">
      <c r="A725">
        <f>'Import OpenCPN'!W726</f>
        <v>0</v>
      </c>
      <c r="B725">
        <f>'Import OpenCPN'!X726</f>
        <v>0</v>
      </c>
      <c r="C725">
        <f t="shared" si="132"/>
        <v>0</v>
      </c>
      <c r="D725" t="str">
        <f t="shared" si="133"/>
        <v>00</v>
      </c>
      <c r="E725">
        <f t="shared" si="134"/>
        <v>0</v>
      </c>
      <c r="F725">
        <f t="shared" si="135"/>
        <v>0</v>
      </c>
      <c r="G725" s="23" t="str">
        <f t="shared" si="136"/>
        <v>00.000</v>
      </c>
      <c r="H725" s="1" t="str">
        <f t="shared" si="137"/>
        <v>0000.000</v>
      </c>
      <c r="I725">
        <f t="shared" si="138"/>
        <v>0</v>
      </c>
      <c r="J725" t="str">
        <f t="shared" si="139"/>
        <v>000</v>
      </c>
      <c r="K725">
        <f t="shared" si="140"/>
        <v>0</v>
      </c>
      <c r="L725">
        <f t="shared" si="141"/>
        <v>0</v>
      </c>
      <c r="M725" t="str">
        <f t="shared" si="142"/>
        <v>00.000</v>
      </c>
      <c r="N725" s="1" t="str">
        <f t="shared" si="143"/>
        <v>00000.000</v>
      </c>
      <c r="O725" t="str">
        <f>IF('Import OpenCPN'!W726&gt;0,"N","S")</f>
        <v>S</v>
      </c>
      <c r="P725" t="str">
        <f>IF('Import OpenCPN'!X726&gt;0,"E","W")</f>
        <v>W</v>
      </c>
    </row>
    <row r="726" spans="1:16" x14ac:dyDescent="0.2">
      <c r="A726">
        <f>'Import OpenCPN'!W727</f>
        <v>0</v>
      </c>
      <c r="B726">
        <f>'Import OpenCPN'!X727</f>
        <v>0</v>
      </c>
      <c r="C726">
        <f t="shared" si="132"/>
        <v>0</v>
      </c>
      <c r="D726" t="str">
        <f t="shared" si="133"/>
        <v>00</v>
      </c>
      <c r="E726">
        <f t="shared" si="134"/>
        <v>0</v>
      </c>
      <c r="F726">
        <f t="shared" si="135"/>
        <v>0</v>
      </c>
      <c r="G726" s="23" t="str">
        <f t="shared" si="136"/>
        <v>00.000</v>
      </c>
      <c r="H726" s="1" t="str">
        <f t="shared" si="137"/>
        <v>0000.000</v>
      </c>
      <c r="I726">
        <f t="shared" si="138"/>
        <v>0</v>
      </c>
      <c r="J726" t="str">
        <f t="shared" si="139"/>
        <v>000</v>
      </c>
      <c r="K726">
        <f t="shared" si="140"/>
        <v>0</v>
      </c>
      <c r="L726">
        <f t="shared" si="141"/>
        <v>0</v>
      </c>
      <c r="M726" t="str">
        <f t="shared" si="142"/>
        <v>00.000</v>
      </c>
      <c r="N726" s="1" t="str">
        <f t="shared" si="143"/>
        <v>00000.000</v>
      </c>
      <c r="O726" t="str">
        <f>IF('Import OpenCPN'!W727&gt;0,"N","S")</f>
        <v>S</v>
      </c>
      <c r="P726" t="str">
        <f>IF('Import OpenCPN'!X727&gt;0,"E","W")</f>
        <v>W</v>
      </c>
    </row>
    <row r="727" spans="1:16" x14ac:dyDescent="0.2">
      <c r="A727">
        <f>'Import OpenCPN'!W728</f>
        <v>0</v>
      </c>
      <c r="B727">
        <f>'Import OpenCPN'!X728</f>
        <v>0</v>
      </c>
      <c r="C727">
        <f t="shared" si="132"/>
        <v>0</v>
      </c>
      <c r="D727" t="str">
        <f t="shared" si="133"/>
        <v>00</v>
      </c>
      <c r="E727">
        <f t="shared" si="134"/>
        <v>0</v>
      </c>
      <c r="F727">
        <f t="shared" si="135"/>
        <v>0</v>
      </c>
      <c r="G727" s="23" t="str">
        <f t="shared" si="136"/>
        <v>00.000</v>
      </c>
      <c r="H727" s="1" t="str">
        <f t="shared" si="137"/>
        <v>0000.000</v>
      </c>
      <c r="I727">
        <f t="shared" si="138"/>
        <v>0</v>
      </c>
      <c r="J727" t="str">
        <f t="shared" si="139"/>
        <v>000</v>
      </c>
      <c r="K727">
        <f t="shared" si="140"/>
        <v>0</v>
      </c>
      <c r="L727">
        <f t="shared" si="141"/>
        <v>0</v>
      </c>
      <c r="M727" t="str">
        <f t="shared" si="142"/>
        <v>00.000</v>
      </c>
      <c r="N727" s="1" t="str">
        <f t="shared" si="143"/>
        <v>00000.000</v>
      </c>
      <c r="O727" t="str">
        <f>IF('Import OpenCPN'!W728&gt;0,"N","S")</f>
        <v>S</v>
      </c>
      <c r="P727" t="str">
        <f>IF('Import OpenCPN'!X728&gt;0,"E","W")</f>
        <v>W</v>
      </c>
    </row>
    <row r="728" spans="1:16" x14ac:dyDescent="0.2">
      <c r="A728">
        <f>'Import OpenCPN'!W729</f>
        <v>0</v>
      </c>
      <c r="B728">
        <f>'Import OpenCPN'!X729</f>
        <v>0</v>
      </c>
      <c r="C728">
        <f t="shared" si="132"/>
        <v>0</v>
      </c>
      <c r="D728" t="str">
        <f t="shared" si="133"/>
        <v>00</v>
      </c>
      <c r="E728">
        <f t="shared" si="134"/>
        <v>0</v>
      </c>
      <c r="F728">
        <f t="shared" si="135"/>
        <v>0</v>
      </c>
      <c r="G728" s="23" t="str">
        <f t="shared" si="136"/>
        <v>00.000</v>
      </c>
      <c r="H728" s="1" t="str">
        <f t="shared" si="137"/>
        <v>0000.000</v>
      </c>
      <c r="I728">
        <f t="shared" si="138"/>
        <v>0</v>
      </c>
      <c r="J728" t="str">
        <f t="shared" si="139"/>
        <v>000</v>
      </c>
      <c r="K728">
        <f t="shared" si="140"/>
        <v>0</v>
      </c>
      <c r="L728">
        <f t="shared" si="141"/>
        <v>0</v>
      </c>
      <c r="M728" t="str">
        <f t="shared" si="142"/>
        <v>00.000</v>
      </c>
      <c r="N728" s="1" t="str">
        <f t="shared" si="143"/>
        <v>00000.000</v>
      </c>
      <c r="O728" t="str">
        <f>IF('Import OpenCPN'!W729&gt;0,"N","S")</f>
        <v>S</v>
      </c>
      <c r="P728" t="str">
        <f>IF('Import OpenCPN'!X729&gt;0,"E","W")</f>
        <v>W</v>
      </c>
    </row>
    <row r="729" spans="1:16" x14ac:dyDescent="0.2">
      <c r="A729">
        <f>'Import OpenCPN'!W730</f>
        <v>0</v>
      </c>
      <c r="B729">
        <f>'Import OpenCPN'!X730</f>
        <v>0</v>
      </c>
      <c r="C729">
        <f t="shared" si="132"/>
        <v>0</v>
      </c>
      <c r="D729" t="str">
        <f t="shared" si="133"/>
        <v>00</v>
      </c>
      <c r="E729">
        <f t="shared" si="134"/>
        <v>0</v>
      </c>
      <c r="F729">
        <f t="shared" si="135"/>
        <v>0</v>
      </c>
      <c r="G729" s="23" t="str">
        <f t="shared" si="136"/>
        <v>00.000</v>
      </c>
      <c r="H729" s="1" t="str">
        <f t="shared" si="137"/>
        <v>0000.000</v>
      </c>
      <c r="I729">
        <f t="shared" si="138"/>
        <v>0</v>
      </c>
      <c r="J729" t="str">
        <f t="shared" si="139"/>
        <v>000</v>
      </c>
      <c r="K729">
        <f t="shared" si="140"/>
        <v>0</v>
      </c>
      <c r="L729">
        <f t="shared" si="141"/>
        <v>0</v>
      </c>
      <c r="M729" t="str">
        <f t="shared" si="142"/>
        <v>00.000</v>
      </c>
      <c r="N729" s="1" t="str">
        <f t="shared" si="143"/>
        <v>00000.000</v>
      </c>
      <c r="O729" t="str">
        <f>IF('Import OpenCPN'!W730&gt;0,"N","S")</f>
        <v>S</v>
      </c>
      <c r="P729" t="str">
        <f>IF('Import OpenCPN'!X730&gt;0,"E","W")</f>
        <v>W</v>
      </c>
    </row>
    <row r="730" spans="1:16" x14ac:dyDescent="0.2">
      <c r="A730">
        <f>'Import OpenCPN'!W731</f>
        <v>0</v>
      </c>
      <c r="B730">
        <f>'Import OpenCPN'!X731</f>
        <v>0</v>
      </c>
      <c r="C730">
        <f t="shared" si="132"/>
        <v>0</v>
      </c>
      <c r="D730" t="str">
        <f t="shared" si="133"/>
        <v>00</v>
      </c>
      <c r="E730">
        <f t="shared" si="134"/>
        <v>0</v>
      </c>
      <c r="F730">
        <f t="shared" si="135"/>
        <v>0</v>
      </c>
      <c r="G730" s="23" t="str">
        <f t="shared" si="136"/>
        <v>00.000</v>
      </c>
      <c r="H730" s="1" t="str">
        <f t="shared" si="137"/>
        <v>0000.000</v>
      </c>
      <c r="I730">
        <f t="shared" si="138"/>
        <v>0</v>
      </c>
      <c r="J730" t="str">
        <f t="shared" si="139"/>
        <v>000</v>
      </c>
      <c r="K730">
        <f t="shared" si="140"/>
        <v>0</v>
      </c>
      <c r="L730">
        <f t="shared" si="141"/>
        <v>0</v>
      </c>
      <c r="M730" t="str">
        <f t="shared" si="142"/>
        <v>00.000</v>
      </c>
      <c r="N730" s="1" t="str">
        <f t="shared" si="143"/>
        <v>00000.000</v>
      </c>
      <c r="O730" t="str">
        <f>IF('Import OpenCPN'!W731&gt;0,"N","S")</f>
        <v>S</v>
      </c>
      <c r="P730" t="str">
        <f>IF('Import OpenCPN'!X731&gt;0,"E","W")</f>
        <v>W</v>
      </c>
    </row>
    <row r="731" spans="1:16" x14ac:dyDescent="0.2">
      <c r="A731">
        <f>'Import OpenCPN'!W732</f>
        <v>0</v>
      </c>
      <c r="B731">
        <f>'Import OpenCPN'!X732</f>
        <v>0</v>
      </c>
      <c r="C731">
        <f t="shared" si="132"/>
        <v>0</v>
      </c>
      <c r="D731" t="str">
        <f t="shared" si="133"/>
        <v>00</v>
      </c>
      <c r="E731">
        <f t="shared" si="134"/>
        <v>0</v>
      </c>
      <c r="F731">
        <f t="shared" si="135"/>
        <v>0</v>
      </c>
      <c r="G731" s="23" t="str">
        <f t="shared" si="136"/>
        <v>00.000</v>
      </c>
      <c r="H731" s="1" t="str">
        <f t="shared" si="137"/>
        <v>0000.000</v>
      </c>
      <c r="I731">
        <f t="shared" si="138"/>
        <v>0</v>
      </c>
      <c r="J731" t="str">
        <f t="shared" si="139"/>
        <v>000</v>
      </c>
      <c r="K731">
        <f t="shared" si="140"/>
        <v>0</v>
      </c>
      <c r="L731">
        <f t="shared" si="141"/>
        <v>0</v>
      </c>
      <c r="M731" t="str">
        <f t="shared" si="142"/>
        <v>00.000</v>
      </c>
      <c r="N731" s="1" t="str">
        <f t="shared" si="143"/>
        <v>00000.000</v>
      </c>
      <c r="O731" t="str">
        <f>IF('Import OpenCPN'!W732&gt;0,"N","S")</f>
        <v>S</v>
      </c>
      <c r="P731" t="str">
        <f>IF('Import OpenCPN'!X732&gt;0,"E","W")</f>
        <v>W</v>
      </c>
    </row>
    <row r="732" spans="1:16" x14ac:dyDescent="0.2">
      <c r="A732">
        <f>'Import OpenCPN'!W733</f>
        <v>0</v>
      </c>
      <c r="B732">
        <f>'Import OpenCPN'!X733</f>
        <v>0</v>
      </c>
      <c r="C732">
        <f t="shared" si="132"/>
        <v>0</v>
      </c>
      <c r="D732" t="str">
        <f t="shared" si="133"/>
        <v>00</v>
      </c>
      <c r="E732">
        <f t="shared" si="134"/>
        <v>0</v>
      </c>
      <c r="F732">
        <f t="shared" si="135"/>
        <v>0</v>
      </c>
      <c r="G732" s="23" t="str">
        <f t="shared" si="136"/>
        <v>00.000</v>
      </c>
      <c r="H732" s="1" t="str">
        <f t="shared" si="137"/>
        <v>0000.000</v>
      </c>
      <c r="I732">
        <f t="shared" si="138"/>
        <v>0</v>
      </c>
      <c r="J732" t="str">
        <f t="shared" si="139"/>
        <v>000</v>
      </c>
      <c r="K732">
        <f t="shared" si="140"/>
        <v>0</v>
      </c>
      <c r="L732">
        <f t="shared" si="141"/>
        <v>0</v>
      </c>
      <c r="M732" t="str">
        <f t="shared" si="142"/>
        <v>00.000</v>
      </c>
      <c r="N732" s="1" t="str">
        <f t="shared" si="143"/>
        <v>00000.000</v>
      </c>
      <c r="O732" t="str">
        <f>IF('Import OpenCPN'!W733&gt;0,"N","S")</f>
        <v>S</v>
      </c>
      <c r="P732" t="str">
        <f>IF('Import OpenCPN'!X733&gt;0,"E","W")</f>
        <v>W</v>
      </c>
    </row>
    <row r="733" spans="1:16" x14ac:dyDescent="0.2">
      <c r="A733">
        <f>'Import OpenCPN'!W734</f>
        <v>0</v>
      </c>
      <c r="B733">
        <f>'Import OpenCPN'!X734</f>
        <v>0</v>
      </c>
      <c r="C733">
        <f t="shared" si="132"/>
        <v>0</v>
      </c>
      <c r="D733" t="str">
        <f t="shared" si="133"/>
        <v>00</v>
      </c>
      <c r="E733">
        <f t="shared" si="134"/>
        <v>0</v>
      </c>
      <c r="F733">
        <f t="shared" si="135"/>
        <v>0</v>
      </c>
      <c r="G733" s="23" t="str">
        <f t="shared" si="136"/>
        <v>00.000</v>
      </c>
      <c r="H733" s="1" t="str">
        <f t="shared" si="137"/>
        <v>0000.000</v>
      </c>
      <c r="I733">
        <f t="shared" si="138"/>
        <v>0</v>
      </c>
      <c r="J733" t="str">
        <f t="shared" si="139"/>
        <v>000</v>
      </c>
      <c r="K733">
        <f t="shared" si="140"/>
        <v>0</v>
      </c>
      <c r="L733">
        <f t="shared" si="141"/>
        <v>0</v>
      </c>
      <c r="M733" t="str">
        <f t="shared" si="142"/>
        <v>00.000</v>
      </c>
      <c r="N733" s="1" t="str">
        <f t="shared" si="143"/>
        <v>00000.000</v>
      </c>
      <c r="O733" t="str">
        <f>IF('Import OpenCPN'!W734&gt;0,"N","S")</f>
        <v>S</v>
      </c>
      <c r="P733" t="str">
        <f>IF('Import OpenCPN'!X734&gt;0,"E","W")</f>
        <v>W</v>
      </c>
    </row>
    <row r="734" spans="1:16" x14ac:dyDescent="0.2">
      <c r="A734">
        <f>'Import OpenCPN'!W735</f>
        <v>0</v>
      </c>
      <c r="B734">
        <f>'Import OpenCPN'!X735</f>
        <v>0</v>
      </c>
      <c r="C734">
        <f t="shared" si="132"/>
        <v>0</v>
      </c>
      <c r="D734" t="str">
        <f t="shared" si="133"/>
        <v>00</v>
      </c>
      <c r="E734">
        <f t="shared" si="134"/>
        <v>0</v>
      </c>
      <c r="F734">
        <f t="shared" si="135"/>
        <v>0</v>
      </c>
      <c r="G734" s="23" t="str">
        <f t="shared" si="136"/>
        <v>00.000</v>
      </c>
      <c r="H734" s="1" t="str">
        <f t="shared" si="137"/>
        <v>0000.000</v>
      </c>
      <c r="I734">
        <f t="shared" si="138"/>
        <v>0</v>
      </c>
      <c r="J734" t="str">
        <f t="shared" si="139"/>
        <v>000</v>
      </c>
      <c r="K734">
        <f t="shared" si="140"/>
        <v>0</v>
      </c>
      <c r="L734">
        <f t="shared" si="141"/>
        <v>0</v>
      </c>
      <c r="M734" t="str">
        <f t="shared" si="142"/>
        <v>00.000</v>
      </c>
      <c r="N734" s="1" t="str">
        <f t="shared" si="143"/>
        <v>00000.000</v>
      </c>
      <c r="O734" t="str">
        <f>IF('Import OpenCPN'!W735&gt;0,"N","S")</f>
        <v>S</v>
      </c>
      <c r="P734" t="str">
        <f>IF('Import OpenCPN'!X735&gt;0,"E","W")</f>
        <v>W</v>
      </c>
    </row>
    <row r="735" spans="1:16" x14ac:dyDescent="0.2">
      <c r="A735">
        <f>'Import OpenCPN'!W736</f>
        <v>0</v>
      </c>
      <c r="B735">
        <f>'Import OpenCPN'!X736</f>
        <v>0</v>
      </c>
      <c r="C735">
        <f t="shared" si="132"/>
        <v>0</v>
      </c>
      <c r="D735" t="str">
        <f t="shared" si="133"/>
        <v>00</v>
      </c>
      <c r="E735">
        <f t="shared" si="134"/>
        <v>0</v>
      </c>
      <c r="F735">
        <f t="shared" si="135"/>
        <v>0</v>
      </c>
      <c r="G735" s="23" t="str">
        <f t="shared" si="136"/>
        <v>00.000</v>
      </c>
      <c r="H735" s="1" t="str">
        <f t="shared" si="137"/>
        <v>0000.000</v>
      </c>
      <c r="I735">
        <f t="shared" si="138"/>
        <v>0</v>
      </c>
      <c r="J735" t="str">
        <f t="shared" si="139"/>
        <v>000</v>
      </c>
      <c r="K735">
        <f t="shared" si="140"/>
        <v>0</v>
      </c>
      <c r="L735">
        <f t="shared" si="141"/>
        <v>0</v>
      </c>
      <c r="M735" t="str">
        <f t="shared" si="142"/>
        <v>00.000</v>
      </c>
      <c r="N735" s="1" t="str">
        <f t="shared" si="143"/>
        <v>00000.000</v>
      </c>
      <c r="O735" t="str">
        <f>IF('Import OpenCPN'!W736&gt;0,"N","S")</f>
        <v>S</v>
      </c>
      <c r="P735" t="str">
        <f>IF('Import OpenCPN'!X736&gt;0,"E","W")</f>
        <v>W</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626"/>
  <sheetViews>
    <sheetView workbookViewId="0">
      <selection activeCell="A7" sqref="A7"/>
    </sheetView>
  </sheetViews>
  <sheetFormatPr baseColWidth="10" defaultColWidth="9.140625" defaultRowHeight="12.75" x14ac:dyDescent="0.2"/>
  <sheetData>
    <row r="1" spans="1:1" x14ac:dyDescent="0.2">
      <c r="A1" t="str">
        <f>IF(Calculs!A1=0,"","$PFEC,GPwpl,"&amp;Calculs!H1&amp;","&amp;Calculs!O1&amp;","&amp;Calculs!N1&amp;","&amp;Calculs!P1&amp;","&amp;'Import OpenCPN'!AC2&amp;",Y,@"&amp;Symboles!C1&amp;",A,,,,")</f>
        <v/>
      </c>
    </row>
    <row r="2" spans="1:1" x14ac:dyDescent="0.2">
      <c r="A2" t="str">
        <f>IF(Calculs!A2=0,"","$PFEC,GPwpl,"&amp;Calculs!H2&amp;","&amp;Calculs!O2&amp;","&amp;Calculs!N2&amp;","&amp;Calculs!P2&amp;","&amp;'Import OpenCPN'!AC3&amp;",Y,@"&amp;Symboles!C2&amp;",A,,,,")</f>
        <v/>
      </c>
    </row>
    <row r="3" spans="1:1" x14ac:dyDescent="0.2">
      <c r="A3" t="str">
        <f>IF(Calculs!A3=0,"","$PFEC,GPwpl,"&amp;Calculs!H3&amp;","&amp;Calculs!O3&amp;","&amp;Calculs!N3&amp;","&amp;Calculs!P3&amp;","&amp;'Import OpenCPN'!AC4&amp;",Y,@"&amp;Symboles!C3&amp;",A,,,,")</f>
        <v/>
      </c>
    </row>
    <row r="4" spans="1:1" x14ac:dyDescent="0.2">
      <c r="A4" t="str">
        <f>IF(Calculs!A4=0,"","$PFEC,GPwpl,"&amp;Calculs!H4&amp;","&amp;Calculs!O4&amp;","&amp;Calculs!N4&amp;","&amp;Calculs!P4&amp;","&amp;'Import OpenCPN'!AC5&amp;",Y,@"&amp;Symboles!C4&amp;",A,,,,")</f>
        <v/>
      </c>
    </row>
    <row r="5" spans="1:1" x14ac:dyDescent="0.2">
      <c r="A5" t="str">
        <f>IF(Calculs!A5=0,"","$PFEC,GPwpl,"&amp;Calculs!H5&amp;","&amp;Calculs!O5&amp;","&amp;Calculs!N5&amp;","&amp;Calculs!P5&amp;","&amp;'Import OpenCPN'!AC6&amp;",Y,@"&amp;Symboles!C5&amp;",A,,,,")</f>
        <v/>
      </c>
    </row>
    <row r="6" spans="1:1" x14ac:dyDescent="0.2">
      <c r="A6" t="str">
        <f>IF(Calculs!A6=0,"","$PFEC,GPwpl,"&amp;Calculs!H6&amp;","&amp;Calculs!O6&amp;","&amp;Calculs!N6&amp;","&amp;Calculs!P6&amp;","&amp;'Import OpenCPN'!AC7&amp;",Y,@"&amp;Symboles!C6&amp;",A,,,,")</f>
        <v/>
      </c>
    </row>
    <row r="7" spans="1:1" x14ac:dyDescent="0.2">
      <c r="A7" t="str">
        <f>IF(Calculs!A7=0,"","$PFEC,GPwpl,"&amp;Calculs!H7&amp;","&amp;Calculs!O7&amp;","&amp;Calculs!N7&amp;","&amp;Calculs!P7&amp;","&amp;'Import OpenCPN'!AC8&amp;",Y,@"&amp;Symboles!C7&amp;",A,,,,")</f>
        <v/>
      </c>
    </row>
    <row r="8" spans="1:1" x14ac:dyDescent="0.2">
      <c r="A8" t="str">
        <f>IF(Calculs!A8=0,"","$PFEC,GPwpl,"&amp;Calculs!H8&amp;","&amp;Calculs!O8&amp;","&amp;Calculs!N8&amp;","&amp;Calculs!P8&amp;","&amp;'Import OpenCPN'!AC9&amp;",Y,@"&amp;Symboles!C8&amp;",A,,,,")</f>
        <v/>
      </c>
    </row>
    <row r="9" spans="1:1" x14ac:dyDescent="0.2">
      <c r="A9" t="str">
        <f>IF(Calculs!A9=0,"","$PFEC,GPwpl,"&amp;Calculs!H9&amp;","&amp;Calculs!O9&amp;","&amp;Calculs!N9&amp;","&amp;Calculs!P9&amp;","&amp;'Import OpenCPN'!AC10&amp;",Y,@"&amp;Symboles!C9&amp;",A,,,,")</f>
        <v/>
      </c>
    </row>
    <row r="10" spans="1:1" x14ac:dyDescent="0.2">
      <c r="A10" t="str">
        <f>IF(Calculs!A10=0,"","$PFEC,GPwpl,"&amp;Calculs!H10&amp;","&amp;Calculs!O10&amp;","&amp;Calculs!N10&amp;","&amp;Calculs!P10&amp;","&amp;'Import OpenCPN'!AC11&amp;",Y,@"&amp;Symboles!C10&amp;",A,,,,")</f>
        <v/>
      </c>
    </row>
    <row r="11" spans="1:1" x14ac:dyDescent="0.2">
      <c r="A11" t="str">
        <f>IF(Calculs!A11=0,"","$PFEC,GPwpl,"&amp;Calculs!H11&amp;","&amp;Calculs!O11&amp;","&amp;Calculs!N11&amp;","&amp;Calculs!P11&amp;","&amp;'Import OpenCPN'!AC12&amp;",Y,@"&amp;Symboles!C11&amp;",A,,,,")</f>
        <v/>
      </c>
    </row>
    <row r="12" spans="1:1" x14ac:dyDescent="0.2">
      <c r="A12" t="str">
        <f>IF(Calculs!A12=0,"","$PFEC,GPwpl,"&amp;Calculs!H12&amp;","&amp;Calculs!O12&amp;","&amp;Calculs!N12&amp;","&amp;Calculs!P12&amp;","&amp;'Import OpenCPN'!AC13&amp;",Y,@"&amp;Symboles!C12&amp;",A,,,,")</f>
        <v/>
      </c>
    </row>
    <row r="13" spans="1:1" x14ac:dyDescent="0.2">
      <c r="A13" t="str">
        <f>IF(Calculs!A13=0,"","$PFEC,GPwpl,"&amp;Calculs!H13&amp;","&amp;Calculs!O13&amp;","&amp;Calculs!N13&amp;","&amp;Calculs!P13&amp;","&amp;'Import OpenCPN'!AC14&amp;",Y,@"&amp;Symboles!C13&amp;",A,,,,")</f>
        <v/>
      </c>
    </row>
    <row r="14" spans="1:1" x14ac:dyDescent="0.2">
      <c r="A14" t="str">
        <f>IF(Calculs!A14=0,"","$PFEC,GPwpl,"&amp;Calculs!H14&amp;","&amp;Calculs!O14&amp;","&amp;Calculs!N14&amp;","&amp;Calculs!P14&amp;","&amp;'Import OpenCPN'!AC15&amp;",Y,@"&amp;Symboles!C14&amp;",A,,,,")</f>
        <v/>
      </c>
    </row>
    <row r="15" spans="1:1" x14ac:dyDescent="0.2">
      <c r="A15" t="str">
        <f>IF(Calculs!A15=0,"","$PFEC,GPwpl,"&amp;Calculs!H15&amp;","&amp;Calculs!O15&amp;","&amp;Calculs!N15&amp;","&amp;Calculs!P15&amp;","&amp;'Import OpenCPN'!AC16&amp;",Y,@"&amp;Symboles!C15&amp;",A,,,,")</f>
        <v/>
      </c>
    </row>
    <row r="16" spans="1:1" x14ac:dyDescent="0.2">
      <c r="A16" t="str">
        <f>IF(Calculs!A16=0,"","$PFEC,GPwpl,"&amp;Calculs!H16&amp;","&amp;Calculs!O16&amp;","&amp;Calculs!N16&amp;","&amp;Calculs!P16&amp;","&amp;'Import OpenCPN'!AC17&amp;",Y,@"&amp;Symboles!C16&amp;",A,,,,")</f>
        <v/>
      </c>
    </row>
    <row r="17" spans="1:1" x14ac:dyDescent="0.2">
      <c r="A17" t="str">
        <f>IF(Calculs!A17=0,"","$PFEC,GPwpl,"&amp;Calculs!H17&amp;","&amp;Calculs!O17&amp;","&amp;Calculs!N17&amp;","&amp;Calculs!P17&amp;","&amp;'Import OpenCPN'!AC18&amp;",Y,@"&amp;Symboles!C17&amp;",A,,,,")</f>
        <v/>
      </c>
    </row>
    <row r="18" spans="1:1" x14ac:dyDescent="0.2">
      <c r="A18" t="str">
        <f>IF(Calculs!A18=0,"","$PFEC,GPwpl,"&amp;Calculs!H18&amp;","&amp;Calculs!O18&amp;","&amp;Calculs!N18&amp;","&amp;Calculs!P18&amp;","&amp;'Import OpenCPN'!AC19&amp;",Y,@"&amp;Symboles!C18&amp;",A,,,,")</f>
        <v/>
      </c>
    </row>
    <row r="19" spans="1:1" x14ac:dyDescent="0.2">
      <c r="A19" t="str">
        <f>IF(Calculs!A19=0,"","$PFEC,GPwpl,"&amp;Calculs!H19&amp;","&amp;Calculs!O19&amp;","&amp;Calculs!N19&amp;","&amp;Calculs!P19&amp;","&amp;'Import OpenCPN'!AC20&amp;",Y,@"&amp;Symboles!C19&amp;",A,,,,")</f>
        <v/>
      </c>
    </row>
    <row r="20" spans="1:1" x14ac:dyDescent="0.2">
      <c r="A20" t="str">
        <f>IF(Calculs!A20=0,"","$PFEC,GPwpl,"&amp;Calculs!H20&amp;","&amp;Calculs!O20&amp;","&amp;Calculs!N20&amp;","&amp;Calculs!P20&amp;","&amp;'Import OpenCPN'!AC21&amp;",Y,@"&amp;Symboles!C20&amp;",A,,,,")</f>
        <v/>
      </c>
    </row>
    <row r="21" spans="1:1" x14ac:dyDescent="0.2">
      <c r="A21" t="str">
        <f>IF(Calculs!A21=0,"","$PFEC,GPwpl,"&amp;Calculs!H21&amp;","&amp;Calculs!O21&amp;","&amp;Calculs!N21&amp;","&amp;Calculs!P21&amp;","&amp;'Import OpenCPN'!AC22&amp;",Y,@"&amp;Symboles!C21&amp;",A,,,,")</f>
        <v/>
      </c>
    </row>
    <row r="22" spans="1:1" x14ac:dyDescent="0.2">
      <c r="A22" t="str">
        <f>IF(Calculs!A22=0,"","$PFEC,GPwpl,"&amp;Calculs!H22&amp;","&amp;Calculs!O22&amp;","&amp;Calculs!N22&amp;","&amp;Calculs!P22&amp;","&amp;'Import OpenCPN'!AC23&amp;",Y,@"&amp;Symboles!C22&amp;",A,,,,")</f>
        <v/>
      </c>
    </row>
    <row r="23" spans="1:1" x14ac:dyDescent="0.2">
      <c r="A23" t="str">
        <f>IF(Calculs!A23=0,"","$PFEC,GPwpl,"&amp;Calculs!H23&amp;","&amp;Calculs!O23&amp;","&amp;Calculs!N23&amp;","&amp;Calculs!P23&amp;","&amp;'Import OpenCPN'!AC24&amp;",Y,@"&amp;Symboles!C23&amp;",A,,,,")</f>
        <v/>
      </c>
    </row>
    <row r="24" spans="1:1" x14ac:dyDescent="0.2">
      <c r="A24" t="str">
        <f>IF(Calculs!A24=0,"","$PFEC,GPwpl,"&amp;Calculs!H24&amp;","&amp;Calculs!O24&amp;","&amp;Calculs!N24&amp;","&amp;Calculs!P24&amp;","&amp;'Import OpenCPN'!AC25&amp;",Y,@"&amp;Symboles!C24&amp;",A,,,,")</f>
        <v/>
      </c>
    </row>
    <row r="25" spans="1:1" x14ac:dyDescent="0.2">
      <c r="A25" t="str">
        <f>IF(Calculs!A25=0,"","$PFEC,GPwpl,"&amp;Calculs!H25&amp;","&amp;Calculs!O25&amp;","&amp;Calculs!N25&amp;","&amp;Calculs!P25&amp;","&amp;'Import OpenCPN'!AC26&amp;",Y,@"&amp;Symboles!C25&amp;",A,,,,")</f>
        <v/>
      </c>
    </row>
    <row r="26" spans="1:1" x14ac:dyDescent="0.2">
      <c r="A26" t="str">
        <f>IF(Calculs!A26=0,"","$PFEC,GPwpl,"&amp;Calculs!H26&amp;","&amp;Calculs!O26&amp;","&amp;Calculs!N26&amp;","&amp;Calculs!P26&amp;","&amp;'Import OpenCPN'!AC27&amp;",Y,@"&amp;Symboles!C26&amp;",A,,,,")</f>
        <v/>
      </c>
    </row>
    <row r="27" spans="1:1" x14ac:dyDescent="0.2">
      <c r="A27" t="str">
        <f>IF(Calculs!A27=0,"","$PFEC,GPwpl,"&amp;Calculs!H27&amp;","&amp;Calculs!O27&amp;","&amp;Calculs!N27&amp;","&amp;Calculs!P27&amp;","&amp;'Import OpenCPN'!AC28&amp;",Y,@"&amp;Symboles!C27&amp;",A,,,,")</f>
        <v/>
      </c>
    </row>
    <row r="28" spans="1:1" x14ac:dyDescent="0.2">
      <c r="A28" t="str">
        <f>IF(Calculs!A28=0,"","$PFEC,GPwpl,"&amp;Calculs!H28&amp;","&amp;Calculs!O28&amp;","&amp;Calculs!N28&amp;","&amp;Calculs!P28&amp;","&amp;'Import OpenCPN'!AC29&amp;",Y,@"&amp;Symboles!C28&amp;",A,,,,")</f>
        <v/>
      </c>
    </row>
    <row r="29" spans="1:1" x14ac:dyDescent="0.2">
      <c r="A29" t="str">
        <f>IF(Calculs!A29=0,"","$PFEC,GPwpl,"&amp;Calculs!H29&amp;","&amp;Calculs!O29&amp;","&amp;Calculs!N29&amp;","&amp;Calculs!P29&amp;","&amp;'Import OpenCPN'!AC30&amp;",Y,@"&amp;Symboles!C29&amp;",A,,,,")</f>
        <v/>
      </c>
    </row>
    <row r="30" spans="1:1" x14ac:dyDescent="0.2">
      <c r="A30" t="str">
        <f>IF(Calculs!A30=0,"","$PFEC,GPwpl,"&amp;Calculs!H30&amp;","&amp;Calculs!O30&amp;","&amp;Calculs!N30&amp;","&amp;Calculs!P30&amp;","&amp;'Import OpenCPN'!AC31&amp;",Y,@"&amp;Symboles!C30&amp;",A,,,,")</f>
        <v/>
      </c>
    </row>
    <row r="31" spans="1:1" x14ac:dyDescent="0.2">
      <c r="A31" t="str">
        <f>IF(Calculs!A31=0,"","$PFEC,GPwpl,"&amp;Calculs!H31&amp;","&amp;Calculs!O31&amp;","&amp;Calculs!N31&amp;","&amp;Calculs!P31&amp;","&amp;'Import OpenCPN'!AC32&amp;",Y,@"&amp;Symboles!C31&amp;",A,,,,")</f>
        <v/>
      </c>
    </row>
    <row r="32" spans="1:1" x14ac:dyDescent="0.2">
      <c r="A32" t="str">
        <f>IF(Calculs!A32=0,"","$PFEC,GPwpl,"&amp;Calculs!H32&amp;","&amp;Calculs!O32&amp;","&amp;Calculs!N32&amp;","&amp;Calculs!P32&amp;","&amp;'Import OpenCPN'!AC33&amp;",Y,@"&amp;Symboles!C32&amp;",A,,,,")</f>
        <v/>
      </c>
    </row>
    <row r="33" spans="1:1" x14ac:dyDescent="0.2">
      <c r="A33" t="str">
        <f>IF(Calculs!A33=0,"","$PFEC,GPwpl,"&amp;Calculs!H33&amp;","&amp;Calculs!O33&amp;","&amp;Calculs!N33&amp;","&amp;Calculs!P33&amp;","&amp;'Import OpenCPN'!AC34&amp;",Y,@"&amp;Symboles!C33&amp;",A,,,,")</f>
        <v/>
      </c>
    </row>
    <row r="34" spans="1:1" x14ac:dyDescent="0.2">
      <c r="A34" t="str">
        <f>IF(Calculs!A34=0,"","$PFEC,GPwpl,"&amp;Calculs!H34&amp;","&amp;Calculs!O34&amp;","&amp;Calculs!N34&amp;","&amp;Calculs!P34&amp;","&amp;'Import OpenCPN'!AC35&amp;",Y,@"&amp;Symboles!C34&amp;",A,,,,")</f>
        <v/>
      </c>
    </row>
    <row r="35" spans="1:1" x14ac:dyDescent="0.2">
      <c r="A35" t="str">
        <f>IF(Calculs!A35=0,"","$PFEC,GPwpl,"&amp;Calculs!H35&amp;","&amp;Calculs!O35&amp;","&amp;Calculs!N35&amp;","&amp;Calculs!P35&amp;","&amp;'Import OpenCPN'!AC36&amp;",Y,@"&amp;Symboles!C35&amp;",A,,,,")</f>
        <v/>
      </c>
    </row>
    <row r="36" spans="1:1" x14ac:dyDescent="0.2">
      <c r="A36" t="str">
        <f>IF(Calculs!A36=0,"","$PFEC,GPwpl,"&amp;Calculs!H36&amp;","&amp;Calculs!O36&amp;","&amp;Calculs!N36&amp;","&amp;Calculs!P36&amp;","&amp;'Import OpenCPN'!AC37&amp;",Y,@"&amp;Symboles!C36&amp;",A,,,,")</f>
        <v/>
      </c>
    </row>
    <row r="37" spans="1:1" x14ac:dyDescent="0.2">
      <c r="A37" t="str">
        <f>IF(Calculs!A37=0,"","$PFEC,GPwpl,"&amp;Calculs!H37&amp;","&amp;Calculs!O37&amp;","&amp;Calculs!N37&amp;","&amp;Calculs!P37&amp;","&amp;'Import OpenCPN'!AC38&amp;",Y,@"&amp;Symboles!C37&amp;",A,,,,")</f>
        <v/>
      </c>
    </row>
    <row r="38" spans="1:1" x14ac:dyDescent="0.2">
      <c r="A38" t="str">
        <f>IF(Calculs!A38=0,"","$PFEC,GPwpl,"&amp;Calculs!H38&amp;","&amp;Calculs!O38&amp;","&amp;Calculs!N38&amp;","&amp;Calculs!P38&amp;","&amp;'Import OpenCPN'!AC39&amp;",Y,@"&amp;Symboles!C38&amp;",A,,,,")</f>
        <v/>
      </c>
    </row>
    <row r="39" spans="1:1" x14ac:dyDescent="0.2">
      <c r="A39" t="str">
        <f>IF(Calculs!A39=0,"","$PFEC,GPwpl,"&amp;Calculs!H39&amp;","&amp;Calculs!O39&amp;","&amp;Calculs!N39&amp;","&amp;Calculs!P39&amp;","&amp;'Import OpenCPN'!AC40&amp;",Y,@"&amp;Symboles!C39&amp;",A,,,,")</f>
        <v/>
      </c>
    </row>
    <row r="40" spans="1:1" x14ac:dyDescent="0.2">
      <c r="A40" t="str">
        <f>IF(Calculs!A40=0,"","$PFEC,GPwpl,"&amp;Calculs!H40&amp;","&amp;Calculs!O40&amp;","&amp;Calculs!N40&amp;","&amp;Calculs!P40&amp;","&amp;'Import OpenCPN'!AC41&amp;",Y,@"&amp;Symboles!C40&amp;",A,,,,")</f>
        <v/>
      </c>
    </row>
    <row r="41" spans="1:1" x14ac:dyDescent="0.2">
      <c r="A41" t="str">
        <f>IF(Calculs!A41=0,"","$PFEC,GPwpl,"&amp;Calculs!H41&amp;","&amp;Calculs!O41&amp;","&amp;Calculs!N41&amp;","&amp;Calculs!P41&amp;","&amp;'Import OpenCPN'!AC42&amp;",Y,@"&amp;Symboles!C41&amp;",A,,,,")</f>
        <v/>
      </c>
    </row>
    <row r="42" spans="1:1" x14ac:dyDescent="0.2">
      <c r="A42" t="str">
        <f>IF(Calculs!A42=0,"","$PFEC,GPwpl,"&amp;Calculs!H42&amp;","&amp;Calculs!O42&amp;","&amp;Calculs!N42&amp;","&amp;Calculs!P42&amp;","&amp;'Import OpenCPN'!AC43&amp;",Y,@"&amp;Symboles!C42&amp;",A,,,,")</f>
        <v/>
      </c>
    </row>
    <row r="43" spans="1:1" x14ac:dyDescent="0.2">
      <c r="A43" t="str">
        <f>IF(Calculs!A43=0,"","$PFEC,GPwpl,"&amp;Calculs!H43&amp;","&amp;Calculs!O43&amp;","&amp;Calculs!N43&amp;","&amp;Calculs!P43&amp;","&amp;'Import OpenCPN'!AC44&amp;",Y,@"&amp;Symboles!C43&amp;",A,,,,")</f>
        <v/>
      </c>
    </row>
    <row r="44" spans="1:1" x14ac:dyDescent="0.2">
      <c r="A44" t="str">
        <f>IF(Calculs!A44=0,"","$PFEC,GPwpl,"&amp;Calculs!H44&amp;","&amp;Calculs!O44&amp;","&amp;Calculs!N44&amp;","&amp;Calculs!P44&amp;","&amp;'Import OpenCPN'!AC45&amp;",Y,@"&amp;Symboles!C44&amp;",A,,,,")</f>
        <v/>
      </c>
    </row>
    <row r="45" spans="1:1" x14ac:dyDescent="0.2">
      <c r="A45" t="str">
        <f>IF(Calculs!A45=0,"","$PFEC,GPwpl,"&amp;Calculs!H45&amp;","&amp;Calculs!O45&amp;","&amp;Calculs!N45&amp;","&amp;Calculs!P45&amp;","&amp;'Import OpenCPN'!AC46&amp;",Y,@"&amp;Symboles!C45&amp;",A,,,,")</f>
        <v/>
      </c>
    </row>
    <row r="46" spans="1:1" x14ac:dyDescent="0.2">
      <c r="A46" t="str">
        <f>IF(Calculs!A46=0,"","$PFEC,GPwpl,"&amp;Calculs!H46&amp;","&amp;Calculs!O46&amp;","&amp;Calculs!N46&amp;","&amp;Calculs!P46&amp;","&amp;'Import OpenCPN'!AC47&amp;",Y,@"&amp;Symboles!C46&amp;",A,,,,")</f>
        <v/>
      </c>
    </row>
    <row r="47" spans="1:1" x14ac:dyDescent="0.2">
      <c r="A47" t="str">
        <f>IF(Calculs!A47=0,"","$PFEC,GPwpl,"&amp;Calculs!H47&amp;","&amp;Calculs!O47&amp;","&amp;Calculs!N47&amp;","&amp;Calculs!P47&amp;","&amp;'Import OpenCPN'!AC48&amp;",Y,@"&amp;Symboles!C47&amp;",A,,,,")</f>
        <v/>
      </c>
    </row>
    <row r="48" spans="1:1" x14ac:dyDescent="0.2">
      <c r="A48" t="str">
        <f>IF(Calculs!A48=0,"","$PFEC,GPwpl,"&amp;Calculs!H48&amp;","&amp;Calculs!O48&amp;","&amp;Calculs!N48&amp;","&amp;Calculs!P48&amp;","&amp;'Import OpenCPN'!AC49&amp;",Y,@"&amp;Symboles!C48&amp;",A,,,,")</f>
        <v/>
      </c>
    </row>
    <row r="49" spans="1:1" x14ac:dyDescent="0.2">
      <c r="A49" t="str">
        <f>IF(Calculs!A49=0,"","$PFEC,GPwpl,"&amp;Calculs!H49&amp;","&amp;Calculs!O49&amp;","&amp;Calculs!N49&amp;","&amp;Calculs!P49&amp;","&amp;'Import OpenCPN'!AC50&amp;",Y,@"&amp;Symboles!C49&amp;",A,,,,")</f>
        <v/>
      </c>
    </row>
    <row r="50" spans="1:1" x14ac:dyDescent="0.2">
      <c r="A50" t="str">
        <f>IF(Calculs!A50=0,"","$PFEC,GPwpl,"&amp;Calculs!H50&amp;","&amp;Calculs!O50&amp;","&amp;Calculs!N50&amp;","&amp;Calculs!P50&amp;","&amp;'Import OpenCPN'!AC51&amp;",Y,@"&amp;Symboles!C50&amp;",A,,,,")</f>
        <v/>
      </c>
    </row>
    <row r="51" spans="1:1" x14ac:dyDescent="0.2">
      <c r="A51" t="str">
        <f>IF(Calculs!A51=0,"","$PFEC,GPwpl,"&amp;Calculs!H51&amp;","&amp;Calculs!O51&amp;","&amp;Calculs!N51&amp;","&amp;Calculs!P51&amp;","&amp;'Import OpenCPN'!AC52&amp;",Y,@"&amp;Symboles!C51&amp;",A,,,,")</f>
        <v/>
      </c>
    </row>
    <row r="52" spans="1:1" x14ac:dyDescent="0.2">
      <c r="A52" t="str">
        <f>IF(Calculs!A52=0,"","$PFEC,GPwpl,"&amp;Calculs!H52&amp;","&amp;Calculs!O52&amp;","&amp;Calculs!N52&amp;","&amp;Calculs!P52&amp;","&amp;'Import OpenCPN'!AC53&amp;",Y,@"&amp;Symboles!C52&amp;",A,,,,")</f>
        <v/>
      </c>
    </row>
    <row r="53" spans="1:1" x14ac:dyDescent="0.2">
      <c r="A53" t="str">
        <f>IF(Calculs!A53=0,"","$PFEC,GPwpl,"&amp;Calculs!H53&amp;","&amp;Calculs!O53&amp;","&amp;Calculs!N53&amp;","&amp;Calculs!P53&amp;","&amp;'Import OpenCPN'!AC54&amp;",Y,@"&amp;Symboles!C53&amp;",A,,,,")</f>
        <v/>
      </c>
    </row>
    <row r="54" spans="1:1" x14ac:dyDescent="0.2">
      <c r="A54" t="str">
        <f>IF(Calculs!A54=0,"","$PFEC,GPwpl,"&amp;Calculs!H54&amp;","&amp;Calculs!O54&amp;","&amp;Calculs!N54&amp;","&amp;Calculs!P54&amp;","&amp;'Import OpenCPN'!AC55&amp;",Y,@"&amp;Symboles!C54&amp;",A,,,,")</f>
        <v/>
      </c>
    </row>
    <row r="55" spans="1:1" x14ac:dyDescent="0.2">
      <c r="A55" t="str">
        <f>IF(Calculs!A55=0,"","$PFEC,GPwpl,"&amp;Calculs!H55&amp;","&amp;Calculs!O55&amp;","&amp;Calculs!N55&amp;","&amp;Calculs!P55&amp;","&amp;'Import OpenCPN'!AC56&amp;",Y,@"&amp;Symboles!C55&amp;",A,,,,")</f>
        <v/>
      </c>
    </row>
    <row r="56" spans="1:1" x14ac:dyDescent="0.2">
      <c r="A56" t="str">
        <f>IF(Calculs!A56=0,"","$PFEC,GPwpl,"&amp;Calculs!H56&amp;","&amp;Calculs!O56&amp;","&amp;Calculs!N56&amp;","&amp;Calculs!P56&amp;","&amp;'Import OpenCPN'!AC57&amp;",Y,@"&amp;Symboles!C56&amp;",A,,,,")</f>
        <v/>
      </c>
    </row>
    <row r="57" spans="1:1" x14ac:dyDescent="0.2">
      <c r="A57" t="str">
        <f>IF(Calculs!A57=0,"","$PFEC,GPwpl,"&amp;Calculs!H57&amp;","&amp;Calculs!O57&amp;","&amp;Calculs!N57&amp;","&amp;Calculs!P57&amp;","&amp;'Import OpenCPN'!AC58&amp;",Y,@"&amp;Symboles!C57&amp;",A,,,,")</f>
        <v/>
      </c>
    </row>
    <row r="58" spans="1:1" x14ac:dyDescent="0.2">
      <c r="A58" t="str">
        <f>IF(Calculs!A58=0,"","$PFEC,GPwpl,"&amp;Calculs!H58&amp;","&amp;Calculs!O58&amp;","&amp;Calculs!N58&amp;","&amp;Calculs!P58&amp;","&amp;'Import OpenCPN'!AC59&amp;",Y,@"&amp;Symboles!C58&amp;",A,,,,")</f>
        <v/>
      </c>
    </row>
    <row r="59" spans="1:1" x14ac:dyDescent="0.2">
      <c r="A59" t="str">
        <f>IF(Calculs!A59=0,"","$PFEC,GPwpl,"&amp;Calculs!H59&amp;","&amp;Calculs!O59&amp;","&amp;Calculs!N59&amp;","&amp;Calculs!P59&amp;","&amp;'Import OpenCPN'!AC60&amp;",Y,@"&amp;Symboles!C59&amp;",A,,,,")</f>
        <v/>
      </c>
    </row>
    <row r="60" spans="1:1" x14ac:dyDescent="0.2">
      <c r="A60" t="str">
        <f>IF(Calculs!A60=0,"","$PFEC,GPwpl,"&amp;Calculs!H60&amp;","&amp;Calculs!O60&amp;","&amp;Calculs!N60&amp;","&amp;Calculs!P60&amp;","&amp;'Import OpenCPN'!AC61&amp;",Y,@"&amp;Symboles!C60&amp;",A,,,,")</f>
        <v/>
      </c>
    </row>
    <row r="61" spans="1:1" x14ac:dyDescent="0.2">
      <c r="A61" t="str">
        <f>IF(Calculs!A61=0,"","$PFEC,GPwpl,"&amp;Calculs!H61&amp;","&amp;Calculs!O61&amp;","&amp;Calculs!N61&amp;","&amp;Calculs!P61&amp;","&amp;'Import OpenCPN'!AC62&amp;",Y,@"&amp;Symboles!C61&amp;",A,,,,")</f>
        <v/>
      </c>
    </row>
    <row r="62" spans="1:1" x14ac:dyDescent="0.2">
      <c r="A62" t="str">
        <f>IF(Calculs!A62=0,"","$PFEC,GPwpl,"&amp;Calculs!H62&amp;","&amp;Calculs!O62&amp;","&amp;Calculs!N62&amp;","&amp;Calculs!P62&amp;","&amp;'Import OpenCPN'!AC63&amp;",Y,@"&amp;Symboles!C62&amp;",A,,,,")</f>
        <v/>
      </c>
    </row>
    <row r="63" spans="1:1" x14ac:dyDescent="0.2">
      <c r="A63" t="str">
        <f>IF(Calculs!A63=0,"","$PFEC,GPwpl,"&amp;Calculs!H63&amp;","&amp;Calculs!O63&amp;","&amp;Calculs!N63&amp;","&amp;Calculs!P63&amp;","&amp;'Import OpenCPN'!AC64&amp;",Y,@"&amp;Symboles!C63&amp;",A,,,,")</f>
        <v/>
      </c>
    </row>
    <row r="64" spans="1:1" x14ac:dyDescent="0.2">
      <c r="A64" t="str">
        <f>IF(Calculs!A64=0,"","$PFEC,GPwpl,"&amp;Calculs!H64&amp;","&amp;Calculs!O64&amp;","&amp;Calculs!N64&amp;","&amp;Calculs!P64&amp;","&amp;'Import OpenCPN'!AC65&amp;",Y,@"&amp;Symboles!C64&amp;",A,,,,")</f>
        <v/>
      </c>
    </row>
    <row r="65" spans="1:1" x14ac:dyDescent="0.2">
      <c r="A65" t="str">
        <f>IF(Calculs!A65=0,"","$PFEC,GPwpl,"&amp;Calculs!H65&amp;","&amp;Calculs!O65&amp;","&amp;Calculs!N65&amp;","&amp;Calculs!P65&amp;","&amp;'Import OpenCPN'!AC66&amp;",Y,@"&amp;Symboles!C65&amp;",A,,,,")</f>
        <v/>
      </c>
    </row>
    <row r="66" spans="1:1" x14ac:dyDescent="0.2">
      <c r="A66" t="str">
        <f>IF(Calculs!A66=0,"","$PFEC,GPwpl,"&amp;Calculs!H66&amp;","&amp;Calculs!O66&amp;","&amp;Calculs!N66&amp;","&amp;Calculs!P66&amp;","&amp;'Import OpenCPN'!AC67&amp;",Y,@"&amp;Symboles!C66&amp;",A,,,,")</f>
        <v/>
      </c>
    </row>
    <row r="67" spans="1:1" x14ac:dyDescent="0.2">
      <c r="A67" t="str">
        <f>IF(Calculs!A67=0,"","$PFEC,GPwpl,"&amp;Calculs!H67&amp;","&amp;Calculs!O67&amp;","&amp;Calculs!N67&amp;","&amp;Calculs!P67&amp;","&amp;'Import OpenCPN'!AC68&amp;",Y,@"&amp;Symboles!C67&amp;",A,,,,")</f>
        <v/>
      </c>
    </row>
    <row r="68" spans="1:1" x14ac:dyDescent="0.2">
      <c r="A68" t="str">
        <f>IF(Calculs!A68=0,"","$PFEC,GPwpl,"&amp;Calculs!H68&amp;","&amp;Calculs!O68&amp;","&amp;Calculs!N68&amp;","&amp;Calculs!P68&amp;","&amp;'Import OpenCPN'!AC69&amp;",Y,@"&amp;Symboles!C68&amp;",A,,,,")</f>
        <v/>
      </c>
    </row>
    <row r="69" spans="1:1" x14ac:dyDescent="0.2">
      <c r="A69" t="str">
        <f>IF(Calculs!A69=0,"","$PFEC,GPwpl,"&amp;Calculs!H69&amp;","&amp;Calculs!O69&amp;","&amp;Calculs!N69&amp;","&amp;Calculs!P69&amp;","&amp;'Import OpenCPN'!AC70&amp;",Y,@"&amp;Symboles!C69&amp;",A,,,,")</f>
        <v/>
      </c>
    </row>
    <row r="70" spans="1:1" x14ac:dyDescent="0.2">
      <c r="A70" t="str">
        <f>IF(Calculs!A70=0,"","$PFEC,GPwpl,"&amp;Calculs!H70&amp;","&amp;Calculs!O70&amp;","&amp;Calculs!N70&amp;","&amp;Calculs!P70&amp;","&amp;'Import OpenCPN'!AC71&amp;",Y,@"&amp;Symboles!C70&amp;",A,,,,")</f>
        <v/>
      </c>
    </row>
    <row r="71" spans="1:1" x14ac:dyDescent="0.2">
      <c r="A71" t="str">
        <f>IF(Calculs!A71=0,"","$PFEC,GPwpl,"&amp;Calculs!H71&amp;","&amp;Calculs!O71&amp;","&amp;Calculs!N71&amp;","&amp;Calculs!P71&amp;","&amp;'Import OpenCPN'!AC72&amp;",Y,@"&amp;Symboles!C71&amp;",A,,,,")</f>
        <v/>
      </c>
    </row>
    <row r="72" spans="1:1" x14ac:dyDescent="0.2">
      <c r="A72" t="str">
        <f>IF(Calculs!A72=0,"","$PFEC,GPwpl,"&amp;Calculs!H72&amp;","&amp;Calculs!O72&amp;","&amp;Calculs!N72&amp;","&amp;Calculs!P72&amp;","&amp;'Import OpenCPN'!AC73&amp;",Y,@"&amp;Symboles!C72&amp;",A,,,,")</f>
        <v/>
      </c>
    </row>
    <row r="73" spans="1:1" x14ac:dyDescent="0.2">
      <c r="A73" t="str">
        <f>IF(Calculs!A73=0,"","$PFEC,GPwpl,"&amp;Calculs!H73&amp;","&amp;Calculs!O73&amp;","&amp;Calculs!N73&amp;","&amp;Calculs!P73&amp;","&amp;'Import OpenCPN'!AC74&amp;",Y,@"&amp;Symboles!C73&amp;",A,,,,")</f>
        <v/>
      </c>
    </row>
    <row r="74" spans="1:1" x14ac:dyDescent="0.2">
      <c r="A74" t="str">
        <f>IF(Calculs!A74=0,"","$PFEC,GPwpl,"&amp;Calculs!H74&amp;","&amp;Calculs!O74&amp;","&amp;Calculs!N74&amp;","&amp;Calculs!P74&amp;","&amp;'Import OpenCPN'!AC75&amp;",Y,@"&amp;Symboles!C74&amp;",A,,,,")</f>
        <v/>
      </c>
    </row>
    <row r="75" spans="1:1" x14ac:dyDescent="0.2">
      <c r="A75" t="str">
        <f>IF(Calculs!A75=0,"","$PFEC,GPwpl,"&amp;Calculs!H75&amp;","&amp;Calculs!O75&amp;","&amp;Calculs!N75&amp;","&amp;Calculs!P75&amp;","&amp;'Import OpenCPN'!AC76&amp;",Y,@"&amp;Symboles!C75&amp;",A,,,,")</f>
        <v/>
      </c>
    </row>
    <row r="76" spans="1:1" x14ac:dyDescent="0.2">
      <c r="A76" t="str">
        <f>IF(Calculs!A76=0,"","$PFEC,GPwpl,"&amp;Calculs!H76&amp;","&amp;Calculs!O76&amp;","&amp;Calculs!N76&amp;","&amp;Calculs!P76&amp;","&amp;'Import OpenCPN'!AC77&amp;",Y,@"&amp;Symboles!C76&amp;",A,,,,")</f>
        <v/>
      </c>
    </row>
    <row r="77" spans="1:1" x14ac:dyDescent="0.2">
      <c r="A77" t="str">
        <f>IF(Calculs!A77=0,"","$PFEC,GPwpl,"&amp;Calculs!H77&amp;","&amp;Calculs!O77&amp;","&amp;Calculs!N77&amp;","&amp;Calculs!P77&amp;","&amp;'Import OpenCPN'!AC78&amp;",Y,@"&amp;Symboles!C77&amp;",A,,,,")</f>
        <v/>
      </c>
    </row>
    <row r="78" spans="1:1" x14ac:dyDescent="0.2">
      <c r="A78" t="str">
        <f>IF(Calculs!A78=0,"","$PFEC,GPwpl,"&amp;Calculs!H78&amp;","&amp;Calculs!O78&amp;","&amp;Calculs!N78&amp;","&amp;Calculs!P78&amp;","&amp;'Import OpenCPN'!AC79&amp;",Y,@"&amp;Symboles!C78&amp;",A,,,,")</f>
        <v/>
      </c>
    </row>
    <row r="79" spans="1:1" x14ac:dyDescent="0.2">
      <c r="A79" t="str">
        <f>IF(Calculs!A79=0,"","$PFEC,GPwpl,"&amp;Calculs!H79&amp;","&amp;Calculs!O79&amp;","&amp;Calculs!N79&amp;","&amp;Calculs!P79&amp;","&amp;'Import OpenCPN'!AC80&amp;",Y,@"&amp;Symboles!C79&amp;",A,,,,")</f>
        <v/>
      </c>
    </row>
    <row r="80" spans="1:1" x14ac:dyDescent="0.2">
      <c r="A80" t="str">
        <f>IF(Calculs!A80=0,"","$PFEC,GPwpl,"&amp;Calculs!H80&amp;","&amp;Calculs!O80&amp;","&amp;Calculs!N80&amp;","&amp;Calculs!P80&amp;","&amp;'Import OpenCPN'!AC81&amp;",Y,@"&amp;Symboles!C80&amp;",A,,,,")</f>
        <v/>
      </c>
    </row>
    <row r="81" spans="1:1" x14ac:dyDescent="0.2">
      <c r="A81" t="str">
        <f>IF(Calculs!A81=0,"","$PFEC,GPwpl,"&amp;Calculs!H81&amp;","&amp;Calculs!O81&amp;","&amp;Calculs!N81&amp;","&amp;Calculs!P81&amp;","&amp;'Import OpenCPN'!AC82&amp;",Y,@"&amp;Symboles!C81&amp;",A,,,,")</f>
        <v/>
      </c>
    </row>
    <row r="82" spans="1:1" x14ac:dyDescent="0.2">
      <c r="A82" t="str">
        <f>IF(Calculs!A82=0,"","$PFEC,GPwpl,"&amp;Calculs!H82&amp;","&amp;Calculs!O82&amp;","&amp;Calculs!N82&amp;","&amp;Calculs!P82&amp;","&amp;'Import OpenCPN'!AC83&amp;",Y,@"&amp;Symboles!C82&amp;",A,,,,")</f>
        <v/>
      </c>
    </row>
    <row r="83" spans="1:1" x14ac:dyDescent="0.2">
      <c r="A83" t="str">
        <f>IF(Calculs!A83=0,"","$PFEC,GPwpl,"&amp;Calculs!H83&amp;","&amp;Calculs!O83&amp;","&amp;Calculs!N83&amp;","&amp;Calculs!P83&amp;","&amp;'Import OpenCPN'!AC84&amp;",Y,@"&amp;Symboles!C83&amp;",A,,,,")</f>
        <v/>
      </c>
    </row>
    <row r="84" spans="1:1" x14ac:dyDescent="0.2">
      <c r="A84" t="str">
        <f>IF(Calculs!A84=0,"","$PFEC,GPwpl,"&amp;Calculs!H84&amp;","&amp;Calculs!O84&amp;","&amp;Calculs!N84&amp;","&amp;Calculs!P84&amp;","&amp;'Import OpenCPN'!AC85&amp;",Y,@"&amp;Symboles!C84&amp;",A,,,,")</f>
        <v/>
      </c>
    </row>
    <row r="85" spans="1:1" x14ac:dyDescent="0.2">
      <c r="A85" t="str">
        <f>IF(Calculs!A85=0,"","$PFEC,GPwpl,"&amp;Calculs!H85&amp;","&amp;Calculs!O85&amp;","&amp;Calculs!N85&amp;","&amp;Calculs!P85&amp;","&amp;'Import OpenCPN'!AC86&amp;",Y,@"&amp;Symboles!C85&amp;",A,,,,")</f>
        <v/>
      </c>
    </row>
    <row r="86" spans="1:1" x14ac:dyDescent="0.2">
      <c r="A86" t="str">
        <f>IF(Calculs!A86=0,"","$PFEC,GPwpl,"&amp;Calculs!H86&amp;","&amp;Calculs!O86&amp;","&amp;Calculs!N86&amp;","&amp;Calculs!P86&amp;","&amp;'Import OpenCPN'!AC87&amp;",Y,@"&amp;Symboles!C86&amp;",A,,,,")</f>
        <v/>
      </c>
    </row>
    <row r="87" spans="1:1" x14ac:dyDescent="0.2">
      <c r="A87" t="str">
        <f>IF(Calculs!A87=0,"","$PFEC,GPwpl,"&amp;Calculs!H87&amp;","&amp;Calculs!O87&amp;","&amp;Calculs!N87&amp;","&amp;Calculs!P87&amp;","&amp;'Import OpenCPN'!AC88&amp;",Y,@"&amp;Symboles!C87&amp;",A,,,,")</f>
        <v/>
      </c>
    </row>
    <row r="88" spans="1:1" x14ac:dyDescent="0.2">
      <c r="A88" t="str">
        <f>IF(Calculs!A88=0,"","$PFEC,GPwpl,"&amp;Calculs!H88&amp;","&amp;Calculs!O88&amp;","&amp;Calculs!N88&amp;","&amp;Calculs!P88&amp;","&amp;'Import OpenCPN'!AC89&amp;",Y,@"&amp;Symboles!C88&amp;",A,,,,")</f>
        <v/>
      </c>
    </row>
    <row r="89" spans="1:1" x14ac:dyDescent="0.2">
      <c r="A89" t="str">
        <f>IF(Calculs!A89=0,"","$PFEC,GPwpl,"&amp;Calculs!H89&amp;","&amp;Calculs!O89&amp;","&amp;Calculs!N89&amp;","&amp;Calculs!P89&amp;","&amp;'Import OpenCPN'!AC90&amp;",Y,@"&amp;Symboles!C89&amp;",A,,,,")</f>
        <v/>
      </c>
    </row>
    <row r="90" spans="1:1" x14ac:dyDescent="0.2">
      <c r="A90" t="str">
        <f>IF(Calculs!A90=0,"","$PFEC,GPwpl,"&amp;Calculs!H90&amp;","&amp;Calculs!O90&amp;","&amp;Calculs!N90&amp;","&amp;Calculs!P90&amp;","&amp;'Import OpenCPN'!AC91&amp;",Y,@"&amp;Symboles!C90&amp;",A,,,,")</f>
        <v/>
      </c>
    </row>
    <row r="91" spans="1:1" x14ac:dyDescent="0.2">
      <c r="A91" t="str">
        <f>IF(Calculs!A91=0,"","$PFEC,GPwpl,"&amp;Calculs!H91&amp;","&amp;Calculs!O91&amp;","&amp;Calculs!N91&amp;","&amp;Calculs!P91&amp;","&amp;'Import OpenCPN'!AC92&amp;",Y,@"&amp;Symboles!C91&amp;",A,,,,")</f>
        <v/>
      </c>
    </row>
    <row r="92" spans="1:1" x14ac:dyDescent="0.2">
      <c r="A92" t="str">
        <f>IF(Calculs!A92=0,"","$PFEC,GPwpl,"&amp;Calculs!H92&amp;","&amp;Calculs!O92&amp;","&amp;Calculs!N92&amp;","&amp;Calculs!P92&amp;","&amp;'Import OpenCPN'!AC93&amp;",Y,@"&amp;Symboles!C92&amp;",A,,,,")</f>
        <v/>
      </c>
    </row>
    <row r="93" spans="1:1" x14ac:dyDescent="0.2">
      <c r="A93" t="str">
        <f>IF(Calculs!A93=0,"","$PFEC,GPwpl,"&amp;Calculs!H93&amp;","&amp;Calculs!O93&amp;","&amp;Calculs!N93&amp;","&amp;Calculs!P93&amp;","&amp;'Import OpenCPN'!AC94&amp;",Y,@"&amp;Symboles!C93&amp;",A,,,,")</f>
        <v/>
      </c>
    </row>
    <row r="94" spans="1:1" x14ac:dyDescent="0.2">
      <c r="A94" t="str">
        <f>IF(Calculs!A94=0,"","$PFEC,GPwpl,"&amp;Calculs!H94&amp;","&amp;Calculs!O94&amp;","&amp;Calculs!N94&amp;","&amp;Calculs!P94&amp;","&amp;'Import OpenCPN'!AC95&amp;",Y,@"&amp;Symboles!C94&amp;",A,,,,")</f>
        <v/>
      </c>
    </row>
    <row r="95" spans="1:1" x14ac:dyDescent="0.2">
      <c r="A95" t="str">
        <f>IF(Calculs!A95=0,"","$PFEC,GPwpl,"&amp;Calculs!H95&amp;","&amp;Calculs!O95&amp;","&amp;Calculs!N95&amp;","&amp;Calculs!P95&amp;","&amp;'Import OpenCPN'!AC96&amp;",Y,@"&amp;Symboles!C95&amp;",A,,,,")</f>
        <v/>
      </c>
    </row>
    <row r="96" spans="1:1" x14ac:dyDescent="0.2">
      <c r="A96" t="str">
        <f>IF(Calculs!A96=0,"","$PFEC,GPwpl,"&amp;Calculs!H96&amp;","&amp;Calculs!O96&amp;","&amp;Calculs!N96&amp;","&amp;Calculs!P96&amp;","&amp;'Import OpenCPN'!AC97&amp;",Y,@"&amp;Symboles!C96&amp;",A,,,,")</f>
        <v/>
      </c>
    </row>
    <row r="97" spans="1:1" x14ac:dyDescent="0.2">
      <c r="A97" t="str">
        <f>IF(Calculs!A97=0,"","$PFEC,GPwpl,"&amp;Calculs!H97&amp;","&amp;Calculs!O97&amp;","&amp;Calculs!N97&amp;","&amp;Calculs!P97&amp;","&amp;'Import OpenCPN'!AC98&amp;",Y,@"&amp;Symboles!C97&amp;",A,,,,")</f>
        <v/>
      </c>
    </row>
    <row r="98" spans="1:1" x14ac:dyDescent="0.2">
      <c r="A98" t="str">
        <f>IF(Calculs!A98=0,"","$PFEC,GPwpl,"&amp;Calculs!H98&amp;","&amp;Calculs!O98&amp;","&amp;Calculs!N98&amp;","&amp;Calculs!P98&amp;","&amp;'Import OpenCPN'!AC99&amp;",Y,@"&amp;Symboles!C98&amp;",A,,,,")</f>
        <v/>
      </c>
    </row>
    <row r="99" spans="1:1" x14ac:dyDescent="0.2">
      <c r="A99" t="str">
        <f>IF(Calculs!A99=0,"","$PFEC,GPwpl,"&amp;Calculs!H99&amp;","&amp;Calculs!O99&amp;","&amp;Calculs!N99&amp;","&amp;Calculs!P99&amp;","&amp;'Import OpenCPN'!AC100&amp;",Y,@"&amp;Symboles!C99&amp;",A,,,,")</f>
        <v/>
      </c>
    </row>
    <row r="100" spans="1:1" x14ac:dyDescent="0.2">
      <c r="A100" t="str">
        <f>IF(Calculs!A100=0,"","$PFEC,GPwpl,"&amp;Calculs!H100&amp;","&amp;Calculs!O100&amp;","&amp;Calculs!N100&amp;","&amp;Calculs!P100&amp;","&amp;'Import OpenCPN'!AC101&amp;",Y,@"&amp;Symboles!C100&amp;",A,,,,")</f>
        <v/>
      </c>
    </row>
    <row r="101" spans="1:1" x14ac:dyDescent="0.2">
      <c r="A101" t="str">
        <f>IF(Calculs!A101=0,"","$PFEC,GPwpl,"&amp;Calculs!H101&amp;","&amp;Calculs!O101&amp;","&amp;Calculs!N101&amp;","&amp;Calculs!P101&amp;","&amp;'Import OpenCPN'!AC102&amp;",Y,@"&amp;Symboles!C101&amp;",A,,,,")</f>
        <v/>
      </c>
    </row>
    <row r="102" spans="1:1" x14ac:dyDescent="0.2">
      <c r="A102" t="str">
        <f>IF(Calculs!A102=0,"","$PFEC,GPwpl,"&amp;Calculs!H102&amp;","&amp;Calculs!O102&amp;","&amp;Calculs!N102&amp;","&amp;Calculs!P102&amp;","&amp;'Import OpenCPN'!AC103&amp;",Y,@"&amp;Symboles!C102&amp;",A,,,,")</f>
        <v/>
      </c>
    </row>
    <row r="103" spans="1:1" x14ac:dyDescent="0.2">
      <c r="A103" t="str">
        <f>IF(Calculs!A103=0,"","$PFEC,GPwpl,"&amp;Calculs!H103&amp;","&amp;Calculs!O103&amp;","&amp;Calculs!N103&amp;","&amp;Calculs!P103&amp;","&amp;'Import OpenCPN'!AC104&amp;",Y,@"&amp;Symboles!C103&amp;",A,,,,")</f>
        <v/>
      </c>
    </row>
    <row r="104" spans="1:1" x14ac:dyDescent="0.2">
      <c r="A104" t="str">
        <f>IF(Calculs!A104=0,"","$PFEC,GPwpl,"&amp;Calculs!H104&amp;","&amp;Calculs!O104&amp;","&amp;Calculs!N104&amp;","&amp;Calculs!P104&amp;","&amp;'Import OpenCPN'!AC105&amp;",Y,@"&amp;Symboles!C104&amp;",A,,,,")</f>
        <v/>
      </c>
    </row>
    <row r="105" spans="1:1" x14ac:dyDescent="0.2">
      <c r="A105" t="str">
        <f>IF(Calculs!A105=0,"","$PFEC,GPwpl,"&amp;Calculs!H105&amp;","&amp;Calculs!O105&amp;","&amp;Calculs!N105&amp;","&amp;Calculs!P105&amp;","&amp;'Import OpenCPN'!AC106&amp;",Y,@"&amp;Symboles!C105&amp;",A,,,,")</f>
        <v/>
      </c>
    </row>
    <row r="106" spans="1:1" x14ac:dyDescent="0.2">
      <c r="A106" t="str">
        <f>IF(Calculs!A106=0,"","$PFEC,GPwpl,"&amp;Calculs!H106&amp;","&amp;Calculs!O106&amp;","&amp;Calculs!N106&amp;","&amp;Calculs!P106&amp;","&amp;'Import OpenCPN'!AC107&amp;",Y,@"&amp;Symboles!C106&amp;",A,,,,")</f>
        <v/>
      </c>
    </row>
    <row r="107" spans="1:1" x14ac:dyDescent="0.2">
      <c r="A107" t="str">
        <f>IF(Calculs!A107=0,"","$PFEC,GPwpl,"&amp;Calculs!H107&amp;","&amp;Calculs!O107&amp;","&amp;Calculs!N107&amp;","&amp;Calculs!P107&amp;","&amp;'Import OpenCPN'!AC108&amp;",Y,@"&amp;Symboles!C107&amp;",A,,,,")</f>
        <v/>
      </c>
    </row>
    <row r="108" spans="1:1" x14ac:dyDescent="0.2">
      <c r="A108" t="str">
        <f>IF(Calculs!A108=0,"","$PFEC,GPwpl,"&amp;Calculs!H108&amp;","&amp;Calculs!O108&amp;","&amp;Calculs!N108&amp;","&amp;Calculs!P108&amp;","&amp;'Import OpenCPN'!AC109&amp;",Y,@"&amp;Symboles!C108&amp;",A,,,,")</f>
        <v/>
      </c>
    </row>
    <row r="109" spans="1:1" x14ac:dyDescent="0.2">
      <c r="A109" t="str">
        <f>IF(Calculs!A109=0,"","$PFEC,GPwpl,"&amp;Calculs!H109&amp;","&amp;Calculs!O109&amp;","&amp;Calculs!N109&amp;","&amp;Calculs!P109&amp;","&amp;'Import OpenCPN'!AC110&amp;",Y,@"&amp;Symboles!C109&amp;",A,,,,")</f>
        <v/>
      </c>
    </row>
    <row r="110" spans="1:1" x14ac:dyDescent="0.2">
      <c r="A110" t="str">
        <f>IF(Calculs!A110=0,"","$PFEC,GPwpl,"&amp;Calculs!H110&amp;","&amp;Calculs!O110&amp;","&amp;Calculs!N110&amp;","&amp;Calculs!P110&amp;","&amp;'Import OpenCPN'!AC111&amp;",Y,@"&amp;Symboles!C110&amp;",A,,,,")</f>
        <v/>
      </c>
    </row>
    <row r="111" spans="1:1" x14ac:dyDescent="0.2">
      <c r="A111" t="str">
        <f>IF(Calculs!A111=0,"","$PFEC,GPwpl,"&amp;Calculs!H111&amp;","&amp;Calculs!O111&amp;","&amp;Calculs!N111&amp;","&amp;Calculs!P111&amp;","&amp;'Import OpenCPN'!AC112&amp;",Y,@"&amp;Symboles!C111&amp;",A,,,,")</f>
        <v/>
      </c>
    </row>
    <row r="112" spans="1:1" x14ac:dyDescent="0.2">
      <c r="A112" t="str">
        <f>IF(Calculs!A112=0,"","$PFEC,GPwpl,"&amp;Calculs!H112&amp;","&amp;Calculs!O112&amp;","&amp;Calculs!N112&amp;","&amp;Calculs!P112&amp;","&amp;'Import OpenCPN'!AC113&amp;",Y,@"&amp;Symboles!C112&amp;",A,,,,")</f>
        <v/>
      </c>
    </row>
    <row r="113" spans="1:1" x14ac:dyDescent="0.2">
      <c r="A113" t="str">
        <f>IF(Calculs!A113=0,"","$PFEC,GPwpl,"&amp;Calculs!H113&amp;","&amp;Calculs!O113&amp;","&amp;Calculs!N113&amp;","&amp;Calculs!P113&amp;","&amp;'Import OpenCPN'!AC114&amp;",Y,@"&amp;Symboles!C113&amp;",A,,,,")</f>
        <v/>
      </c>
    </row>
    <row r="114" spans="1:1" x14ac:dyDescent="0.2">
      <c r="A114" t="str">
        <f>IF(Calculs!A114=0,"","$PFEC,GPwpl,"&amp;Calculs!H114&amp;","&amp;Calculs!O114&amp;","&amp;Calculs!N114&amp;","&amp;Calculs!P114&amp;","&amp;'Import OpenCPN'!AC115&amp;",Y,@"&amp;Symboles!C114&amp;",A,,,,")</f>
        <v/>
      </c>
    </row>
    <row r="115" spans="1:1" x14ac:dyDescent="0.2">
      <c r="A115" t="str">
        <f>IF(Calculs!A115=0,"","$PFEC,GPwpl,"&amp;Calculs!H115&amp;","&amp;Calculs!O115&amp;","&amp;Calculs!N115&amp;","&amp;Calculs!P115&amp;","&amp;'Import OpenCPN'!AC116&amp;",Y,@"&amp;Symboles!C115&amp;",A,,,,")</f>
        <v/>
      </c>
    </row>
    <row r="116" spans="1:1" x14ac:dyDescent="0.2">
      <c r="A116" t="str">
        <f>IF(Calculs!A116=0,"","$PFEC,GPwpl,"&amp;Calculs!H116&amp;","&amp;Calculs!O116&amp;","&amp;Calculs!N116&amp;","&amp;Calculs!P116&amp;","&amp;'Import OpenCPN'!AC117&amp;",Y,@"&amp;Symboles!C116&amp;",A,,,,")</f>
        <v/>
      </c>
    </row>
    <row r="117" spans="1:1" x14ac:dyDescent="0.2">
      <c r="A117" t="str">
        <f>IF(Calculs!A117=0,"","$PFEC,GPwpl,"&amp;Calculs!H117&amp;","&amp;Calculs!O117&amp;","&amp;Calculs!N117&amp;","&amp;Calculs!P117&amp;","&amp;'Import OpenCPN'!AC118&amp;",Y,@"&amp;Symboles!C117&amp;",A,,,,")</f>
        <v/>
      </c>
    </row>
    <row r="118" spans="1:1" x14ac:dyDescent="0.2">
      <c r="A118" t="str">
        <f>IF(Calculs!A118=0,"","$PFEC,GPwpl,"&amp;Calculs!H118&amp;","&amp;Calculs!O118&amp;","&amp;Calculs!N118&amp;","&amp;Calculs!P118&amp;","&amp;'Import OpenCPN'!AC119&amp;",Y,@"&amp;Symboles!C118&amp;",A,,,,")</f>
        <v/>
      </c>
    </row>
    <row r="119" spans="1:1" x14ac:dyDescent="0.2">
      <c r="A119" t="str">
        <f>IF(Calculs!A119=0,"","$PFEC,GPwpl,"&amp;Calculs!H119&amp;","&amp;Calculs!O119&amp;","&amp;Calculs!N119&amp;","&amp;Calculs!P119&amp;","&amp;'Import OpenCPN'!AC120&amp;",Y,@"&amp;Symboles!C119&amp;",A,,,,")</f>
        <v/>
      </c>
    </row>
    <row r="120" spans="1:1" x14ac:dyDescent="0.2">
      <c r="A120" t="str">
        <f>IF(Calculs!A120=0,"","$PFEC,GPwpl,"&amp;Calculs!H120&amp;","&amp;Calculs!O120&amp;","&amp;Calculs!N120&amp;","&amp;Calculs!P120&amp;","&amp;'Import OpenCPN'!AC121&amp;",Y,@"&amp;Symboles!C120&amp;",A,,,,")</f>
        <v/>
      </c>
    </row>
    <row r="121" spans="1:1" x14ac:dyDescent="0.2">
      <c r="A121" t="str">
        <f>IF(Calculs!A121=0,"","$PFEC,GPwpl,"&amp;Calculs!H121&amp;","&amp;Calculs!O121&amp;","&amp;Calculs!N121&amp;","&amp;Calculs!P121&amp;","&amp;'Import OpenCPN'!AC122&amp;",Y,@"&amp;Symboles!C121&amp;",A,,,,")</f>
        <v/>
      </c>
    </row>
    <row r="122" spans="1:1" x14ac:dyDescent="0.2">
      <c r="A122" t="str">
        <f>IF(Calculs!A122=0,"","$PFEC,GPwpl,"&amp;Calculs!H122&amp;","&amp;Calculs!O122&amp;","&amp;Calculs!N122&amp;","&amp;Calculs!P122&amp;","&amp;'Import OpenCPN'!AC123&amp;",Y,@"&amp;Symboles!C122&amp;",A,,,,")</f>
        <v/>
      </c>
    </row>
    <row r="123" spans="1:1" x14ac:dyDescent="0.2">
      <c r="A123" t="str">
        <f>IF(Calculs!A123=0,"","$PFEC,GPwpl,"&amp;Calculs!H123&amp;","&amp;Calculs!O123&amp;","&amp;Calculs!N123&amp;","&amp;Calculs!P123&amp;","&amp;'Import OpenCPN'!AC124&amp;",Y,@"&amp;Symboles!C123&amp;",A,,,,")</f>
        <v/>
      </c>
    </row>
    <row r="124" spans="1:1" x14ac:dyDescent="0.2">
      <c r="A124" t="str">
        <f>IF(Calculs!A124=0,"","$PFEC,GPwpl,"&amp;Calculs!H124&amp;","&amp;Calculs!O124&amp;","&amp;Calculs!N124&amp;","&amp;Calculs!P124&amp;","&amp;'Import OpenCPN'!AC125&amp;",Y,@"&amp;Symboles!C124&amp;",A,,,,")</f>
        <v/>
      </c>
    </row>
    <row r="125" spans="1:1" x14ac:dyDescent="0.2">
      <c r="A125" t="str">
        <f>IF(Calculs!A125=0,"","$PFEC,GPwpl,"&amp;Calculs!H125&amp;","&amp;Calculs!O125&amp;","&amp;Calculs!N125&amp;","&amp;Calculs!P125&amp;","&amp;'Import OpenCPN'!AC126&amp;",Y,@"&amp;Symboles!C125&amp;",A,,,,")</f>
        <v/>
      </c>
    </row>
    <row r="126" spans="1:1" x14ac:dyDescent="0.2">
      <c r="A126" t="str">
        <f>IF(Calculs!A126=0,"","$PFEC,GPwpl,"&amp;Calculs!H126&amp;","&amp;Calculs!O126&amp;","&amp;Calculs!N126&amp;","&amp;Calculs!P126&amp;","&amp;'Import OpenCPN'!AC127&amp;",Y,@"&amp;Symboles!C126&amp;",A,,,,")</f>
        <v/>
      </c>
    </row>
    <row r="127" spans="1:1" x14ac:dyDescent="0.2">
      <c r="A127" t="str">
        <f>IF(Calculs!A127=0,"","$PFEC,GPwpl,"&amp;Calculs!H127&amp;","&amp;Calculs!O127&amp;","&amp;Calculs!N127&amp;","&amp;Calculs!P127&amp;","&amp;'Import OpenCPN'!AC128&amp;",Y,@"&amp;Symboles!C127&amp;",A,,,,")</f>
        <v/>
      </c>
    </row>
    <row r="128" spans="1:1" x14ac:dyDescent="0.2">
      <c r="A128" t="str">
        <f>IF(Calculs!A128=0,"","$PFEC,GPwpl,"&amp;Calculs!H128&amp;","&amp;Calculs!O128&amp;","&amp;Calculs!N128&amp;","&amp;Calculs!P128&amp;","&amp;'Import OpenCPN'!AC129&amp;",Y,@"&amp;Symboles!C128&amp;",A,,,,")</f>
        <v/>
      </c>
    </row>
    <row r="129" spans="1:1" x14ac:dyDescent="0.2">
      <c r="A129" t="str">
        <f>IF(Calculs!A129=0,"","$PFEC,GPwpl,"&amp;Calculs!H129&amp;","&amp;Calculs!O129&amp;","&amp;Calculs!N129&amp;","&amp;Calculs!P129&amp;","&amp;'Import OpenCPN'!AC130&amp;",Y,@"&amp;Symboles!C129&amp;",A,,,,")</f>
        <v/>
      </c>
    </row>
    <row r="130" spans="1:1" x14ac:dyDescent="0.2">
      <c r="A130" t="str">
        <f>IF(Calculs!A130=0,"","$PFEC,GPwpl,"&amp;Calculs!H130&amp;","&amp;Calculs!O130&amp;","&amp;Calculs!N130&amp;","&amp;Calculs!P130&amp;","&amp;'Import OpenCPN'!AC131&amp;",Y,@"&amp;Symboles!C130&amp;",A,,,,")</f>
        <v/>
      </c>
    </row>
    <row r="131" spans="1:1" x14ac:dyDescent="0.2">
      <c r="A131" t="str">
        <f>IF(Calculs!A131=0,"","$PFEC,GPwpl,"&amp;Calculs!H131&amp;","&amp;Calculs!O131&amp;","&amp;Calculs!N131&amp;","&amp;Calculs!P131&amp;","&amp;'Import OpenCPN'!AC132&amp;",Y,@"&amp;Symboles!C131&amp;",A,,,,")</f>
        <v/>
      </c>
    </row>
    <row r="132" spans="1:1" x14ac:dyDescent="0.2">
      <c r="A132" t="str">
        <f>IF(Calculs!A132=0,"","$PFEC,GPwpl,"&amp;Calculs!H132&amp;","&amp;Calculs!O132&amp;","&amp;Calculs!N132&amp;","&amp;Calculs!P132&amp;","&amp;'Import OpenCPN'!AC133&amp;",Y,@"&amp;Symboles!C132&amp;",A,,,,")</f>
        <v/>
      </c>
    </row>
    <row r="133" spans="1:1" x14ac:dyDescent="0.2">
      <c r="A133" t="str">
        <f>IF(Calculs!A133=0,"","$PFEC,GPwpl,"&amp;Calculs!H133&amp;","&amp;Calculs!O133&amp;","&amp;Calculs!N133&amp;","&amp;Calculs!P133&amp;","&amp;'Import OpenCPN'!AC134&amp;",Y,@"&amp;Symboles!C133&amp;",A,,,,")</f>
        <v/>
      </c>
    </row>
    <row r="134" spans="1:1" x14ac:dyDescent="0.2">
      <c r="A134" t="str">
        <f>IF(Calculs!A134=0,"","$PFEC,GPwpl,"&amp;Calculs!H134&amp;","&amp;Calculs!O134&amp;","&amp;Calculs!N134&amp;","&amp;Calculs!P134&amp;","&amp;'Import OpenCPN'!AC135&amp;",Y,@"&amp;Symboles!C134&amp;",A,,,,")</f>
        <v/>
      </c>
    </row>
    <row r="135" spans="1:1" x14ac:dyDescent="0.2">
      <c r="A135" t="str">
        <f>IF(Calculs!A135=0,"","$PFEC,GPwpl,"&amp;Calculs!H135&amp;","&amp;Calculs!O135&amp;","&amp;Calculs!N135&amp;","&amp;Calculs!P135&amp;","&amp;'Import OpenCPN'!AC136&amp;",Y,@"&amp;Symboles!C135&amp;",A,,,,")</f>
        <v/>
      </c>
    </row>
    <row r="136" spans="1:1" x14ac:dyDescent="0.2">
      <c r="A136" t="str">
        <f>IF(Calculs!A136=0,"","$PFEC,GPwpl,"&amp;Calculs!H136&amp;","&amp;Calculs!O136&amp;","&amp;Calculs!N136&amp;","&amp;Calculs!P136&amp;","&amp;'Import OpenCPN'!AC137&amp;",Y,@"&amp;Symboles!C136&amp;",A,,,,")</f>
        <v/>
      </c>
    </row>
    <row r="137" spans="1:1" x14ac:dyDescent="0.2">
      <c r="A137" t="str">
        <f>IF(Calculs!A137=0,"","$PFEC,GPwpl,"&amp;Calculs!H137&amp;","&amp;Calculs!O137&amp;","&amp;Calculs!N137&amp;","&amp;Calculs!P137&amp;","&amp;'Import OpenCPN'!AC138&amp;",Y,@"&amp;Symboles!C137&amp;",A,,,,")</f>
        <v/>
      </c>
    </row>
    <row r="138" spans="1:1" x14ac:dyDescent="0.2">
      <c r="A138" t="str">
        <f>IF(Calculs!A138=0,"","$PFEC,GPwpl,"&amp;Calculs!H138&amp;","&amp;Calculs!O138&amp;","&amp;Calculs!N138&amp;","&amp;Calculs!P138&amp;","&amp;'Import OpenCPN'!AC139&amp;",Y,@"&amp;Symboles!C138&amp;",A,,,,")</f>
        <v/>
      </c>
    </row>
    <row r="139" spans="1:1" x14ac:dyDescent="0.2">
      <c r="A139" t="str">
        <f>IF(Calculs!A139=0,"","$PFEC,GPwpl,"&amp;Calculs!H139&amp;","&amp;Calculs!O139&amp;","&amp;Calculs!N139&amp;","&amp;Calculs!P139&amp;","&amp;'Import OpenCPN'!AC140&amp;",Y,@"&amp;Symboles!C139&amp;",A,,,,")</f>
        <v/>
      </c>
    </row>
    <row r="140" spans="1:1" x14ac:dyDescent="0.2">
      <c r="A140" t="str">
        <f>IF(Calculs!A140=0,"","$PFEC,GPwpl,"&amp;Calculs!H140&amp;","&amp;Calculs!O140&amp;","&amp;Calculs!N140&amp;","&amp;Calculs!P140&amp;","&amp;'Import OpenCPN'!AC141&amp;",Y,@"&amp;Symboles!C140&amp;",A,,,,")</f>
        <v/>
      </c>
    </row>
    <row r="141" spans="1:1" x14ac:dyDescent="0.2">
      <c r="A141" t="str">
        <f>IF(Calculs!A141=0,"","$PFEC,GPwpl,"&amp;Calculs!H141&amp;","&amp;Calculs!O141&amp;","&amp;Calculs!N141&amp;","&amp;Calculs!P141&amp;","&amp;'Import OpenCPN'!AC142&amp;",Y,@"&amp;Symboles!C141&amp;",A,,,,")</f>
        <v/>
      </c>
    </row>
    <row r="142" spans="1:1" x14ac:dyDescent="0.2">
      <c r="A142" t="str">
        <f>IF(Calculs!A142=0,"","$PFEC,GPwpl,"&amp;Calculs!H142&amp;","&amp;Calculs!O142&amp;","&amp;Calculs!N142&amp;","&amp;Calculs!P142&amp;","&amp;'Import OpenCPN'!AC143&amp;",Y,@"&amp;Symboles!C142&amp;",A,,,,")</f>
        <v/>
      </c>
    </row>
    <row r="143" spans="1:1" x14ac:dyDescent="0.2">
      <c r="A143" t="str">
        <f>IF(Calculs!A143=0,"","$PFEC,GPwpl,"&amp;Calculs!H143&amp;","&amp;Calculs!O143&amp;","&amp;Calculs!N143&amp;","&amp;Calculs!P143&amp;","&amp;'Import OpenCPN'!AC144&amp;",Y,@"&amp;Symboles!C143&amp;",A,,,,")</f>
        <v/>
      </c>
    </row>
    <row r="144" spans="1:1" x14ac:dyDescent="0.2">
      <c r="A144" t="str">
        <f>IF(Calculs!A144=0,"","$PFEC,GPwpl,"&amp;Calculs!H144&amp;","&amp;Calculs!O144&amp;","&amp;Calculs!N144&amp;","&amp;Calculs!P144&amp;","&amp;'Import OpenCPN'!AC145&amp;",Y,@"&amp;Symboles!C144&amp;",A,,,,")</f>
        <v/>
      </c>
    </row>
    <row r="145" spans="1:1" x14ac:dyDescent="0.2">
      <c r="A145" t="str">
        <f>IF(Calculs!A145=0,"","$PFEC,GPwpl,"&amp;Calculs!H145&amp;","&amp;Calculs!O145&amp;","&amp;Calculs!N145&amp;","&amp;Calculs!P145&amp;","&amp;'Import OpenCPN'!AC146&amp;",Y,@"&amp;Symboles!C145&amp;",A,,,,")</f>
        <v/>
      </c>
    </row>
    <row r="146" spans="1:1" x14ac:dyDescent="0.2">
      <c r="A146" t="str">
        <f>IF(Calculs!A146=0,"","$PFEC,GPwpl,"&amp;Calculs!H146&amp;","&amp;Calculs!O146&amp;","&amp;Calculs!N146&amp;","&amp;Calculs!P146&amp;","&amp;'Import OpenCPN'!AC147&amp;",Y,@"&amp;Symboles!C146&amp;",A,,,,")</f>
        <v/>
      </c>
    </row>
    <row r="147" spans="1:1" x14ac:dyDescent="0.2">
      <c r="A147" t="str">
        <f>IF(Calculs!A147=0,"","$PFEC,GPwpl,"&amp;Calculs!H147&amp;","&amp;Calculs!O147&amp;","&amp;Calculs!N147&amp;","&amp;Calculs!P147&amp;","&amp;'Import OpenCPN'!AC148&amp;",Y,@"&amp;Symboles!C147&amp;",A,,,,")</f>
        <v/>
      </c>
    </row>
    <row r="148" spans="1:1" x14ac:dyDescent="0.2">
      <c r="A148" t="str">
        <f>IF(Calculs!A148=0,"","$PFEC,GPwpl,"&amp;Calculs!H148&amp;","&amp;Calculs!O148&amp;","&amp;Calculs!N148&amp;","&amp;Calculs!P148&amp;","&amp;'Import OpenCPN'!AC149&amp;",Y,@"&amp;Symboles!C148&amp;",A,,,,")</f>
        <v/>
      </c>
    </row>
    <row r="149" spans="1:1" x14ac:dyDescent="0.2">
      <c r="A149" t="str">
        <f>IF(Calculs!A149=0,"","$PFEC,GPwpl,"&amp;Calculs!H149&amp;","&amp;Calculs!O149&amp;","&amp;Calculs!N149&amp;","&amp;Calculs!P149&amp;","&amp;'Import OpenCPN'!AC150&amp;",Y,@"&amp;Symboles!C149&amp;",A,,,,")</f>
        <v/>
      </c>
    </row>
    <row r="150" spans="1:1" x14ac:dyDescent="0.2">
      <c r="A150" t="str">
        <f>IF(Calculs!A150=0,"","$PFEC,GPwpl,"&amp;Calculs!H150&amp;","&amp;Calculs!O150&amp;","&amp;Calculs!N150&amp;","&amp;Calculs!P150&amp;","&amp;'Import OpenCPN'!AC151&amp;",Y,@"&amp;Symboles!C150&amp;",A,,,,")</f>
        <v/>
      </c>
    </row>
    <row r="151" spans="1:1" x14ac:dyDescent="0.2">
      <c r="A151" t="str">
        <f>IF(Calculs!A151=0,"","$PFEC,GPwpl,"&amp;Calculs!H151&amp;","&amp;Calculs!O151&amp;","&amp;Calculs!N151&amp;","&amp;Calculs!P151&amp;","&amp;'Import OpenCPN'!AC152&amp;",Y,@"&amp;Symboles!C151&amp;",A,,,,")</f>
        <v/>
      </c>
    </row>
    <row r="152" spans="1:1" x14ac:dyDescent="0.2">
      <c r="A152" t="str">
        <f>IF(Calculs!A152=0,"","$PFEC,GPwpl,"&amp;Calculs!H152&amp;","&amp;Calculs!O152&amp;","&amp;Calculs!N152&amp;","&amp;Calculs!P152&amp;","&amp;'Import OpenCPN'!AC153&amp;",Y,@"&amp;Symboles!C152&amp;",A,,,,")</f>
        <v/>
      </c>
    </row>
    <row r="153" spans="1:1" x14ac:dyDescent="0.2">
      <c r="A153" t="str">
        <f>IF(Calculs!A153=0,"","$PFEC,GPwpl,"&amp;Calculs!H153&amp;","&amp;Calculs!O153&amp;","&amp;Calculs!N153&amp;","&amp;Calculs!P153&amp;","&amp;'Import OpenCPN'!AC154&amp;",Y,@"&amp;Symboles!C153&amp;",A,,,,")</f>
        <v/>
      </c>
    </row>
    <row r="154" spans="1:1" x14ac:dyDescent="0.2">
      <c r="A154" t="str">
        <f>IF(Calculs!A154=0,"","$PFEC,GPwpl,"&amp;Calculs!H154&amp;","&amp;Calculs!O154&amp;","&amp;Calculs!N154&amp;","&amp;Calculs!P154&amp;","&amp;'Import OpenCPN'!AC155&amp;",Y,@"&amp;Symboles!C154&amp;",A,,,,")</f>
        <v/>
      </c>
    </row>
    <row r="155" spans="1:1" x14ac:dyDescent="0.2">
      <c r="A155" t="str">
        <f>IF(Calculs!A155=0,"","$PFEC,GPwpl,"&amp;Calculs!H155&amp;","&amp;Calculs!O155&amp;","&amp;Calculs!N155&amp;","&amp;Calculs!P155&amp;","&amp;'Import OpenCPN'!AC156&amp;",Y,@"&amp;Symboles!C155&amp;",A,,,,")</f>
        <v/>
      </c>
    </row>
    <row r="156" spans="1:1" x14ac:dyDescent="0.2">
      <c r="A156" t="str">
        <f>IF(Calculs!A156=0,"","$PFEC,GPwpl,"&amp;Calculs!H156&amp;","&amp;Calculs!O156&amp;","&amp;Calculs!N156&amp;","&amp;Calculs!P156&amp;","&amp;'Import OpenCPN'!AC157&amp;",Y,@"&amp;Symboles!C156&amp;",A,,,,")</f>
        <v/>
      </c>
    </row>
    <row r="157" spans="1:1" x14ac:dyDescent="0.2">
      <c r="A157" t="str">
        <f>IF(Calculs!A157=0,"","$PFEC,GPwpl,"&amp;Calculs!H157&amp;","&amp;Calculs!O157&amp;","&amp;Calculs!N157&amp;","&amp;Calculs!P157&amp;","&amp;'Import OpenCPN'!AC158&amp;",Y,@"&amp;Symboles!C157&amp;",A,,,,")</f>
        <v/>
      </c>
    </row>
    <row r="158" spans="1:1" x14ac:dyDescent="0.2">
      <c r="A158" t="str">
        <f>IF(Calculs!A158=0,"","$PFEC,GPwpl,"&amp;Calculs!H158&amp;","&amp;Calculs!O158&amp;","&amp;Calculs!N158&amp;","&amp;Calculs!P158&amp;","&amp;'Import OpenCPN'!AC159&amp;",Y,@"&amp;Symboles!C158&amp;",A,,,,")</f>
        <v/>
      </c>
    </row>
    <row r="159" spans="1:1" x14ac:dyDescent="0.2">
      <c r="A159" t="str">
        <f>IF(Calculs!A159=0,"","$PFEC,GPwpl,"&amp;Calculs!H159&amp;","&amp;Calculs!O159&amp;","&amp;Calculs!N159&amp;","&amp;Calculs!P159&amp;","&amp;'Import OpenCPN'!AC160&amp;",Y,@"&amp;Symboles!C159&amp;",A,,,,")</f>
        <v/>
      </c>
    </row>
    <row r="160" spans="1:1" x14ac:dyDescent="0.2">
      <c r="A160" t="str">
        <f>IF(Calculs!A160=0,"","$PFEC,GPwpl,"&amp;Calculs!H160&amp;","&amp;Calculs!O160&amp;","&amp;Calculs!N160&amp;","&amp;Calculs!P160&amp;","&amp;'Import OpenCPN'!AC161&amp;",Y,@"&amp;Symboles!C160&amp;",A,,,,")</f>
        <v/>
      </c>
    </row>
    <row r="161" spans="1:1" x14ac:dyDescent="0.2">
      <c r="A161" t="str">
        <f>IF(Calculs!A161=0,"","$PFEC,GPwpl,"&amp;Calculs!H161&amp;","&amp;Calculs!O161&amp;","&amp;Calculs!N161&amp;","&amp;Calculs!P161&amp;","&amp;'Import OpenCPN'!AC162&amp;",Y,@"&amp;Symboles!C161&amp;",A,,,,")</f>
        <v/>
      </c>
    </row>
    <row r="162" spans="1:1" x14ac:dyDescent="0.2">
      <c r="A162" t="str">
        <f>IF(Calculs!A162=0,"","$PFEC,GPwpl,"&amp;Calculs!H162&amp;","&amp;Calculs!O162&amp;","&amp;Calculs!N162&amp;","&amp;Calculs!P162&amp;","&amp;'Import OpenCPN'!AC163&amp;",Y,@"&amp;Symboles!C162&amp;",A,,,,")</f>
        <v/>
      </c>
    </row>
    <row r="163" spans="1:1" x14ac:dyDescent="0.2">
      <c r="A163" t="str">
        <f>IF(Calculs!A163=0,"","$PFEC,GPwpl,"&amp;Calculs!H163&amp;","&amp;Calculs!O163&amp;","&amp;Calculs!N163&amp;","&amp;Calculs!P163&amp;","&amp;'Import OpenCPN'!AC164&amp;",Y,@"&amp;Symboles!C163&amp;",A,,,,")</f>
        <v/>
      </c>
    </row>
    <row r="164" spans="1:1" x14ac:dyDescent="0.2">
      <c r="A164" t="str">
        <f>IF(Calculs!A164=0,"","$PFEC,GPwpl,"&amp;Calculs!H164&amp;","&amp;Calculs!O164&amp;","&amp;Calculs!N164&amp;","&amp;Calculs!P164&amp;","&amp;'Import OpenCPN'!AC165&amp;",Y,@"&amp;Symboles!C164&amp;",A,,,,")</f>
        <v/>
      </c>
    </row>
    <row r="165" spans="1:1" x14ac:dyDescent="0.2">
      <c r="A165" t="str">
        <f>IF(Calculs!A165=0,"","$PFEC,GPwpl,"&amp;Calculs!H165&amp;","&amp;Calculs!O165&amp;","&amp;Calculs!N165&amp;","&amp;Calculs!P165&amp;","&amp;'Import OpenCPN'!AC166&amp;",Y,@"&amp;Symboles!C165&amp;",A,,,,")</f>
        <v/>
      </c>
    </row>
    <row r="166" spans="1:1" x14ac:dyDescent="0.2">
      <c r="A166" t="str">
        <f>IF(Calculs!A166=0,"","$PFEC,GPwpl,"&amp;Calculs!H166&amp;","&amp;Calculs!O166&amp;","&amp;Calculs!N166&amp;","&amp;Calculs!P166&amp;","&amp;'Import OpenCPN'!AC167&amp;",Y,@"&amp;Symboles!C166&amp;",A,,,,")</f>
        <v/>
      </c>
    </row>
    <row r="167" spans="1:1" x14ac:dyDescent="0.2">
      <c r="A167" t="str">
        <f>IF(Calculs!A167=0,"","$PFEC,GPwpl,"&amp;Calculs!H167&amp;","&amp;Calculs!O167&amp;","&amp;Calculs!N167&amp;","&amp;Calculs!P167&amp;","&amp;'Import OpenCPN'!AC168&amp;",Y,@"&amp;Symboles!C167&amp;",A,,,,")</f>
        <v/>
      </c>
    </row>
    <row r="168" spans="1:1" x14ac:dyDescent="0.2">
      <c r="A168" t="str">
        <f>IF(Calculs!A168=0,"","$PFEC,GPwpl,"&amp;Calculs!H168&amp;","&amp;Calculs!O168&amp;","&amp;Calculs!N168&amp;","&amp;Calculs!P168&amp;","&amp;'Import OpenCPN'!AC169&amp;",Y,@"&amp;Symboles!C168&amp;",A,,,,")</f>
        <v/>
      </c>
    </row>
    <row r="169" spans="1:1" x14ac:dyDescent="0.2">
      <c r="A169" t="str">
        <f>IF(Calculs!A169=0,"","$PFEC,GPwpl,"&amp;Calculs!H169&amp;","&amp;Calculs!O169&amp;","&amp;Calculs!N169&amp;","&amp;Calculs!P169&amp;","&amp;'Import OpenCPN'!AC170&amp;",Y,@"&amp;Symboles!C169&amp;",A,,,,")</f>
        <v/>
      </c>
    </row>
    <row r="170" spans="1:1" x14ac:dyDescent="0.2">
      <c r="A170" t="str">
        <f>IF(Calculs!A170=0,"","$PFEC,GPwpl,"&amp;Calculs!H170&amp;","&amp;Calculs!O170&amp;","&amp;Calculs!N170&amp;","&amp;Calculs!P170&amp;","&amp;'Import OpenCPN'!AC171&amp;",Y,@"&amp;Symboles!C170&amp;",A,,,,")</f>
        <v/>
      </c>
    </row>
    <row r="171" spans="1:1" x14ac:dyDescent="0.2">
      <c r="A171" t="str">
        <f>IF(Calculs!A171=0,"","$PFEC,GPwpl,"&amp;Calculs!H171&amp;","&amp;Calculs!O171&amp;","&amp;Calculs!N171&amp;","&amp;Calculs!P171&amp;","&amp;'Import OpenCPN'!AC172&amp;",Y,@"&amp;Symboles!C171&amp;",A,,,,")</f>
        <v/>
      </c>
    </row>
    <row r="172" spans="1:1" x14ac:dyDescent="0.2">
      <c r="A172" t="str">
        <f>IF(Calculs!A172=0,"","$PFEC,GPwpl,"&amp;Calculs!H172&amp;","&amp;Calculs!O172&amp;","&amp;Calculs!N172&amp;","&amp;Calculs!P172&amp;","&amp;'Import OpenCPN'!AC173&amp;",Y,@"&amp;Symboles!C172&amp;",A,,,,")</f>
        <v/>
      </c>
    </row>
    <row r="173" spans="1:1" x14ac:dyDescent="0.2">
      <c r="A173" t="str">
        <f>IF(Calculs!A173=0,"","$PFEC,GPwpl,"&amp;Calculs!H173&amp;","&amp;Calculs!O173&amp;","&amp;Calculs!N173&amp;","&amp;Calculs!P173&amp;","&amp;'Import OpenCPN'!AC174&amp;",Y,@"&amp;Symboles!C173&amp;",A,,,,")</f>
        <v/>
      </c>
    </row>
    <row r="174" spans="1:1" x14ac:dyDescent="0.2">
      <c r="A174" t="str">
        <f>IF(Calculs!A174=0,"","$PFEC,GPwpl,"&amp;Calculs!H174&amp;","&amp;Calculs!O174&amp;","&amp;Calculs!N174&amp;","&amp;Calculs!P174&amp;","&amp;'Import OpenCPN'!AC175&amp;",Y,@"&amp;Symboles!C174&amp;",A,,,,")</f>
        <v/>
      </c>
    </row>
    <row r="175" spans="1:1" x14ac:dyDescent="0.2">
      <c r="A175" t="str">
        <f>IF(Calculs!A175=0,"","$PFEC,GPwpl,"&amp;Calculs!H175&amp;","&amp;Calculs!O175&amp;","&amp;Calculs!N175&amp;","&amp;Calculs!P175&amp;","&amp;'Import OpenCPN'!AC176&amp;",Y,@"&amp;Symboles!C175&amp;",A,,,,")</f>
        <v/>
      </c>
    </row>
    <row r="176" spans="1:1" x14ac:dyDescent="0.2">
      <c r="A176" t="str">
        <f>IF(Calculs!A176=0,"","$PFEC,GPwpl,"&amp;Calculs!H176&amp;","&amp;Calculs!O176&amp;","&amp;Calculs!N176&amp;","&amp;Calculs!P176&amp;","&amp;'Import OpenCPN'!AC177&amp;",Y,@"&amp;Symboles!C176&amp;",A,,,,")</f>
        <v/>
      </c>
    </row>
    <row r="177" spans="1:1" x14ac:dyDescent="0.2">
      <c r="A177" t="str">
        <f>IF(Calculs!A177=0,"","$PFEC,GPwpl,"&amp;Calculs!H177&amp;","&amp;Calculs!O177&amp;","&amp;Calculs!N177&amp;","&amp;Calculs!P177&amp;","&amp;'Import OpenCPN'!AC178&amp;",Y,@"&amp;Symboles!C177&amp;",A,,,,")</f>
        <v/>
      </c>
    </row>
    <row r="178" spans="1:1" x14ac:dyDescent="0.2">
      <c r="A178" t="str">
        <f>IF(Calculs!A178=0,"","$PFEC,GPwpl,"&amp;Calculs!H178&amp;","&amp;Calculs!O178&amp;","&amp;Calculs!N178&amp;","&amp;Calculs!P178&amp;","&amp;'Import OpenCPN'!AC179&amp;",Y,@"&amp;Symboles!C178&amp;",A,,,,")</f>
        <v/>
      </c>
    </row>
    <row r="179" spans="1:1" x14ac:dyDescent="0.2">
      <c r="A179" t="str">
        <f>IF(Calculs!A179=0,"","$PFEC,GPwpl,"&amp;Calculs!H179&amp;","&amp;Calculs!O179&amp;","&amp;Calculs!N179&amp;","&amp;Calculs!P179&amp;","&amp;'Import OpenCPN'!AC180&amp;",Y,@"&amp;Symboles!C179&amp;",A,,,,")</f>
        <v/>
      </c>
    </row>
    <row r="180" spans="1:1" x14ac:dyDescent="0.2">
      <c r="A180" t="str">
        <f>IF(Calculs!A180=0,"","$PFEC,GPwpl,"&amp;Calculs!H180&amp;","&amp;Calculs!O180&amp;","&amp;Calculs!N180&amp;","&amp;Calculs!P180&amp;","&amp;'Import OpenCPN'!AC181&amp;",Y,@"&amp;Symboles!C180&amp;",A,,,,")</f>
        <v/>
      </c>
    </row>
    <row r="181" spans="1:1" x14ac:dyDescent="0.2">
      <c r="A181" t="str">
        <f>IF(Calculs!A181=0,"","$PFEC,GPwpl,"&amp;Calculs!H181&amp;","&amp;Calculs!O181&amp;","&amp;Calculs!N181&amp;","&amp;Calculs!P181&amp;","&amp;'Import OpenCPN'!AC182&amp;",Y,@"&amp;Symboles!C181&amp;",A,,,,")</f>
        <v/>
      </c>
    </row>
    <row r="182" spans="1:1" x14ac:dyDescent="0.2">
      <c r="A182" t="str">
        <f>IF(Calculs!A182=0,"","$PFEC,GPwpl,"&amp;Calculs!H182&amp;","&amp;Calculs!O182&amp;","&amp;Calculs!N182&amp;","&amp;Calculs!P182&amp;","&amp;'Import OpenCPN'!AC183&amp;",Y,@"&amp;Symboles!C182&amp;",A,,,,")</f>
        <v/>
      </c>
    </row>
    <row r="183" spans="1:1" x14ac:dyDescent="0.2">
      <c r="A183" t="str">
        <f>IF(Calculs!A183=0,"","$PFEC,GPwpl,"&amp;Calculs!H183&amp;","&amp;Calculs!O183&amp;","&amp;Calculs!N183&amp;","&amp;Calculs!P183&amp;","&amp;'Import OpenCPN'!AC184&amp;",Y,@"&amp;Symboles!C183&amp;",A,,,,")</f>
        <v/>
      </c>
    </row>
    <row r="184" spans="1:1" x14ac:dyDescent="0.2">
      <c r="A184" t="str">
        <f>IF(Calculs!A184=0,"","$PFEC,GPwpl,"&amp;Calculs!H184&amp;","&amp;Calculs!O184&amp;","&amp;Calculs!N184&amp;","&amp;Calculs!P184&amp;","&amp;'Import OpenCPN'!AC185&amp;",Y,@"&amp;Symboles!C184&amp;",A,,,,")</f>
        <v/>
      </c>
    </row>
    <row r="185" spans="1:1" x14ac:dyDescent="0.2">
      <c r="A185" t="str">
        <f>IF(Calculs!A185=0,"","$PFEC,GPwpl,"&amp;Calculs!H185&amp;","&amp;Calculs!O185&amp;","&amp;Calculs!N185&amp;","&amp;Calculs!P185&amp;","&amp;'Import OpenCPN'!AC186&amp;",Y,@"&amp;Symboles!C185&amp;",A,,,,")</f>
        <v/>
      </c>
    </row>
    <row r="186" spans="1:1" x14ac:dyDescent="0.2">
      <c r="A186" t="str">
        <f>IF(Calculs!A186=0,"","$PFEC,GPwpl,"&amp;Calculs!H186&amp;","&amp;Calculs!O186&amp;","&amp;Calculs!N186&amp;","&amp;Calculs!P186&amp;","&amp;'Import OpenCPN'!AC187&amp;",Y,@"&amp;Symboles!C186&amp;",A,,,,")</f>
        <v/>
      </c>
    </row>
    <row r="187" spans="1:1" x14ac:dyDescent="0.2">
      <c r="A187" t="str">
        <f>IF(Calculs!A187=0,"","$PFEC,GPwpl,"&amp;Calculs!H187&amp;","&amp;Calculs!O187&amp;","&amp;Calculs!N187&amp;","&amp;Calculs!P187&amp;","&amp;'Import OpenCPN'!AC188&amp;",Y,@"&amp;Symboles!C187&amp;",A,,,,")</f>
        <v/>
      </c>
    </row>
    <row r="188" spans="1:1" x14ac:dyDescent="0.2">
      <c r="A188" t="str">
        <f>IF(Calculs!A188=0,"","$PFEC,GPwpl,"&amp;Calculs!H188&amp;","&amp;Calculs!O188&amp;","&amp;Calculs!N188&amp;","&amp;Calculs!P188&amp;","&amp;'Import OpenCPN'!AC189&amp;",Y,@"&amp;Symboles!C188&amp;",A,,,,")</f>
        <v/>
      </c>
    </row>
    <row r="189" spans="1:1" x14ac:dyDescent="0.2">
      <c r="A189" t="str">
        <f>IF(Calculs!A189=0,"","$PFEC,GPwpl,"&amp;Calculs!H189&amp;","&amp;Calculs!O189&amp;","&amp;Calculs!N189&amp;","&amp;Calculs!P189&amp;","&amp;'Import OpenCPN'!AC190&amp;",Y,@"&amp;Symboles!C189&amp;",A,,,,")</f>
        <v/>
      </c>
    </row>
    <row r="190" spans="1:1" x14ac:dyDescent="0.2">
      <c r="A190" t="str">
        <f>IF(Calculs!A190=0,"","$PFEC,GPwpl,"&amp;Calculs!H190&amp;","&amp;Calculs!O190&amp;","&amp;Calculs!N190&amp;","&amp;Calculs!P190&amp;","&amp;'Import OpenCPN'!AC191&amp;",Y,@"&amp;Symboles!C190&amp;",A,,,,")</f>
        <v/>
      </c>
    </row>
    <row r="191" spans="1:1" x14ac:dyDescent="0.2">
      <c r="A191" t="str">
        <f>IF(Calculs!A191=0,"","$PFEC,GPwpl,"&amp;Calculs!H191&amp;","&amp;Calculs!O191&amp;","&amp;Calculs!N191&amp;","&amp;Calculs!P191&amp;","&amp;'Import OpenCPN'!AC192&amp;",Y,@"&amp;Symboles!C191&amp;",A,,,,")</f>
        <v/>
      </c>
    </row>
    <row r="192" spans="1:1" x14ac:dyDescent="0.2">
      <c r="A192" t="str">
        <f>IF(Calculs!A192=0,"","$PFEC,GPwpl,"&amp;Calculs!H192&amp;","&amp;Calculs!O192&amp;","&amp;Calculs!N192&amp;","&amp;Calculs!P192&amp;","&amp;'Import OpenCPN'!AC193&amp;",Y,@"&amp;Symboles!C192&amp;",A,,,,")</f>
        <v/>
      </c>
    </row>
    <row r="193" spans="1:1" x14ac:dyDescent="0.2">
      <c r="A193" t="str">
        <f>IF(Calculs!A193=0,"","$PFEC,GPwpl,"&amp;Calculs!H193&amp;","&amp;Calculs!O193&amp;","&amp;Calculs!N193&amp;","&amp;Calculs!P193&amp;","&amp;'Import OpenCPN'!AC194&amp;",Y,@"&amp;Symboles!C193&amp;",A,,,,")</f>
        <v/>
      </c>
    </row>
    <row r="194" spans="1:1" x14ac:dyDescent="0.2">
      <c r="A194" t="str">
        <f>IF(Calculs!A194=0,"","$PFEC,GPwpl,"&amp;Calculs!H194&amp;","&amp;Calculs!O194&amp;","&amp;Calculs!N194&amp;","&amp;Calculs!P194&amp;","&amp;'Import OpenCPN'!AC195&amp;",Y,@"&amp;Symboles!C194&amp;",A,,,,")</f>
        <v/>
      </c>
    </row>
    <row r="195" spans="1:1" x14ac:dyDescent="0.2">
      <c r="A195" t="str">
        <f>IF(Calculs!A195=0,"","$PFEC,GPwpl,"&amp;Calculs!H195&amp;","&amp;Calculs!O195&amp;","&amp;Calculs!N195&amp;","&amp;Calculs!P195&amp;","&amp;'Import OpenCPN'!AC196&amp;",Y,@"&amp;Symboles!C195&amp;",A,,,,")</f>
        <v/>
      </c>
    </row>
    <row r="196" spans="1:1" x14ac:dyDescent="0.2">
      <c r="A196" t="str">
        <f>IF(Calculs!A196=0,"","$PFEC,GPwpl,"&amp;Calculs!H196&amp;","&amp;Calculs!O196&amp;","&amp;Calculs!N196&amp;","&amp;Calculs!P196&amp;","&amp;'Import OpenCPN'!AC197&amp;",Y,@"&amp;Symboles!C196&amp;",A,,,,")</f>
        <v/>
      </c>
    </row>
    <row r="197" spans="1:1" x14ac:dyDescent="0.2">
      <c r="A197" t="str">
        <f>IF(Calculs!A197=0,"","$PFEC,GPwpl,"&amp;Calculs!H197&amp;","&amp;Calculs!O197&amp;","&amp;Calculs!N197&amp;","&amp;Calculs!P197&amp;","&amp;'Import OpenCPN'!AC198&amp;",Y,@"&amp;Symboles!C197&amp;",A,,,,")</f>
        <v/>
      </c>
    </row>
    <row r="198" spans="1:1" x14ac:dyDescent="0.2">
      <c r="A198" t="str">
        <f>IF(Calculs!A198=0,"","$PFEC,GPwpl,"&amp;Calculs!H198&amp;","&amp;Calculs!O198&amp;","&amp;Calculs!N198&amp;","&amp;Calculs!P198&amp;","&amp;'Import OpenCPN'!AC199&amp;",Y,@"&amp;Symboles!C198&amp;",A,,,,")</f>
        <v/>
      </c>
    </row>
    <row r="199" spans="1:1" x14ac:dyDescent="0.2">
      <c r="A199" t="str">
        <f>IF(Calculs!A199=0,"","$PFEC,GPwpl,"&amp;Calculs!H199&amp;","&amp;Calculs!O199&amp;","&amp;Calculs!N199&amp;","&amp;Calculs!P199&amp;","&amp;'Import OpenCPN'!AC200&amp;",Y,@"&amp;Symboles!C199&amp;",A,,,,")</f>
        <v/>
      </c>
    </row>
    <row r="200" spans="1:1" x14ac:dyDescent="0.2">
      <c r="A200" t="str">
        <f>IF(Calculs!A200=0,"","$PFEC,GPwpl,"&amp;Calculs!H200&amp;","&amp;Calculs!O200&amp;","&amp;Calculs!N200&amp;","&amp;Calculs!P200&amp;","&amp;'Import OpenCPN'!AC201&amp;",Y,@"&amp;Symboles!C200&amp;",A,,,,")</f>
        <v/>
      </c>
    </row>
    <row r="201" spans="1:1" x14ac:dyDescent="0.2">
      <c r="A201" t="str">
        <f>IF(Calculs!A201=0,"","$PFEC,GPwpl,"&amp;Calculs!H201&amp;","&amp;Calculs!O201&amp;","&amp;Calculs!N201&amp;","&amp;Calculs!P201&amp;","&amp;'Import OpenCPN'!AC202&amp;",Y,@"&amp;Symboles!C201&amp;",A,,,,")</f>
        <v/>
      </c>
    </row>
    <row r="202" spans="1:1" x14ac:dyDescent="0.2">
      <c r="A202" t="str">
        <f>IF(Calculs!A202=0,"","$PFEC,GPwpl,"&amp;Calculs!H202&amp;","&amp;Calculs!O202&amp;","&amp;Calculs!N202&amp;","&amp;Calculs!P202&amp;","&amp;'Import OpenCPN'!AC203&amp;",Y,@"&amp;Symboles!C202&amp;",A,,,,")</f>
        <v/>
      </c>
    </row>
    <row r="203" spans="1:1" x14ac:dyDescent="0.2">
      <c r="A203" t="str">
        <f>IF(Calculs!A203=0,"","$PFEC,GPwpl,"&amp;Calculs!H203&amp;","&amp;Calculs!O203&amp;","&amp;Calculs!N203&amp;","&amp;Calculs!P203&amp;","&amp;'Import OpenCPN'!AC204&amp;",Y,@"&amp;Symboles!C203&amp;",A,,,,")</f>
        <v/>
      </c>
    </row>
    <row r="204" spans="1:1" x14ac:dyDescent="0.2">
      <c r="A204" t="str">
        <f>IF(Calculs!A204=0,"","$PFEC,GPwpl,"&amp;Calculs!H204&amp;","&amp;Calculs!O204&amp;","&amp;Calculs!N204&amp;","&amp;Calculs!P204&amp;","&amp;'Import OpenCPN'!AC205&amp;",Y,@"&amp;Symboles!C204&amp;",A,,,,")</f>
        <v/>
      </c>
    </row>
    <row r="205" spans="1:1" x14ac:dyDescent="0.2">
      <c r="A205" t="str">
        <f>IF(Calculs!A205=0,"","$PFEC,GPwpl,"&amp;Calculs!H205&amp;","&amp;Calculs!O205&amp;","&amp;Calculs!N205&amp;","&amp;Calculs!P205&amp;","&amp;'Import OpenCPN'!AC206&amp;",Y,@"&amp;Symboles!C205&amp;",A,,,,")</f>
        <v/>
      </c>
    </row>
    <row r="206" spans="1:1" x14ac:dyDescent="0.2">
      <c r="A206" t="str">
        <f>IF(Calculs!A206=0,"","$PFEC,GPwpl,"&amp;Calculs!H206&amp;","&amp;Calculs!O206&amp;","&amp;Calculs!N206&amp;","&amp;Calculs!P206&amp;","&amp;'Import OpenCPN'!AC207&amp;",Y,@"&amp;Symboles!C206&amp;",A,,,,")</f>
        <v/>
      </c>
    </row>
    <row r="207" spans="1:1" x14ac:dyDescent="0.2">
      <c r="A207" t="str">
        <f>IF(Calculs!A207=0,"","$PFEC,GPwpl,"&amp;Calculs!H207&amp;","&amp;Calculs!O207&amp;","&amp;Calculs!N207&amp;","&amp;Calculs!P207&amp;","&amp;'Import OpenCPN'!AC208&amp;",Y,@"&amp;Symboles!C207&amp;",A,,,,")</f>
        <v/>
      </c>
    </row>
    <row r="208" spans="1:1" x14ac:dyDescent="0.2">
      <c r="A208" t="str">
        <f>IF(Calculs!A208=0,"","$PFEC,GPwpl,"&amp;Calculs!H208&amp;","&amp;Calculs!O208&amp;","&amp;Calculs!N208&amp;","&amp;Calculs!P208&amp;","&amp;'Import OpenCPN'!AC209&amp;",Y,@"&amp;Symboles!C208&amp;",A,,,,")</f>
        <v/>
      </c>
    </row>
    <row r="209" spans="1:1" x14ac:dyDescent="0.2">
      <c r="A209" t="str">
        <f>IF(Calculs!A209=0,"","$PFEC,GPwpl,"&amp;Calculs!H209&amp;","&amp;Calculs!O209&amp;","&amp;Calculs!N209&amp;","&amp;Calculs!P209&amp;","&amp;'Import OpenCPN'!AC210&amp;",Y,@"&amp;Symboles!C209&amp;",A,,,,")</f>
        <v/>
      </c>
    </row>
    <row r="210" spans="1:1" x14ac:dyDescent="0.2">
      <c r="A210" t="str">
        <f>IF(Calculs!A210=0,"","$PFEC,GPwpl,"&amp;Calculs!H210&amp;","&amp;Calculs!O210&amp;","&amp;Calculs!N210&amp;","&amp;Calculs!P210&amp;","&amp;'Import OpenCPN'!AC211&amp;",Y,@"&amp;Symboles!C210&amp;",A,,,,")</f>
        <v/>
      </c>
    </row>
    <row r="211" spans="1:1" x14ac:dyDescent="0.2">
      <c r="A211" t="str">
        <f>IF(Calculs!A211=0,"","$PFEC,GPwpl,"&amp;Calculs!H211&amp;","&amp;Calculs!O211&amp;","&amp;Calculs!N211&amp;","&amp;Calculs!P211&amp;","&amp;'Import OpenCPN'!AC212&amp;",Y,@"&amp;Symboles!C211&amp;",A,,,,")</f>
        <v/>
      </c>
    </row>
    <row r="212" spans="1:1" x14ac:dyDescent="0.2">
      <c r="A212" t="str">
        <f>IF(Calculs!A212=0,"","$PFEC,GPwpl,"&amp;Calculs!H212&amp;","&amp;Calculs!O212&amp;","&amp;Calculs!N212&amp;","&amp;Calculs!P212&amp;","&amp;'Import OpenCPN'!AC213&amp;",Y,@"&amp;Symboles!C212&amp;",A,,,,")</f>
        <v/>
      </c>
    </row>
    <row r="213" spans="1:1" x14ac:dyDescent="0.2">
      <c r="A213" t="str">
        <f>IF(Calculs!A213=0,"","$PFEC,GPwpl,"&amp;Calculs!H213&amp;","&amp;Calculs!O213&amp;","&amp;Calculs!N213&amp;","&amp;Calculs!P213&amp;","&amp;'Import OpenCPN'!AC214&amp;",Y,@"&amp;Symboles!C213&amp;",A,,,,")</f>
        <v/>
      </c>
    </row>
    <row r="214" spans="1:1" x14ac:dyDescent="0.2">
      <c r="A214" t="str">
        <f>IF(Calculs!A214=0,"","$PFEC,GPwpl,"&amp;Calculs!H214&amp;","&amp;Calculs!O214&amp;","&amp;Calculs!N214&amp;","&amp;Calculs!P214&amp;","&amp;'Import OpenCPN'!AC215&amp;",Y,@"&amp;Symboles!C214&amp;",A,,,,")</f>
        <v/>
      </c>
    </row>
    <row r="215" spans="1:1" x14ac:dyDescent="0.2">
      <c r="A215" t="str">
        <f>IF(Calculs!A215=0,"","$PFEC,GPwpl,"&amp;Calculs!H215&amp;","&amp;Calculs!O215&amp;","&amp;Calculs!N215&amp;","&amp;Calculs!P215&amp;","&amp;'Import OpenCPN'!AC216&amp;",Y,@"&amp;Symboles!C215&amp;",A,,,,")</f>
        <v/>
      </c>
    </row>
    <row r="216" spans="1:1" x14ac:dyDescent="0.2">
      <c r="A216" t="str">
        <f>IF(Calculs!A216=0,"","$PFEC,GPwpl,"&amp;Calculs!H216&amp;","&amp;Calculs!O216&amp;","&amp;Calculs!N216&amp;","&amp;Calculs!P216&amp;","&amp;'Import OpenCPN'!AC217&amp;",Y,@"&amp;Symboles!C216&amp;",A,,,,")</f>
        <v/>
      </c>
    </row>
    <row r="217" spans="1:1" x14ac:dyDescent="0.2">
      <c r="A217" t="str">
        <f>IF(Calculs!A217=0,"","$PFEC,GPwpl,"&amp;Calculs!H217&amp;","&amp;Calculs!O217&amp;","&amp;Calculs!N217&amp;","&amp;Calculs!P217&amp;","&amp;'Import OpenCPN'!AC218&amp;",Y,@"&amp;Symboles!C217&amp;",A,,,,")</f>
        <v/>
      </c>
    </row>
    <row r="218" spans="1:1" x14ac:dyDescent="0.2">
      <c r="A218" t="str">
        <f>IF(Calculs!A218=0,"","$PFEC,GPwpl,"&amp;Calculs!H218&amp;","&amp;Calculs!O218&amp;","&amp;Calculs!N218&amp;","&amp;Calculs!P218&amp;","&amp;'Import OpenCPN'!AC219&amp;",Y,@"&amp;Symboles!C218&amp;",A,,,,")</f>
        <v/>
      </c>
    </row>
    <row r="219" spans="1:1" x14ac:dyDescent="0.2">
      <c r="A219" t="str">
        <f>IF(Calculs!A219=0,"","$PFEC,GPwpl,"&amp;Calculs!H219&amp;","&amp;Calculs!O219&amp;","&amp;Calculs!N219&amp;","&amp;Calculs!P219&amp;","&amp;'Import OpenCPN'!AC220&amp;",Y,@"&amp;Symboles!C219&amp;",A,,,,")</f>
        <v/>
      </c>
    </row>
    <row r="220" spans="1:1" x14ac:dyDescent="0.2">
      <c r="A220" t="str">
        <f>IF(Calculs!A220=0,"","$PFEC,GPwpl,"&amp;Calculs!H220&amp;","&amp;Calculs!O220&amp;","&amp;Calculs!N220&amp;","&amp;Calculs!P220&amp;","&amp;'Import OpenCPN'!AC221&amp;",Y,@"&amp;Symboles!C220&amp;",A,,,,")</f>
        <v/>
      </c>
    </row>
    <row r="221" spans="1:1" x14ac:dyDescent="0.2">
      <c r="A221" t="str">
        <f>IF(Calculs!A221=0,"","$PFEC,GPwpl,"&amp;Calculs!H221&amp;","&amp;Calculs!O221&amp;","&amp;Calculs!N221&amp;","&amp;Calculs!P221&amp;","&amp;'Import OpenCPN'!AC222&amp;",Y,@"&amp;Symboles!C221&amp;",A,,,,")</f>
        <v/>
      </c>
    </row>
    <row r="222" spans="1:1" x14ac:dyDescent="0.2">
      <c r="A222" t="str">
        <f>IF(Calculs!A222=0,"","$PFEC,GPwpl,"&amp;Calculs!H222&amp;","&amp;Calculs!O222&amp;","&amp;Calculs!N222&amp;","&amp;Calculs!P222&amp;","&amp;'Import OpenCPN'!AC223&amp;",Y,@"&amp;Symboles!C222&amp;",A,,,,")</f>
        <v/>
      </c>
    </row>
    <row r="223" spans="1:1" x14ac:dyDescent="0.2">
      <c r="A223" t="str">
        <f>IF(Calculs!A223=0,"","$PFEC,GPwpl,"&amp;Calculs!H223&amp;","&amp;Calculs!O223&amp;","&amp;Calculs!N223&amp;","&amp;Calculs!P223&amp;","&amp;'Import OpenCPN'!AC224&amp;",Y,@"&amp;Symboles!C223&amp;",A,,,,")</f>
        <v/>
      </c>
    </row>
    <row r="224" spans="1:1" x14ac:dyDescent="0.2">
      <c r="A224" t="str">
        <f>IF(Calculs!A224=0,"","$PFEC,GPwpl,"&amp;Calculs!H224&amp;","&amp;Calculs!O224&amp;","&amp;Calculs!N224&amp;","&amp;Calculs!P224&amp;","&amp;'Import OpenCPN'!AC225&amp;",Y,@"&amp;Symboles!C224&amp;",A,,,,")</f>
        <v/>
      </c>
    </row>
    <row r="225" spans="1:1" x14ac:dyDescent="0.2">
      <c r="A225" t="str">
        <f>IF(Calculs!A225=0,"","$PFEC,GPwpl,"&amp;Calculs!H225&amp;","&amp;Calculs!O225&amp;","&amp;Calculs!N225&amp;","&amp;Calculs!P225&amp;","&amp;'Import OpenCPN'!AC226&amp;",Y,@"&amp;Symboles!C225&amp;",A,,,,")</f>
        <v/>
      </c>
    </row>
    <row r="226" spans="1:1" x14ac:dyDescent="0.2">
      <c r="A226" t="str">
        <f>IF(Calculs!A226=0,"","$PFEC,GPwpl,"&amp;Calculs!H226&amp;","&amp;Calculs!O226&amp;","&amp;Calculs!N226&amp;","&amp;Calculs!P226&amp;","&amp;'Import OpenCPN'!AC227&amp;",Y,@"&amp;Symboles!C226&amp;",A,,,,")</f>
        <v/>
      </c>
    </row>
    <row r="227" spans="1:1" x14ac:dyDescent="0.2">
      <c r="A227" t="str">
        <f>IF(Calculs!A227=0,"","$PFEC,GPwpl,"&amp;Calculs!H227&amp;","&amp;Calculs!O227&amp;","&amp;Calculs!N227&amp;","&amp;Calculs!P227&amp;","&amp;'Import OpenCPN'!AC228&amp;",Y,@"&amp;Symboles!C227&amp;",A,,,,")</f>
        <v/>
      </c>
    </row>
    <row r="228" spans="1:1" x14ac:dyDescent="0.2">
      <c r="A228" t="str">
        <f>IF(Calculs!A228=0,"","$PFEC,GPwpl,"&amp;Calculs!H228&amp;","&amp;Calculs!O228&amp;","&amp;Calculs!N228&amp;","&amp;Calculs!P228&amp;","&amp;'Import OpenCPN'!AC229&amp;",Y,@"&amp;Symboles!C228&amp;",A,,,,")</f>
        <v/>
      </c>
    </row>
    <row r="229" spans="1:1" x14ac:dyDescent="0.2">
      <c r="A229" t="str">
        <f>IF(Calculs!A229=0,"","$PFEC,GPwpl,"&amp;Calculs!H229&amp;","&amp;Calculs!O229&amp;","&amp;Calculs!N229&amp;","&amp;Calculs!P229&amp;","&amp;'Import OpenCPN'!AC230&amp;",Y,@"&amp;Symboles!C229&amp;",A,,,,")</f>
        <v/>
      </c>
    </row>
    <row r="230" spans="1:1" x14ac:dyDescent="0.2">
      <c r="A230" t="str">
        <f>IF(Calculs!A230=0,"","$PFEC,GPwpl,"&amp;Calculs!H230&amp;","&amp;Calculs!O230&amp;","&amp;Calculs!N230&amp;","&amp;Calculs!P230&amp;","&amp;'Import OpenCPN'!AC231&amp;",Y,@"&amp;Symboles!C230&amp;",A,,,,")</f>
        <v/>
      </c>
    </row>
    <row r="231" spans="1:1" x14ac:dyDescent="0.2">
      <c r="A231" t="str">
        <f>IF(Calculs!A231=0,"","$PFEC,GPwpl,"&amp;Calculs!H231&amp;","&amp;Calculs!O231&amp;","&amp;Calculs!N231&amp;","&amp;Calculs!P231&amp;","&amp;'Import OpenCPN'!AC232&amp;",Y,@"&amp;Symboles!C231&amp;",A,,,,")</f>
        <v/>
      </c>
    </row>
    <row r="232" spans="1:1" x14ac:dyDescent="0.2">
      <c r="A232" t="str">
        <f>IF(Calculs!A232=0,"","$PFEC,GPwpl,"&amp;Calculs!H232&amp;","&amp;Calculs!O232&amp;","&amp;Calculs!N232&amp;","&amp;Calculs!P232&amp;","&amp;'Import OpenCPN'!AC233&amp;",Y,@"&amp;Symboles!C232&amp;",A,,,,")</f>
        <v/>
      </c>
    </row>
    <row r="233" spans="1:1" x14ac:dyDescent="0.2">
      <c r="A233" t="str">
        <f>IF(Calculs!A233=0,"","$PFEC,GPwpl,"&amp;Calculs!H233&amp;","&amp;Calculs!O233&amp;","&amp;Calculs!N233&amp;","&amp;Calculs!P233&amp;","&amp;'Import OpenCPN'!AC234&amp;",Y,@"&amp;Symboles!C233&amp;",A,,,,")</f>
        <v/>
      </c>
    </row>
    <row r="234" spans="1:1" x14ac:dyDescent="0.2">
      <c r="A234" t="str">
        <f>IF(Calculs!A234=0,"","$PFEC,GPwpl,"&amp;Calculs!H234&amp;","&amp;Calculs!O234&amp;","&amp;Calculs!N234&amp;","&amp;Calculs!P234&amp;","&amp;'Import OpenCPN'!AC235&amp;",Y,@"&amp;Symboles!C234&amp;",A,,,,")</f>
        <v/>
      </c>
    </row>
    <row r="235" spans="1:1" x14ac:dyDescent="0.2">
      <c r="A235" t="str">
        <f>IF(Calculs!A235=0,"","$PFEC,GPwpl,"&amp;Calculs!H235&amp;","&amp;Calculs!O235&amp;","&amp;Calculs!N235&amp;","&amp;Calculs!P235&amp;","&amp;'Import OpenCPN'!AC236&amp;",Y,@"&amp;Symboles!C235&amp;",A,,,,")</f>
        <v/>
      </c>
    </row>
    <row r="236" spans="1:1" x14ac:dyDescent="0.2">
      <c r="A236" t="str">
        <f>IF(Calculs!A236=0,"","$PFEC,GPwpl,"&amp;Calculs!H236&amp;","&amp;Calculs!O236&amp;","&amp;Calculs!N236&amp;","&amp;Calculs!P236&amp;","&amp;'Import OpenCPN'!AC237&amp;",Y,@"&amp;Symboles!C236&amp;",A,,,,")</f>
        <v/>
      </c>
    </row>
    <row r="237" spans="1:1" x14ac:dyDescent="0.2">
      <c r="A237" t="str">
        <f>IF(Calculs!A237=0,"","$PFEC,GPwpl,"&amp;Calculs!H237&amp;","&amp;Calculs!O237&amp;","&amp;Calculs!N237&amp;","&amp;Calculs!P237&amp;","&amp;'Import OpenCPN'!AC238&amp;",Y,@"&amp;Symboles!C237&amp;",A,,,,")</f>
        <v/>
      </c>
    </row>
    <row r="238" spans="1:1" x14ac:dyDescent="0.2">
      <c r="A238" t="str">
        <f>IF(Calculs!A238=0,"","$PFEC,GPwpl,"&amp;Calculs!H238&amp;","&amp;Calculs!O238&amp;","&amp;Calculs!N238&amp;","&amp;Calculs!P238&amp;","&amp;'Import OpenCPN'!AC239&amp;",Y,@"&amp;Symboles!C238&amp;",A,,,,")</f>
        <v/>
      </c>
    </row>
    <row r="239" spans="1:1" x14ac:dyDescent="0.2">
      <c r="A239" t="str">
        <f>IF(Calculs!A239=0,"","$PFEC,GPwpl,"&amp;Calculs!H239&amp;","&amp;Calculs!O239&amp;","&amp;Calculs!N239&amp;","&amp;Calculs!P239&amp;","&amp;'Import OpenCPN'!AC240&amp;",Y,@"&amp;Symboles!C239&amp;",A,,,,")</f>
        <v/>
      </c>
    </row>
    <row r="240" spans="1:1" x14ac:dyDescent="0.2">
      <c r="A240" t="str">
        <f>IF(Calculs!A240=0,"","$PFEC,GPwpl,"&amp;Calculs!H240&amp;","&amp;Calculs!O240&amp;","&amp;Calculs!N240&amp;","&amp;Calculs!P240&amp;","&amp;'Import OpenCPN'!AC241&amp;",Y,@"&amp;Symboles!C240&amp;",A,,,,")</f>
        <v/>
      </c>
    </row>
    <row r="241" spans="1:1" x14ac:dyDescent="0.2">
      <c r="A241" t="str">
        <f>IF(Calculs!A241=0,"","$PFEC,GPwpl,"&amp;Calculs!H241&amp;","&amp;Calculs!O241&amp;","&amp;Calculs!N241&amp;","&amp;Calculs!P241&amp;","&amp;'Import OpenCPN'!AC242&amp;",Y,@"&amp;Symboles!C241&amp;",A,,,,")</f>
        <v/>
      </c>
    </row>
    <row r="242" spans="1:1" x14ac:dyDescent="0.2">
      <c r="A242" t="str">
        <f>IF(Calculs!A242=0,"","$PFEC,GPwpl,"&amp;Calculs!H242&amp;","&amp;Calculs!O242&amp;","&amp;Calculs!N242&amp;","&amp;Calculs!P242&amp;","&amp;'Import OpenCPN'!AC243&amp;",Y,@"&amp;Symboles!C242&amp;",A,,,,")</f>
        <v/>
      </c>
    </row>
    <row r="243" spans="1:1" x14ac:dyDescent="0.2">
      <c r="A243" t="str">
        <f>IF(Calculs!A243=0,"","$PFEC,GPwpl,"&amp;Calculs!H243&amp;","&amp;Calculs!O243&amp;","&amp;Calculs!N243&amp;","&amp;Calculs!P243&amp;","&amp;'Import OpenCPN'!AC244&amp;",Y,@"&amp;Symboles!C243&amp;",A,,,,")</f>
        <v/>
      </c>
    </row>
    <row r="244" spans="1:1" x14ac:dyDescent="0.2">
      <c r="A244" t="str">
        <f>IF(Calculs!A244=0,"","$PFEC,GPwpl,"&amp;Calculs!H244&amp;","&amp;Calculs!O244&amp;","&amp;Calculs!N244&amp;","&amp;Calculs!P244&amp;","&amp;'Import OpenCPN'!AC245&amp;",Y,@"&amp;Symboles!C244&amp;",A,,,,")</f>
        <v/>
      </c>
    </row>
    <row r="245" spans="1:1" x14ac:dyDescent="0.2">
      <c r="A245" t="str">
        <f>IF(Calculs!A245=0,"","$PFEC,GPwpl,"&amp;Calculs!H245&amp;","&amp;Calculs!O245&amp;","&amp;Calculs!N245&amp;","&amp;Calculs!P245&amp;","&amp;'Import OpenCPN'!AC246&amp;",Y,@"&amp;Symboles!C245&amp;",A,,,,")</f>
        <v/>
      </c>
    </row>
    <row r="246" spans="1:1" x14ac:dyDescent="0.2">
      <c r="A246" t="str">
        <f>IF(Calculs!A246=0,"","$PFEC,GPwpl,"&amp;Calculs!H246&amp;","&amp;Calculs!O246&amp;","&amp;Calculs!N246&amp;","&amp;Calculs!P246&amp;","&amp;'Import OpenCPN'!AC247&amp;",Y,@"&amp;Symboles!C246&amp;",A,,,,")</f>
        <v/>
      </c>
    </row>
    <row r="247" spans="1:1" x14ac:dyDescent="0.2">
      <c r="A247" t="str">
        <f>IF(Calculs!A247=0,"","$PFEC,GPwpl,"&amp;Calculs!H247&amp;","&amp;Calculs!O247&amp;","&amp;Calculs!N247&amp;","&amp;Calculs!P247&amp;","&amp;'Import OpenCPN'!AC248&amp;",Y,@"&amp;Symboles!C247&amp;",A,,,,")</f>
        <v/>
      </c>
    </row>
    <row r="248" spans="1:1" x14ac:dyDescent="0.2">
      <c r="A248" t="str">
        <f>IF(Calculs!A248=0,"","$PFEC,GPwpl,"&amp;Calculs!H248&amp;","&amp;Calculs!O248&amp;","&amp;Calculs!N248&amp;","&amp;Calculs!P248&amp;","&amp;'Import OpenCPN'!AC249&amp;",Y,@"&amp;Symboles!C248&amp;",A,,,,")</f>
        <v/>
      </c>
    </row>
    <row r="249" spans="1:1" x14ac:dyDescent="0.2">
      <c r="A249" t="str">
        <f>IF(Calculs!A249=0,"","$PFEC,GPwpl,"&amp;Calculs!H249&amp;","&amp;Calculs!O249&amp;","&amp;Calculs!N249&amp;","&amp;Calculs!P249&amp;","&amp;'Import OpenCPN'!AC250&amp;",Y,@"&amp;Symboles!C249&amp;",A,,,,")</f>
        <v/>
      </c>
    </row>
    <row r="250" spans="1:1" x14ac:dyDescent="0.2">
      <c r="A250" t="str">
        <f>IF(Calculs!A250=0,"","$PFEC,GPwpl,"&amp;Calculs!H250&amp;","&amp;Calculs!O250&amp;","&amp;Calculs!N250&amp;","&amp;Calculs!P250&amp;","&amp;'Import OpenCPN'!AC251&amp;",Y,@"&amp;Symboles!C250&amp;",A,,,,")</f>
        <v/>
      </c>
    </row>
    <row r="251" spans="1:1" x14ac:dyDescent="0.2">
      <c r="A251" t="str">
        <f>IF(Calculs!A251=0,"","$PFEC,GPwpl,"&amp;Calculs!H251&amp;","&amp;Calculs!O251&amp;","&amp;Calculs!N251&amp;","&amp;Calculs!P251&amp;","&amp;'Import OpenCPN'!AC252&amp;",Y,@"&amp;Symboles!C251&amp;",A,,,,")</f>
        <v/>
      </c>
    </row>
    <row r="252" spans="1:1" x14ac:dyDescent="0.2">
      <c r="A252" t="str">
        <f>IF(Calculs!A252=0,"","$PFEC,GPwpl,"&amp;Calculs!H252&amp;","&amp;Calculs!O252&amp;","&amp;Calculs!N252&amp;","&amp;Calculs!P252&amp;","&amp;'Import OpenCPN'!AC253&amp;",Y,@"&amp;Symboles!C252&amp;",A,,,,")</f>
        <v/>
      </c>
    </row>
    <row r="253" spans="1:1" x14ac:dyDescent="0.2">
      <c r="A253" t="str">
        <f>IF(Calculs!A253=0,"","$PFEC,GPwpl,"&amp;Calculs!H253&amp;","&amp;Calculs!O253&amp;","&amp;Calculs!N253&amp;","&amp;Calculs!P253&amp;","&amp;'Import OpenCPN'!AC254&amp;",Y,@"&amp;Symboles!C253&amp;",A,,,,")</f>
        <v/>
      </c>
    </row>
    <row r="254" spans="1:1" x14ac:dyDescent="0.2">
      <c r="A254" t="str">
        <f>IF(Calculs!A254=0,"","$PFEC,GPwpl,"&amp;Calculs!H254&amp;","&amp;Calculs!O254&amp;","&amp;Calculs!N254&amp;","&amp;Calculs!P254&amp;","&amp;'Import OpenCPN'!AC255&amp;",Y,@"&amp;Symboles!C254&amp;",A,,,,")</f>
        <v/>
      </c>
    </row>
    <row r="255" spans="1:1" x14ac:dyDescent="0.2">
      <c r="A255" t="str">
        <f>IF(Calculs!A255=0,"","$PFEC,GPwpl,"&amp;Calculs!H255&amp;","&amp;Calculs!O255&amp;","&amp;Calculs!N255&amp;","&amp;Calculs!P255&amp;","&amp;'Import OpenCPN'!AC256&amp;",Y,@"&amp;Symboles!C255&amp;",A,,,,")</f>
        <v/>
      </c>
    </row>
    <row r="256" spans="1:1" x14ac:dyDescent="0.2">
      <c r="A256" t="str">
        <f>IF(Calculs!A256=0,"","$PFEC,GPwpl,"&amp;Calculs!H256&amp;","&amp;Calculs!O256&amp;","&amp;Calculs!N256&amp;","&amp;Calculs!P256&amp;","&amp;'Import OpenCPN'!AC257&amp;",Y,@"&amp;Symboles!C256&amp;",A,,,,")</f>
        <v/>
      </c>
    </row>
    <row r="257" spans="1:1" x14ac:dyDescent="0.2">
      <c r="A257" t="str">
        <f>IF(Calculs!A257=0,"","$PFEC,GPwpl,"&amp;Calculs!H257&amp;","&amp;Calculs!O257&amp;","&amp;Calculs!N257&amp;","&amp;Calculs!P257&amp;","&amp;'Import OpenCPN'!AC258&amp;",Y,@"&amp;Symboles!C257&amp;",A,,,,")</f>
        <v/>
      </c>
    </row>
    <row r="258" spans="1:1" x14ac:dyDescent="0.2">
      <c r="A258" t="str">
        <f>IF(Calculs!A258=0,"","$PFEC,GPwpl,"&amp;Calculs!H258&amp;","&amp;Calculs!O258&amp;","&amp;Calculs!N258&amp;","&amp;Calculs!P258&amp;","&amp;'Import OpenCPN'!AC259&amp;",Y,@"&amp;Symboles!C258&amp;",A,,,,")</f>
        <v/>
      </c>
    </row>
    <row r="259" spans="1:1" x14ac:dyDescent="0.2">
      <c r="A259" t="str">
        <f>IF(Calculs!A259=0,"","$PFEC,GPwpl,"&amp;Calculs!H259&amp;","&amp;Calculs!O259&amp;","&amp;Calculs!N259&amp;","&amp;Calculs!P259&amp;","&amp;'Import OpenCPN'!AC260&amp;",Y,@"&amp;Symboles!C259&amp;",A,,,,")</f>
        <v/>
      </c>
    </row>
    <row r="260" spans="1:1" x14ac:dyDescent="0.2">
      <c r="A260" t="str">
        <f>IF(Calculs!A260=0,"","$PFEC,GPwpl,"&amp;Calculs!H260&amp;","&amp;Calculs!O260&amp;","&amp;Calculs!N260&amp;","&amp;Calculs!P260&amp;","&amp;'Import OpenCPN'!AC261&amp;",Y,@"&amp;Symboles!C260&amp;",A,,,,")</f>
        <v/>
      </c>
    </row>
    <row r="261" spans="1:1" x14ac:dyDescent="0.2">
      <c r="A261" t="str">
        <f>IF(Calculs!A261=0,"","$PFEC,GPwpl,"&amp;Calculs!H261&amp;","&amp;Calculs!O261&amp;","&amp;Calculs!N261&amp;","&amp;Calculs!P261&amp;","&amp;'Import OpenCPN'!AC262&amp;",Y,@"&amp;Symboles!C261&amp;",A,,,,")</f>
        <v/>
      </c>
    </row>
    <row r="262" spans="1:1" x14ac:dyDescent="0.2">
      <c r="A262" t="str">
        <f>IF(Calculs!A262=0,"","$PFEC,GPwpl,"&amp;Calculs!H262&amp;","&amp;Calculs!O262&amp;","&amp;Calculs!N262&amp;","&amp;Calculs!P262&amp;","&amp;'Import OpenCPN'!AC263&amp;",Y,@"&amp;Symboles!C262&amp;",A,,,,")</f>
        <v/>
      </c>
    </row>
    <row r="263" spans="1:1" x14ac:dyDescent="0.2">
      <c r="A263" t="str">
        <f>IF(Calculs!A263=0,"","$PFEC,GPwpl,"&amp;Calculs!H263&amp;","&amp;Calculs!O263&amp;","&amp;Calculs!N263&amp;","&amp;Calculs!P263&amp;","&amp;'Import OpenCPN'!AC264&amp;",Y,@"&amp;Symboles!C263&amp;",A,,,,")</f>
        <v/>
      </c>
    </row>
    <row r="264" spans="1:1" x14ac:dyDescent="0.2">
      <c r="A264" t="str">
        <f>IF(Calculs!A264=0,"","$PFEC,GPwpl,"&amp;Calculs!H264&amp;","&amp;Calculs!O264&amp;","&amp;Calculs!N264&amp;","&amp;Calculs!P264&amp;","&amp;'Import OpenCPN'!AC265&amp;",Y,@"&amp;Symboles!C264&amp;",A,,,,")</f>
        <v/>
      </c>
    </row>
    <row r="265" spans="1:1" x14ac:dyDescent="0.2">
      <c r="A265" t="str">
        <f>IF(Calculs!A265=0,"","$PFEC,GPwpl,"&amp;Calculs!H265&amp;","&amp;Calculs!O265&amp;","&amp;Calculs!N265&amp;","&amp;Calculs!P265&amp;","&amp;'Import OpenCPN'!AC266&amp;",Y,@"&amp;Symboles!C265&amp;",A,,,,")</f>
        <v/>
      </c>
    </row>
    <row r="266" spans="1:1" x14ac:dyDescent="0.2">
      <c r="A266" t="str">
        <f>IF(Calculs!A266=0,"","$PFEC,GPwpl,"&amp;Calculs!H266&amp;","&amp;Calculs!O266&amp;","&amp;Calculs!N266&amp;","&amp;Calculs!P266&amp;","&amp;'Import OpenCPN'!AC267&amp;",Y,@"&amp;Symboles!C266&amp;",A,,,,")</f>
        <v/>
      </c>
    </row>
    <row r="267" spans="1:1" x14ac:dyDescent="0.2">
      <c r="A267" t="str">
        <f>IF(Calculs!A267=0,"","$PFEC,GPwpl,"&amp;Calculs!H267&amp;","&amp;Calculs!O267&amp;","&amp;Calculs!N267&amp;","&amp;Calculs!P267&amp;","&amp;'Import OpenCPN'!AC268&amp;",Y,@"&amp;Symboles!C267&amp;",A,,,,")</f>
        <v/>
      </c>
    </row>
    <row r="268" spans="1:1" x14ac:dyDescent="0.2">
      <c r="A268" t="str">
        <f>IF(Calculs!A268=0,"","$PFEC,GPwpl,"&amp;Calculs!H268&amp;","&amp;Calculs!O268&amp;","&amp;Calculs!N268&amp;","&amp;Calculs!P268&amp;","&amp;'Import OpenCPN'!AC269&amp;",Y,@"&amp;Symboles!C268&amp;",A,,,,")</f>
        <v/>
      </c>
    </row>
    <row r="269" spans="1:1" x14ac:dyDescent="0.2">
      <c r="A269" t="str">
        <f>IF(Calculs!A269=0,"","$PFEC,GPwpl,"&amp;Calculs!H269&amp;","&amp;Calculs!O269&amp;","&amp;Calculs!N269&amp;","&amp;Calculs!P269&amp;","&amp;'Import OpenCPN'!AC270&amp;",Y,@"&amp;Symboles!C269&amp;",A,,,,")</f>
        <v/>
      </c>
    </row>
    <row r="270" spans="1:1" x14ac:dyDescent="0.2">
      <c r="A270" t="str">
        <f>IF(Calculs!A270=0,"","$PFEC,GPwpl,"&amp;Calculs!H270&amp;","&amp;Calculs!O270&amp;","&amp;Calculs!N270&amp;","&amp;Calculs!P270&amp;","&amp;'Import OpenCPN'!AC271&amp;",Y,@"&amp;Symboles!C270&amp;",A,,,,")</f>
        <v/>
      </c>
    </row>
    <row r="271" spans="1:1" x14ac:dyDescent="0.2">
      <c r="A271" t="str">
        <f>IF(Calculs!A271=0,"","$PFEC,GPwpl,"&amp;Calculs!H271&amp;","&amp;Calculs!O271&amp;","&amp;Calculs!N271&amp;","&amp;Calculs!P271&amp;","&amp;'Import OpenCPN'!AC272&amp;",Y,@"&amp;Symboles!C271&amp;",A,,,,")</f>
        <v/>
      </c>
    </row>
    <row r="272" spans="1:1" x14ac:dyDescent="0.2">
      <c r="A272" t="str">
        <f>IF(Calculs!A272=0,"","$PFEC,GPwpl,"&amp;Calculs!H272&amp;","&amp;Calculs!O272&amp;","&amp;Calculs!N272&amp;","&amp;Calculs!P272&amp;","&amp;'Import OpenCPN'!AC273&amp;",Y,@"&amp;Symboles!C272&amp;",A,,,,")</f>
        <v/>
      </c>
    </row>
    <row r="273" spans="1:1" x14ac:dyDescent="0.2">
      <c r="A273" t="str">
        <f>IF(Calculs!A273=0,"","$PFEC,GPwpl,"&amp;Calculs!H273&amp;","&amp;Calculs!O273&amp;","&amp;Calculs!N273&amp;","&amp;Calculs!P273&amp;","&amp;'Import OpenCPN'!AC274&amp;",Y,@"&amp;Symboles!C273&amp;",A,,,,")</f>
        <v/>
      </c>
    </row>
    <row r="274" spans="1:1" x14ac:dyDescent="0.2">
      <c r="A274" t="str">
        <f>IF(Calculs!A274=0,"","$PFEC,GPwpl,"&amp;Calculs!H274&amp;","&amp;Calculs!O274&amp;","&amp;Calculs!N274&amp;","&amp;Calculs!P274&amp;","&amp;'Import OpenCPN'!AC275&amp;",Y,@"&amp;Symboles!C274&amp;",A,,,,")</f>
        <v/>
      </c>
    </row>
    <row r="275" spans="1:1" x14ac:dyDescent="0.2">
      <c r="A275" t="str">
        <f>IF(Calculs!A275=0,"","$PFEC,GPwpl,"&amp;Calculs!H275&amp;","&amp;Calculs!O275&amp;","&amp;Calculs!N275&amp;","&amp;Calculs!P275&amp;","&amp;'Import OpenCPN'!AC276&amp;",Y,@"&amp;Symboles!C275&amp;",A,,,,")</f>
        <v/>
      </c>
    </row>
    <row r="276" spans="1:1" x14ac:dyDescent="0.2">
      <c r="A276" t="str">
        <f>IF(Calculs!A276=0,"","$PFEC,GPwpl,"&amp;Calculs!H276&amp;","&amp;Calculs!O276&amp;","&amp;Calculs!N276&amp;","&amp;Calculs!P276&amp;","&amp;'Import OpenCPN'!AC277&amp;",Y,@"&amp;Symboles!C276&amp;",A,,,,")</f>
        <v/>
      </c>
    </row>
    <row r="277" spans="1:1" x14ac:dyDescent="0.2">
      <c r="A277" t="str">
        <f>IF(Calculs!A277=0,"","$PFEC,GPwpl,"&amp;Calculs!H277&amp;","&amp;Calculs!O277&amp;","&amp;Calculs!N277&amp;","&amp;Calculs!P277&amp;","&amp;'Import OpenCPN'!AC278&amp;",Y,@"&amp;Symboles!C277&amp;",A,,,,")</f>
        <v/>
      </c>
    </row>
    <row r="278" spans="1:1" x14ac:dyDescent="0.2">
      <c r="A278" t="str">
        <f>IF(Calculs!A278=0,"","$PFEC,GPwpl,"&amp;Calculs!H278&amp;","&amp;Calculs!O278&amp;","&amp;Calculs!N278&amp;","&amp;Calculs!P278&amp;","&amp;'Import OpenCPN'!AC279&amp;",Y,@"&amp;Symboles!C278&amp;",A,,,,")</f>
        <v/>
      </c>
    </row>
    <row r="279" spans="1:1" x14ac:dyDescent="0.2">
      <c r="A279" t="str">
        <f>IF(Calculs!A279=0,"","$PFEC,GPwpl,"&amp;Calculs!H279&amp;","&amp;Calculs!O279&amp;","&amp;Calculs!N279&amp;","&amp;Calculs!P279&amp;","&amp;'Import OpenCPN'!AC280&amp;",Y,@"&amp;Symboles!C279&amp;",A,,,,")</f>
        <v/>
      </c>
    </row>
    <row r="280" spans="1:1" x14ac:dyDescent="0.2">
      <c r="A280" t="str">
        <f>IF(Calculs!A280=0,"","$PFEC,GPwpl,"&amp;Calculs!H280&amp;","&amp;Calculs!O280&amp;","&amp;Calculs!N280&amp;","&amp;Calculs!P280&amp;","&amp;'Import OpenCPN'!AC281&amp;",Y,@"&amp;Symboles!C280&amp;",A,,,,")</f>
        <v/>
      </c>
    </row>
    <row r="281" spans="1:1" x14ac:dyDescent="0.2">
      <c r="A281" t="str">
        <f>IF(Calculs!A281=0,"","$PFEC,GPwpl,"&amp;Calculs!H281&amp;","&amp;Calculs!O281&amp;","&amp;Calculs!N281&amp;","&amp;Calculs!P281&amp;","&amp;'Import OpenCPN'!AC282&amp;",Y,@"&amp;Symboles!C281&amp;",A,,,,")</f>
        <v/>
      </c>
    </row>
    <row r="282" spans="1:1" x14ac:dyDescent="0.2">
      <c r="A282" t="str">
        <f>IF(Calculs!A282=0,"","$PFEC,GPwpl,"&amp;Calculs!H282&amp;","&amp;Calculs!O282&amp;","&amp;Calculs!N282&amp;","&amp;Calculs!P282&amp;","&amp;'Import OpenCPN'!AC283&amp;",Y,@"&amp;Symboles!C282&amp;",A,,,,")</f>
        <v/>
      </c>
    </row>
    <row r="283" spans="1:1" x14ac:dyDescent="0.2">
      <c r="A283" t="str">
        <f>IF(Calculs!A283=0,"","$PFEC,GPwpl,"&amp;Calculs!H283&amp;","&amp;Calculs!O283&amp;","&amp;Calculs!N283&amp;","&amp;Calculs!P283&amp;","&amp;'Import OpenCPN'!AC284&amp;",Y,@"&amp;Symboles!C283&amp;",A,,,,")</f>
        <v/>
      </c>
    </row>
    <row r="284" spans="1:1" x14ac:dyDescent="0.2">
      <c r="A284" t="str">
        <f>IF(Calculs!A284=0,"","$PFEC,GPwpl,"&amp;Calculs!H284&amp;","&amp;Calculs!O284&amp;","&amp;Calculs!N284&amp;","&amp;Calculs!P284&amp;","&amp;'Import OpenCPN'!AC285&amp;",Y,@"&amp;Symboles!C284&amp;",A,,,,")</f>
        <v/>
      </c>
    </row>
    <row r="285" spans="1:1" x14ac:dyDescent="0.2">
      <c r="A285" t="str">
        <f>IF(Calculs!A285=0,"","$PFEC,GPwpl,"&amp;Calculs!H285&amp;","&amp;Calculs!O285&amp;","&amp;Calculs!N285&amp;","&amp;Calculs!P285&amp;","&amp;'Import OpenCPN'!AC286&amp;",Y,@"&amp;Symboles!C285&amp;",A,,,,")</f>
        <v/>
      </c>
    </row>
    <row r="286" spans="1:1" x14ac:dyDescent="0.2">
      <c r="A286" t="str">
        <f>IF(Calculs!A286=0,"","$PFEC,GPwpl,"&amp;Calculs!H286&amp;","&amp;Calculs!O286&amp;","&amp;Calculs!N286&amp;","&amp;Calculs!P286&amp;","&amp;'Import OpenCPN'!AC287&amp;",Y,@"&amp;Symboles!C286&amp;",A,,,,")</f>
        <v/>
      </c>
    </row>
    <row r="287" spans="1:1" x14ac:dyDescent="0.2">
      <c r="A287" t="str">
        <f>IF(Calculs!A287=0,"","$PFEC,GPwpl,"&amp;Calculs!H287&amp;","&amp;Calculs!O287&amp;","&amp;Calculs!N287&amp;","&amp;Calculs!P287&amp;","&amp;'Import OpenCPN'!AC288&amp;",Y,@"&amp;Symboles!C287&amp;",A,,,,")</f>
        <v/>
      </c>
    </row>
    <row r="288" spans="1:1" x14ac:dyDescent="0.2">
      <c r="A288" t="str">
        <f>IF(Calculs!A288=0,"","$PFEC,GPwpl,"&amp;Calculs!H288&amp;","&amp;Calculs!O288&amp;","&amp;Calculs!N288&amp;","&amp;Calculs!P288&amp;","&amp;'Import OpenCPN'!AC289&amp;",Y,@"&amp;Symboles!C288&amp;",A,,,,")</f>
        <v/>
      </c>
    </row>
    <row r="289" spans="1:1" x14ac:dyDescent="0.2">
      <c r="A289" t="str">
        <f>IF(Calculs!A289=0,"","$PFEC,GPwpl,"&amp;Calculs!H289&amp;","&amp;Calculs!O289&amp;","&amp;Calculs!N289&amp;","&amp;Calculs!P289&amp;","&amp;'Import OpenCPN'!AC290&amp;",Y,@"&amp;Symboles!C289&amp;",A,,,,")</f>
        <v/>
      </c>
    </row>
    <row r="290" spans="1:1" x14ac:dyDescent="0.2">
      <c r="A290" t="str">
        <f>IF(Calculs!A290=0,"","$PFEC,GPwpl,"&amp;Calculs!H290&amp;","&amp;Calculs!O290&amp;","&amp;Calculs!N290&amp;","&amp;Calculs!P290&amp;","&amp;'Import OpenCPN'!AC291&amp;",Y,@"&amp;Symboles!C290&amp;",A,,,,")</f>
        <v/>
      </c>
    </row>
    <row r="291" spans="1:1" x14ac:dyDescent="0.2">
      <c r="A291" t="str">
        <f>IF(Calculs!A291=0,"","$PFEC,GPwpl,"&amp;Calculs!H291&amp;","&amp;Calculs!O291&amp;","&amp;Calculs!N291&amp;","&amp;Calculs!P291&amp;","&amp;'Import OpenCPN'!AC292&amp;",Y,@"&amp;Symboles!C291&amp;",A,,,,")</f>
        <v/>
      </c>
    </row>
    <row r="292" spans="1:1" x14ac:dyDescent="0.2">
      <c r="A292" t="str">
        <f>IF(Calculs!A292=0,"","$PFEC,GPwpl,"&amp;Calculs!H292&amp;","&amp;Calculs!O292&amp;","&amp;Calculs!N292&amp;","&amp;Calculs!P292&amp;","&amp;'Import OpenCPN'!AC293&amp;",Y,@"&amp;Symboles!C292&amp;",A,,,,")</f>
        <v/>
      </c>
    </row>
    <row r="293" spans="1:1" x14ac:dyDescent="0.2">
      <c r="A293" t="str">
        <f>IF(Calculs!A293=0,"","$PFEC,GPwpl,"&amp;Calculs!H293&amp;","&amp;Calculs!O293&amp;","&amp;Calculs!N293&amp;","&amp;Calculs!P293&amp;","&amp;'Import OpenCPN'!AC294&amp;",Y,@"&amp;Symboles!C293&amp;",A,,,,")</f>
        <v/>
      </c>
    </row>
    <row r="294" spans="1:1" x14ac:dyDescent="0.2">
      <c r="A294" t="str">
        <f>IF(Calculs!A294=0,"","$PFEC,GPwpl,"&amp;Calculs!H294&amp;","&amp;Calculs!O294&amp;","&amp;Calculs!N294&amp;","&amp;Calculs!P294&amp;","&amp;'Import OpenCPN'!AC295&amp;",Y,@"&amp;Symboles!C294&amp;",A,,,,")</f>
        <v/>
      </c>
    </row>
    <row r="295" spans="1:1" x14ac:dyDescent="0.2">
      <c r="A295" t="str">
        <f>IF(Calculs!A295=0,"","$PFEC,GPwpl,"&amp;Calculs!H295&amp;","&amp;Calculs!O295&amp;","&amp;Calculs!N295&amp;","&amp;Calculs!P295&amp;","&amp;'Import OpenCPN'!AC296&amp;",Y,@"&amp;Symboles!C295&amp;",A,,,,")</f>
        <v/>
      </c>
    </row>
    <row r="296" spans="1:1" x14ac:dyDescent="0.2">
      <c r="A296" t="str">
        <f>IF(Calculs!A296=0,"","$PFEC,GPwpl,"&amp;Calculs!H296&amp;","&amp;Calculs!O296&amp;","&amp;Calculs!N296&amp;","&amp;Calculs!P296&amp;","&amp;'Import OpenCPN'!AC297&amp;",Y,@"&amp;Symboles!C296&amp;",A,,,,")</f>
        <v/>
      </c>
    </row>
    <row r="297" spans="1:1" x14ac:dyDescent="0.2">
      <c r="A297" t="str">
        <f>IF(Calculs!A297=0,"","$PFEC,GPwpl,"&amp;Calculs!H297&amp;","&amp;Calculs!O297&amp;","&amp;Calculs!N297&amp;","&amp;Calculs!P297&amp;","&amp;'Import OpenCPN'!AC298&amp;",Y,@"&amp;Symboles!C297&amp;",A,,,,")</f>
        <v/>
      </c>
    </row>
    <row r="298" spans="1:1" x14ac:dyDescent="0.2">
      <c r="A298" t="str">
        <f>IF(Calculs!A298=0,"","$PFEC,GPwpl,"&amp;Calculs!H298&amp;","&amp;Calculs!O298&amp;","&amp;Calculs!N298&amp;","&amp;Calculs!P298&amp;","&amp;'Import OpenCPN'!AC299&amp;",Y,@"&amp;Symboles!C298&amp;",A,,,,")</f>
        <v/>
      </c>
    </row>
    <row r="299" spans="1:1" x14ac:dyDescent="0.2">
      <c r="A299" t="str">
        <f>IF(Calculs!A299=0,"","$PFEC,GPwpl,"&amp;Calculs!H299&amp;","&amp;Calculs!O299&amp;","&amp;Calculs!N299&amp;","&amp;Calculs!P299&amp;","&amp;'Import OpenCPN'!AC300&amp;",Y,@"&amp;Symboles!C299&amp;",A,,,,")</f>
        <v/>
      </c>
    </row>
    <row r="300" spans="1:1" x14ac:dyDescent="0.2">
      <c r="A300" t="str">
        <f>IF(Calculs!A300=0,"","$PFEC,GPwpl,"&amp;Calculs!H300&amp;","&amp;Calculs!O300&amp;","&amp;Calculs!N300&amp;","&amp;Calculs!P300&amp;","&amp;'Import OpenCPN'!AC301&amp;",Y,@"&amp;Symboles!C300&amp;",A,,,,")</f>
        <v/>
      </c>
    </row>
    <row r="301" spans="1:1" x14ac:dyDescent="0.2">
      <c r="A301" t="str">
        <f>IF(Calculs!A301=0,"","$PFEC,GPwpl,"&amp;Calculs!H301&amp;","&amp;Calculs!O301&amp;","&amp;Calculs!N301&amp;","&amp;Calculs!P301&amp;","&amp;'Import OpenCPN'!AC302&amp;",Y,@"&amp;Symboles!C301&amp;",A,,,,")</f>
        <v/>
      </c>
    </row>
    <row r="302" spans="1:1" x14ac:dyDescent="0.2">
      <c r="A302" t="str">
        <f>IF(Calculs!A302=0,"","$PFEC,GPwpl,"&amp;Calculs!H302&amp;","&amp;Calculs!O302&amp;","&amp;Calculs!N302&amp;","&amp;Calculs!P302&amp;","&amp;'Import OpenCPN'!AC303&amp;",Y,@"&amp;Symboles!C302&amp;",A,,,,")</f>
        <v/>
      </c>
    </row>
    <row r="303" spans="1:1" x14ac:dyDescent="0.2">
      <c r="A303" t="str">
        <f>IF(Calculs!A303=0,"","$PFEC,GPwpl,"&amp;Calculs!H303&amp;","&amp;Calculs!O303&amp;","&amp;Calculs!N303&amp;","&amp;Calculs!P303&amp;","&amp;'Import OpenCPN'!AC304&amp;",Y,@"&amp;Symboles!C303&amp;",A,,,,")</f>
        <v/>
      </c>
    </row>
    <row r="304" spans="1:1" x14ac:dyDescent="0.2">
      <c r="A304" t="str">
        <f>IF(Calculs!A304=0,"","$PFEC,GPwpl,"&amp;Calculs!H304&amp;","&amp;Calculs!O304&amp;","&amp;Calculs!N304&amp;","&amp;Calculs!P304&amp;","&amp;'Import OpenCPN'!AC305&amp;",Y,@"&amp;Symboles!C304&amp;",A,,,,")</f>
        <v/>
      </c>
    </row>
    <row r="305" spans="1:1" x14ac:dyDescent="0.2">
      <c r="A305" t="str">
        <f>IF(Calculs!A305=0,"","$PFEC,GPwpl,"&amp;Calculs!H305&amp;","&amp;Calculs!O305&amp;","&amp;Calculs!N305&amp;","&amp;Calculs!P305&amp;","&amp;'Import OpenCPN'!AC306&amp;",Y,@"&amp;Symboles!C305&amp;",A,,,,")</f>
        <v/>
      </c>
    </row>
    <row r="306" spans="1:1" x14ac:dyDescent="0.2">
      <c r="A306" t="str">
        <f>IF(Calculs!A306=0,"","$PFEC,GPwpl,"&amp;Calculs!H306&amp;","&amp;Calculs!O306&amp;","&amp;Calculs!N306&amp;","&amp;Calculs!P306&amp;","&amp;'Import OpenCPN'!AC307&amp;",Y,@"&amp;Symboles!C306&amp;",A,,,,")</f>
        <v/>
      </c>
    </row>
    <row r="307" spans="1:1" x14ac:dyDescent="0.2">
      <c r="A307" t="str">
        <f>IF(Calculs!A307=0,"","$PFEC,GPwpl,"&amp;Calculs!H307&amp;","&amp;Calculs!O307&amp;","&amp;Calculs!N307&amp;","&amp;Calculs!P307&amp;","&amp;'Import OpenCPN'!AC308&amp;",Y,@"&amp;Symboles!C307&amp;",A,,,,")</f>
        <v/>
      </c>
    </row>
    <row r="308" spans="1:1" x14ac:dyDescent="0.2">
      <c r="A308" t="str">
        <f>IF(Calculs!A308=0,"","$PFEC,GPwpl,"&amp;Calculs!H308&amp;","&amp;Calculs!O308&amp;","&amp;Calculs!N308&amp;","&amp;Calculs!P308&amp;","&amp;'Import OpenCPN'!AC309&amp;",Y,@"&amp;Symboles!C308&amp;",A,,,,")</f>
        <v/>
      </c>
    </row>
    <row r="309" spans="1:1" x14ac:dyDescent="0.2">
      <c r="A309" t="str">
        <f>IF(Calculs!A309=0,"","$PFEC,GPwpl,"&amp;Calculs!H309&amp;","&amp;Calculs!O309&amp;","&amp;Calculs!N309&amp;","&amp;Calculs!P309&amp;","&amp;'Import OpenCPN'!AC310&amp;",Y,@"&amp;Symboles!C309&amp;",A,,,,")</f>
        <v/>
      </c>
    </row>
    <row r="310" spans="1:1" x14ac:dyDescent="0.2">
      <c r="A310" t="str">
        <f>IF(Calculs!A310=0,"","$PFEC,GPwpl,"&amp;Calculs!H310&amp;","&amp;Calculs!O310&amp;","&amp;Calculs!N310&amp;","&amp;Calculs!P310&amp;","&amp;'Import OpenCPN'!AC311&amp;",Y,@"&amp;Symboles!C310&amp;",A,,,,")</f>
        <v/>
      </c>
    </row>
    <row r="311" spans="1:1" x14ac:dyDescent="0.2">
      <c r="A311" t="str">
        <f>IF(Calculs!A311=0,"","$PFEC,GPwpl,"&amp;Calculs!H311&amp;","&amp;Calculs!O311&amp;","&amp;Calculs!N311&amp;","&amp;Calculs!P311&amp;","&amp;'Import OpenCPN'!AC312&amp;",Y,@"&amp;Symboles!C311&amp;",A,,,,")</f>
        <v/>
      </c>
    </row>
    <row r="312" spans="1:1" x14ac:dyDescent="0.2">
      <c r="A312" t="str">
        <f>IF(Calculs!A312=0,"","$PFEC,GPwpl,"&amp;Calculs!H312&amp;","&amp;Calculs!O312&amp;","&amp;Calculs!N312&amp;","&amp;Calculs!P312&amp;","&amp;'Import OpenCPN'!AC313&amp;",Y,@"&amp;Symboles!C312&amp;",A,,,,")</f>
        <v/>
      </c>
    </row>
    <row r="313" spans="1:1" x14ac:dyDescent="0.2">
      <c r="A313" t="str">
        <f>IF(Calculs!A313=0,"","$PFEC,GPwpl,"&amp;Calculs!H313&amp;","&amp;Calculs!O313&amp;","&amp;Calculs!N313&amp;","&amp;Calculs!P313&amp;","&amp;'Import OpenCPN'!AC314&amp;",Y,@"&amp;Symboles!C313&amp;",A,,,,")</f>
        <v/>
      </c>
    </row>
    <row r="314" spans="1:1" x14ac:dyDescent="0.2">
      <c r="A314" t="str">
        <f>IF(Calculs!A314=0,"","$PFEC,GPwpl,"&amp;Calculs!H314&amp;","&amp;Calculs!O314&amp;","&amp;Calculs!N314&amp;","&amp;Calculs!P314&amp;","&amp;'Import OpenCPN'!AC315&amp;",Y,@"&amp;Symboles!C314&amp;",A,,,,")</f>
        <v/>
      </c>
    </row>
    <row r="315" spans="1:1" x14ac:dyDescent="0.2">
      <c r="A315" t="str">
        <f>IF(Calculs!A315=0,"","$PFEC,GPwpl,"&amp;Calculs!H315&amp;","&amp;Calculs!O315&amp;","&amp;Calculs!N315&amp;","&amp;Calculs!P315&amp;","&amp;'Import OpenCPN'!AC316&amp;",Y,@"&amp;Symboles!C315&amp;",A,,,,")</f>
        <v/>
      </c>
    </row>
    <row r="316" spans="1:1" x14ac:dyDescent="0.2">
      <c r="A316" t="str">
        <f>IF(Calculs!A316=0,"","$PFEC,GPwpl,"&amp;Calculs!H316&amp;","&amp;Calculs!O316&amp;","&amp;Calculs!N316&amp;","&amp;Calculs!P316&amp;","&amp;'Import OpenCPN'!AC317&amp;",Y,@"&amp;Symboles!C316&amp;",A,,,,")</f>
        <v/>
      </c>
    </row>
    <row r="317" spans="1:1" x14ac:dyDescent="0.2">
      <c r="A317" t="str">
        <f>IF(Calculs!A317=0,"","$PFEC,GPwpl,"&amp;Calculs!H317&amp;","&amp;Calculs!O317&amp;","&amp;Calculs!N317&amp;","&amp;Calculs!P317&amp;","&amp;'Import OpenCPN'!AC318&amp;",Y,@"&amp;Symboles!C317&amp;",A,,,,")</f>
        <v/>
      </c>
    </row>
    <row r="318" spans="1:1" x14ac:dyDescent="0.2">
      <c r="A318" t="str">
        <f>IF(Calculs!A318=0,"","$PFEC,GPwpl,"&amp;Calculs!H318&amp;","&amp;Calculs!O318&amp;","&amp;Calculs!N318&amp;","&amp;Calculs!P318&amp;","&amp;'Import OpenCPN'!AC319&amp;",Y,@"&amp;Symboles!C318&amp;",A,,,,")</f>
        <v/>
      </c>
    </row>
    <row r="319" spans="1:1" x14ac:dyDescent="0.2">
      <c r="A319" t="str">
        <f>IF(Calculs!A319=0,"","$PFEC,GPwpl,"&amp;Calculs!H319&amp;","&amp;Calculs!O319&amp;","&amp;Calculs!N319&amp;","&amp;Calculs!P319&amp;","&amp;'Import OpenCPN'!AC320&amp;",Y,@"&amp;Symboles!C319&amp;",A,,,,")</f>
        <v/>
      </c>
    </row>
    <row r="320" spans="1:1" x14ac:dyDescent="0.2">
      <c r="A320" t="str">
        <f>IF(Calculs!A320=0,"","$PFEC,GPwpl,"&amp;Calculs!H320&amp;","&amp;Calculs!O320&amp;","&amp;Calculs!N320&amp;","&amp;Calculs!P320&amp;","&amp;'Import OpenCPN'!AC321&amp;",Y,@"&amp;Symboles!C320&amp;",A,,,,")</f>
        <v/>
      </c>
    </row>
    <row r="321" spans="1:1" x14ac:dyDescent="0.2">
      <c r="A321" t="str">
        <f>IF(Calculs!A321=0,"","$PFEC,GPwpl,"&amp;Calculs!H321&amp;","&amp;Calculs!O321&amp;","&amp;Calculs!N321&amp;","&amp;Calculs!P321&amp;","&amp;'Import OpenCPN'!AC322&amp;",Y,@"&amp;Symboles!C321&amp;",A,,,,")</f>
        <v/>
      </c>
    </row>
    <row r="322" spans="1:1" x14ac:dyDescent="0.2">
      <c r="A322" t="str">
        <f>IF(Calculs!A322=0,"","$PFEC,GPwpl,"&amp;Calculs!H322&amp;","&amp;Calculs!O322&amp;","&amp;Calculs!N322&amp;","&amp;Calculs!P322&amp;","&amp;'Import OpenCPN'!AC323&amp;",Y,@"&amp;Symboles!C322&amp;",A,,,,")</f>
        <v/>
      </c>
    </row>
    <row r="323" spans="1:1" x14ac:dyDescent="0.2">
      <c r="A323" t="str">
        <f>IF(Calculs!A323=0,"","$PFEC,GPwpl,"&amp;Calculs!H323&amp;","&amp;Calculs!O323&amp;","&amp;Calculs!N323&amp;","&amp;Calculs!P323&amp;","&amp;'Import OpenCPN'!AC324&amp;",Y,@"&amp;Symboles!C323&amp;",A,,,,")</f>
        <v/>
      </c>
    </row>
    <row r="324" spans="1:1" x14ac:dyDescent="0.2">
      <c r="A324" t="str">
        <f>IF(Calculs!A324=0,"","$PFEC,GPwpl,"&amp;Calculs!H324&amp;","&amp;Calculs!O324&amp;","&amp;Calculs!N324&amp;","&amp;Calculs!P324&amp;","&amp;'Import OpenCPN'!AC325&amp;",Y,@"&amp;Symboles!C324&amp;",A,,,,")</f>
        <v/>
      </c>
    </row>
    <row r="325" spans="1:1" x14ac:dyDescent="0.2">
      <c r="A325" t="str">
        <f>IF(Calculs!A325=0,"","$PFEC,GPwpl,"&amp;Calculs!H325&amp;","&amp;Calculs!O325&amp;","&amp;Calculs!N325&amp;","&amp;Calculs!P325&amp;","&amp;'Import OpenCPN'!AC326&amp;",Y,@"&amp;Symboles!C325&amp;",A,,,,")</f>
        <v/>
      </c>
    </row>
    <row r="326" spans="1:1" x14ac:dyDescent="0.2">
      <c r="A326" t="str">
        <f>IF(Calculs!A326=0,"","$PFEC,GPwpl,"&amp;Calculs!H326&amp;","&amp;Calculs!O326&amp;","&amp;Calculs!N326&amp;","&amp;Calculs!P326&amp;","&amp;'Import OpenCPN'!AC327&amp;",Y,@"&amp;Symboles!C326&amp;",A,,,,")</f>
        <v/>
      </c>
    </row>
    <row r="327" spans="1:1" x14ac:dyDescent="0.2">
      <c r="A327" t="str">
        <f>IF(Calculs!A327=0,"","$PFEC,GPwpl,"&amp;Calculs!H327&amp;","&amp;Calculs!O327&amp;","&amp;Calculs!N327&amp;","&amp;Calculs!P327&amp;","&amp;'Import OpenCPN'!AC328&amp;",Y,@"&amp;Symboles!C327&amp;",A,,,,")</f>
        <v/>
      </c>
    </row>
    <row r="328" spans="1:1" x14ac:dyDescent="0.2">
      <c r="A328" t="str">
        <f>IF(Calculs!A328=0,"","$PFEC,GPwpl,"&amp;Calculs!H328&amp;","&amp;Calculs!O328&amp;","&amp;Calculs!N328&amp;","&amp;Calculs!P328&amp;","&amp;'Import OpenCPN'!AC329&amp;",Y,@"&amp;Symboles!C328&amp;",A,,,,")</f>
        <v/>
      </c>
    </row>
    <row r="329" spans="1:1" x14ac:dyDescent="0.2">
      <c r="A329" t="str">
        <f>IF(Calculs!A329=0,"","$PFEC,GPwpl,"&amp;Calculs!H329&amp;","&amp;Calculs!O329&amp;","&amp;Calculs!N329&amp;","&amp;Calculs!P329&amp;","&amp;'Import OpenCPN'!AC330&amp;",Y,@"&amp;Symboles!C329&amp;",A,,,,")</f>
        <v/>
      </c>
    </row>
    <row r="330" spans="1:1" x14ac:dyDescent="0.2">
      <c r="A330" t="str">
        <f>IF(Calculs!A330=0,"","$PFEC,GPwpl,"&amp;Calculs!H330&amp;","&amp;Calculs!O330&amp;","&amp;Calculs!N330&amp;","&amp;Calculs!P330&amp;","&amp;'Import OpenCPN'!AC331&amp;",Y,@"&amp;Symboles!C330&amp;",A,,,,")</f>
        <v/>
      </c>
    </row>
    <row r="331" spans="1:1" x14ac:dyDescent="0.2">
      <c r="A331" t="str">
        <f>IF(Calculs!A331=0,"","$PFEC,GPwpl,"&amp;Calculs!H331&amp;","&amp;Calculs!O331&amp;","&amp;Calculs!N331&amp;","&amp;Calculs!P331&amp;","&amp;'Import OpenCPN'!AC332&amp;",Y,@"&amp;Symboles!C331&amp;",A,,,,")</f>
        <v/>
      </c>
    </row>
    <row r="332" spans="1:1" x14ac:dyDescent="0.2">
      <c r="A332" t="str">
        <f>IF(Calculs!A332=0,"","$PFEC,GPwpl,"&amp;Calculs!H332&amp;","&amp;Calculs!O332&amp;","&amp;Calculs!N332&amp;","&amp;Calculs!P332&amp;","&amp;'Import OpenCPN'!AC333&amp;",Y,@"&amp;Symboles!C332&amp;",A,,,,")</f>
        <v/>
      </c>
    </row>
    <row r="333" spans="1:1" x14ac:dyDescent="0.2">
      <c r="A333" t="str">
        <f>IF(Calculs!A333=0,"","$PFEC,GPwpl,"&amp;Calculs!H333&amp;","&amp;Calculs!O333&amp;","&amp;Calculs!N333&amp;","&amp;Calculs!P333&amp;","&amp;'Import OpenCPN'!AC334&amp;",Y,@"&amp;Symboles!C333&amp;",A,,,,")</f>
        <v/>
      </c>
    </row>
    <row r="334" spans="1:1" x14ac:dyDescent="0.2">
      <c r="A334" t="str">
        <f>IF(Calculs!A334=0,"","$PFEC,GPwpl,"&amp;Calculs!H334&amp;","&amp;Calculs!O334&amp;","&amp;Calculs!N334&amp;","&amp;Calculs!P334&amp;","&amp;'Import OpenCPN'!AC335&amp;",Y,@"&amp;Symboles!C334&amp;",A,,,,")</f>
        <v/>
      </c>
    </row>
    <row r="335" spans="1:1" x14ac:dyDescent="0.2">
      <c r="A335" t="str">
        <f>IF(Calculs!A335=0,"","$PFEC,GPwpl,"&amp;Calculs!H335&amp;","&amp;Calculs!O335&amp;","&amp;Calculs!N335&amp;","&amp;Calculs!P335&amp;","&amp;'Import OpenCPN'!AC336&amp;",Y,@"&amp;Symboles!C335&amp;",A,,,,")</f>
        <v/>
      </c>
    </row>
    <row r="336" spans="1:1" x14ac:dyDescent="0.2">
      <c r="A336" t="str">
        <f>IF(Calculs!A336=0,"","$PFEC,GPwpl,"&amp;Calculs!H336&amp;","&amp;Calculs!O336&amp;","&amp;Calculs!N336&amp;","&amp;Calculs!P336&amp;","&amp;'Import OpenCPN'!AC337&amp;",Y,@"&amp;Symboles!C336&amp;",A,,,,")</f>
        <v/>
      </c>
    </row>
    <row r="337" spans="1:1" x14ac:dyDescent="0.2">
      <c r="A337" t="str">
        <f>IF(Calculs!A337=0,"","$PFEC,GPwpl,"&amp;Calculs!H337&amp;","&amp;Calculs!O337&amp;","&amp;Calculs!N337&amp;","&amp;Calculs!P337&amp;","&amp;'Import OpenCPN'!AC338&amp;",Y,@"&amp;Symboles!C337&amp;",A,,,,")</f>
        <v/>
      </c>
    </row>
    <row r="338" spans="1:1" x14ac:dyDescent="0.2">
      <c r="A338" t="str">
        <f>IF(Calculs!A338=0,"","$PFEC,GPwpl,"&amp;Calculs!H338&amp;","&amp;Calculs!O338&amp;","&amp;Calculs!N338&amp;","&amp;Calculs!P338&amp;","&amp;'Import OpenCPN'!AC339&amp;",Y,@"&amp;Symboles!C338&amp;",A,,,,")</f>
        <v/>
      </c>
    </row>
    <row r="339" spans="1:1" x14ac:dyDescent="0.2">
      <c r="A339" t="str">
        <f>IF(Calculs!A339=0,"","$PFEC,GPwpl,"&amp;Calculs!H339&amp;","&amp;Calculs!O339&amp;","&amp;Calculs!N339&amp;","&amp;Calculs!P339&amp;","&amp;'Import OpenCPN'!AC340&amp;",Y,@"&amp;Symboles!C339&amp;",A,,,,")</f>
        <v/>
      </c>
    </row>
    <row r="340" spans="1:1" x14ac:dyDescent="0.2">
      <c r="A340" t="str">
        <f>IF(Calculs!A340=0,"","$PFEC,GPwpl,"&amp;Calculs!H340&amp;","&amp;Calculs!O340&amp;","&amp;Calculs!N340&amp;","&amp;Calculs!P340&amp;","&amp;'Import OpenCPN'!AC341&amp;",Y,@"&amp;Symboles!C340&amp;",A,,,,")</f>
        <v/>
      </c>
    </row>
    <row r="341" spans="1:1" x14ac:dyDescent="0.2">
      <c r="A341" t="str">
        <f>IF(Calculs!A341=0,"","$PFEC,GPwpl,"&amp;Calculs!H341&amp;","&amp;Calculs!O341&amp;","&amp;Calculs!N341&amp;","&amp;Calculs!P341&amp;","&amp;'Import OpenCPN'!AC342&amp;",Y,@"&amp;Symboles!C341&amp;",A,,,,")</f>
        <v/>
      </c>
    </row>
    <row r="342" spans="1:1" x14ac:dyDescent="0.2">
      <c r="A342" t="str">
        <f>IF(Calculs!A342=0,"","$PFEC,GPwpl,"&amp;Calculs!H342&amp;","&amp;Calculs!O342&amp;","&amp;Calculs!N342&amp;","&amp;Calculs!P342&amp;","&amp;'Import OpenCPN'!AC343&amp;",Y,@"&amp;Symboles!C342&amp;",A,,,,")</f>
        <v/>
      </c>
    </row>
    <row r="343" spans="1:1" x14ac:dyDescent="0.2">
      <c r="A343" t="str">
        <f>IF(Calculs!A343=0,"","$PFEC,GPwpl,"&amp;Calculs!H343&amp;","&amp;Calculs!O343&amp;","&amp;Calculs!N343&amp;","&amp;Calculs!P343&amp;","&amp;'Import OpenCPN'!AC344&amp;",Y,@"&amp;Symboles!C343&amp;",A,,,,")</f>
        <v/>
      </c>
    </row>
    <row r="344" spans="1:1" x14ac:dyDescent="0.2">
      <c r="A344" t="str">
        <f>IF(Calculs!A344=0,"","$PFEC,GPwpl,"&amp;Calculs!H344&amp;","&amp;Calculs!O344&amp;","&amp;Calculs!N344&amp;","&amp;Calculs!P344&amp;","&amp;'Import OpenCPN'!AC345&amp;",Y,@"&amp;Symboles!C344&amp;",A,,,,")</f>
        <v/>
      </c>
    </row>
    <row r="345" spans="1:1" x14ac:dyDescent="0.2">
      <c r="A345" t="str">
        <f>IF(Calculs!A345=0,"","$PFEC,GPwpl,"&amp;Calculs!H345&amp;","&amp;Calculs!O345&amp;","&amp;Calculs!N345&amp;","&amp;Calculs!P345&amp;","&amp;'Import OpenCPN'!AC346&amp;",Y,@"&amp;Symboles!C345&amp;",A,,,,")</f>
        <v/>
      </c>
    </row>
    <row r="346" spans="1:1" x14ac:dyDescent="0.2">
      <c r="A346" t="str">
        <f>IF(Calculs!A346=0,"","$PFEC,GPwpl,"&amp;Calculs!H346&amp;","&amp;Calculs!O346&amp;","&amp;Calculs!N346&amp;","&amp;Calculs!P346&amp;","&amp;'Import OpenCPN'!AC347&amp;",Y,@"&amp;Symboles!C346&amp;",A,,,,")</f>
        <v/>
      </c>
    </row>
    <row r="347" spans="1:1" x14ac:dyDescent="0.2">
      <c r="A347" t="str">
        <f>IF(Calculs!A347=0,"","$PFEC,GPwpl,"&amp;Calculs!H347&amp;","&amp;Calculs!O347&amp;","&amp;Calculs!N347&amp;","&amp;Calculs!P347&amp;","&amp;'Import OpenCPN'!AC348&amp;",Y,@"&amp;Symboles!C347&amp;",A,,,,")</f>
        <v/>
      </c>
    </row>
    <row r="348" spans="1:1" x14ac:dyDescent="0.2">
      <c r="A348" t="str">
        <f>IF(Calculs!A348=0,"","$PFEC,GPwpl,"&amp;Calculs!H348&amp;","&amp;Calculs!O348&amp;","&amp;Calculs!N348&amp;","&amp;Calculs!P348&amp;","&amp;'Import OpenCPN'!AC349&amp;",Y,@"&amp;Symboles!C348&amp;",A,,,,")</f>
        <v/>
      </c>
    </row>
    <row r="349" spans="1:1" x14ac:dyDescent="0.2">
      <c r="A349" t="str">
        <f>IF(Calculs!A349=0,"","$PFEC,GPwpl,"&amp;Calculs!H349&amp;","&amp;Calculs!O349&amp;","&amp;Calculs!N349&amp;","&amp;Calculs!P349&amp;","&amp;'Import OpenCPN'!AC350&amp;",Y,@"&amp;Symboles!C349&amp;",A,,,,")</f>
        <v/>
      </c>
    </row>
    <row r="350" spans="1:1" x14ac:dyDescent="0.2">
      <c r="A350" t="str">
        <f>IF(Calculs!A350=0,"","$PFEC,GPwpl,"&amp;Calculs!H350&amp;","&amp;Calculs!O350&amp;","&amp;Calculs!N350&amp;","&amp;Calculs!P350&amp;","&amp;'Import OpenCPN'!AC351&amp;",Y,@"&amp;Symboles!C350&amp;",A,,,,")</f>
        <v/>
      </c>
    </row>
    <row r="351" spans="1:1" x14ac:dyDescent="0.2">
      <c r="A351" t="str">
        <f>IF(Calculs!A351=0,"","$PFEC,GPwpl,"&amp;Calculs!H351&amp;","&amp;Calculs!O351&amp;","&amp;Calculs!N351&amp;","&amp;Calculs!P351&amp;","&amp;'Import OpenCPN'!AC352&amp;",Y,@"&amp;Symboles!C351&amp;",A,,,,")</f>
        <v/>
      </c>
    </row>
    <row r="352" spans="1:1" x14ac:dyDescent="0.2">
      <c r="A352" t="str">
        <f>IF(Calculs!A352=0,"","$PFEC,GPwpl,"&amp;Calculs!H352&amp;","&amp;Calculs!O352&amp;","&amp;Calculs!N352&amp;","&amp;Calculs!P352&amp;","&amp;'Import OpenCPN'!AC353&amp;",Y,@"&amp;Symboles!C352&amp;",A,,,,")</f>
        <v/>
      </c>
    </row>
    <row r="353" spans="1:1" x14ac:dyDescent="0.2">
      <c r="A353" t="str">
        <f>IF(Calculs!A353=0,"","$PFEC,GPwpl,"&amp;Calculs!H353&amp;","&amp;Calculs!O353&amp;","&amp;Calculs!N353&amp;","&amp;Calculs!P353&amp;","&amp;'Import OpenCPN'!AC354&amp;",Y,@"&amp;Symboles!C353&amp;",A,,,,")</f>
        <v/>
      </c>
    </row>
    <row r="354" spans="1:1" x14ac:dyDescent="0.2">
      <c r="A354" t="str">
        <f>IF(Calculs!A354=0,"","$PFEC,GPwpl,"&amp;Calculs!H354&amp;","&amp;Calculs!O354&amp;","&amp;Calculs!N354&amp;","&amp;Calculs!P354&amp;","&amp;'Import OpenCPN'!AC355&amp;",Y,@"&amp;Symboles!C354&amp;",A,,,,")</f>
        <v/>
      </c>
    </row>
    <row r="355" spans="1:1" x14ac:dyDescent="0.2">
      <c r="A355" t="str">
        <f>IF(Calculs!A355=0,"","$PFEC,GPwpl,"&amp;Calculs!H355&amp;","&amp;Calculs!O355&amp;","&amp;Calculs!N355&amp;","&amp;Calculs!P355&amp;","&amp;'Import OpenCPN'!AC356&amp;",Y,@"&amp;Symboles!C355&amp;",A,,,,")</f>
        <v/>
      </c>
    </row>
    <row r="356" spans="1:1" x14ac:dyDescent="0.2">
      <c r="A356" t="str">
        <f>IF(Calculs!A356=0,"","$PFEC,GPwpl,"&amp;Calculs!H356&amp;","&amp;Calculs!O356&amp;","&amp;Calculs!N356&amp;","&amp;Calculs!P356&amp;","&amp;'Import OpenCPN'!AC357&amp;",Y,@"&amp;Symboles!C356&amp;",A,,,,")</f>
        <v/>
      </c>
    </row>
    <row r="357" spans="1:1" x14ac:dyDescent="0.2">
      <c r="A357" t="str">
        <f>IF(Calculs!A357=0,"","$PFEC,GPwpl,"&amp;Calculs!H357&amp;","&amp;Calculs!O357&amp;","&amp;Calculs!N357&amp;","&amp;Calculs!P357&amp;","&amp;'Import OpenCPN'!AC358&amp;",Y,@"&amp;Symboles!C357&amp;",A,,,,")</f>
        <v/>
      </c>
    </row>
    <row r="358" spans="1:1" x14ac:dyDescent="0.2">
      <c r="A358" t="str">
        <f>IF(Calculs!A358=0,"","$PFEC,GPwpl,"&amp;Calculs!H358&amp;","&amp;Calculs!O358&amp;","&amp;Calculs!N358&amp;","&amp;Calculs!P358&amp;","&amp;'Import OpenCPN'!AC359&amp;",Y,@"&amp;Symboles!C358&amp;",A,,,,")</f>
        <v/>
      </c>
    </row>
    <row r="359" spans="1:1" x14ac:dyDescent="0.2">
      <c r="A359" t="str">
        <f>IF(Calculs!A359=0,"","$PFEC,GPwpl,"&amp;Calculs!H359&amp;","&amp;Calculs!O359&amp;","&amp;Calculs!N359&amp;","&amp;Calculs!P359&amp;","&amp;'Import OpenCPN'!AC360&amp;",Y,@"&amp;Symboles!C359&amp;",A,,,,")</f>
        <v/>
      </c>
    </row>
    <row r="360" spans="1:1" x14ac:dyDescent="0.2">
      <c r="A360" t="str">
        <f>IF(Calculs!A360=0,"","$PFEC,GPwpl,"&amp;Calculs!H360&amp;","&amp;Calculs!O360&amp;","&amp;Calculs!N360&amp;","&amp;Calculs!P360&amp;","&amp;'Import OpenCPN'!AC361&amp;",Y,@"&amp;Symboles!C360&amp;",A,,,,")</f>
        <v/>
      </c>
    </row>
    <row r="361" spans="1:1" x14ac:dyDescent="0.2">
      <c r="A361" t="str">
        <f>IF(Calculs!A361=0,"","$PFEC,GPwpl,"&amp;Calculs!H361&amp;","&amp;Calculs!O361&amp;","&amp;Calculs!N361&amp;","&amp;Calculs!P361&amp;","&amp;'Import OpenCPN'!AC362&amp;",Y,@"&amp;Symboles!C361&amp;",A,,,,")</f>
        <v/>
      </c>
    </row>
    <row r="362" spans="1:1" x14ac:dyDescent="0.2">
      <c r="A362" t="str">
        <f>IF(Calculs!A362=0,"","$PFEC,GPwpl,"&amp;Calculs!H362&amp;","&amp;Calculs!O362&amp;","&amp;Calculs!N362&amp;","&amp;Calculs!P362&amp;","&amp;'Import OpenCPN'!AC363&amp;",Y,@"&amp;Symboles!C362&amp;",A,,,,")</f>
        <v/>
      </c>
    </row>
    <row r="363" spans="1:1" x14ac:dyDescent="0.2">
      <c r="A363" t="str">
        <f>IF(Calculs!A363=0,"","$PFEC,GPwpl,"&amp;Calculs!H363&amp;","&amp;Calculs!O363&amp;","&amp;Calculs!N363&amp;","&amp;Calculs!P363&amp;","&amp;'Import OpenCPN'!AC364&amp;",Y,@"&amp;Symboles!C363&amp;",A,,,,")</f>
        <v/>
      </c>
    </row>
    <row r="364" spans="1:1" x14ac:dyDescent="0.2">
      <c r="A364" t="str">
        <f>IF(Calculs!A364=0,"","$PFEC,GPwpl,"&amp;Calculs!H364&amp;","&amp;Calculs!O364&amp;","&amp;Calculs!N364&amp;","&amp;Calculs!P364&amp;","&amp;'Import OpenCPN'!AC365&amp;",Y,@"&amp;Symboles!C364&amp;",A,,,,")</f>
        <v/>
      </c>
    </row>
    <row r="365" spans="1:1" x14ac:dyDescent="0.2">
      <c r="A365" t="str">
        <f>IF(Calculs!A365=0,"","$PFEC,GPwpl,"&amp;Calculs!H365&amp;","&amp;Calculs!O365&amp;","&amp;Calculs!N365&amp;","&amp;Calculs!P365&amp;","&amp;'Import OpenCPN'!AC366&amp;",Y,@"&amp;Symboles!C365&amp;",A,,,,")</f>
        <v/>
      </c>
    </row>
    <row r="366" spans="1:1" x14ac:dyDescent="0.2">
      <c r="A366" t="str">
        <f>IF(Calculs!A366=0,"","$PFEC,GPwpl,"&amp;Calculs!H366&amp;","&amp;Calculs!O366&amp;","&amp;Calculs!N366&amp;","&amp;Calculs!P366&amp;","&amp;'Import OpenCPN'!AC367&amp;",Y,@"&amp;Symboles!C366&amp;",A,,,,")</f>
        <v/>
      </c>
    </row>
    <row r="367" spans="1:1" x14ac:dyDescent="0.2">
      <c r="A367" t="str">
        <f>IF(Calculs!A367=0,"","$PFEC,GPwpl,"&amp;Calculs!H367&amp;","&amp;Calculs!O367&amp;","&amp;Calculs!N367&amp;","&amp;Calculs!P367&amp;","&amp;'Import OpenCPN'!AC368&amp;",Y,@"&amp;Symboles!C367&amp;",A,,,,")</f>
        <v/>
      </c>
    </row>
    <row r="368" spans="1:1" x14ac:dyDescent="0.2">
      <c r="A368" t="str">
        <f>IF(Calculs!A368=0,"","$PFEC,GPwpl,"&amp;Calculs!H368&amp;","&amp;Calculs!O368&amp;","&amp;Calculs!N368&amp;","&amp;Calculs!P368&amp;","&amp;'Import OpenCPN'!AC369&amp;",Y,@"&amp;Symboles!C368&amp;",A,,,,")</f>
        <v/>
      </c>
    </row>
    <row r="369" spans="1:1" x14ac:dyDescent="0.2">
      <c r="A369" t="str">
        <f>IF(Calculs!A369=0,"","$PFEC,GPwpl,"&amp;Calculs!H369&amp;","&amp;Calculs!O369&amp;","&amp;Calculs!N369&amp;","&amp;Calculs!P369&amp;","&amp;'Import OpenCPN'!AC370&amp;",Y,@"&amp;Symboles!C369&amp;",A,,,,")</f>
        <v/>
      </c>
    </row>
    <row r="370" spans="1:1" x14ac:dyDescent="0.2">
      <c r="A370" t="str">
        <f>IF(Calculs!A370=0,"","$PFEC,GPwpl,"&amp;Calculs!H370&amp;","&amp;Calculs!O370&amp;","&amp;Calculs!N370&amp;","&amp;Calculs!P370&amp;","&amp;'Import OpenCPN'!AC371&amp;",Y,@"&amp;Symboles!C370&amp;",A,,,,")</f>
        <v/>
      </c>
    </row>
    <row r="371" spans="1:1" x14ac:dyDescent="0.2">
      <c r="A371" t="str">
        <f>IF(Calculs!A371=0,"","$PFEC,GPwpl,"&amp;Calculs!H371&amp;","&amp;Calculs!O371&amp;","&amp;Calculs!N371&amp;","&amp;Calculs!P371&amp;","&amp;'Import OpenCPN'!AC372&amp;",Y,@"&amp;Symboles!C371&amp;",A,,,,")</f>
        <v/>
      </c>
    </row>
    <row r="372" spans="1:1" x14ac:dyDescent="0.2">
      <c r="A372" t="str">
        <f>IF(Calculs!A372=0,"","$PFEC,GPwpl,"&amp;Calculs!H372&amp;","&amp;Calculs!O372&amp;","&amp;Calculs!N372&amp;","&amp;Calculs!P372&amp;","&amp;'Import OpenCPN'!AC373&amp;",Y,@"&amp;Symboles!C372&amp;",A,,,,")</f>
        <v/>
      </c>
    </row>
    <row r="373" spans="1:1" x14ac:dyDescent="0.2">
      <c r="A373" t="str">
        <f>IF(Calculs!A373=0,"","$PFEC,GPwpl,"&amp;Calculs!H373&amp;","&amp;Calculs!O373&amp;","&amp;Calculs!N373&amp;","&amp;Calculs!P373&amp;","&amp;'Import OpenCPN'!AC374&amp;",Y,@"&amp;Symboles!C373&amp;",A,,,,")</f>
        <v/>
      </c>
    </row>
    <row r="374" spans="1:1" x14ac:dyDescent="0.2">
      <c r="A374" t="str">
        <f>IF(Calculs!A374=0,"","$PFEC,GPwpl,"&amp;Calculs!H374&amp;","&amp;Calculs!O374&amp;","&amp;Calculs!N374&amp;","&amp;Calculs!P374&amp;","&amp;'Import OpenCPN'!AC375&amp;",Y,@"&amp;Symboles!C374&amp;",A,,,,")</f>
        <v/>
      </c>
    </row>
    <row r="375" spans="1:1" x14ac:dyDescent="0.2">
      <c r="A375" t="str">
        <f>IF(Calculs!A375=0,"","$PFEC,GPwpl,"&amp;Calculs!H375&amp;","&amp;Calculs!O375&amp;","&amp;Calculs!N375&amp;","&amp;Calculs!P375&amp;","&amp;'Import OpenCPN'!AC376&amp;",Y,@"&amp;Symboles!C375&amp;",A,,,,")</f>
        <v/>
      </c>
    </row>
    <row r="376" spans="1:1" x14ac:dyDescent="0.2">
      <c r="A376" t="str">
        <f>IF(Calculs!A376=0,"","$PFEC,GPwpl,"&amp;Calculs!H376&amp;","&amp;Calculs!O376&amp;","&amp;Calculs!N376&amp;","&amp;Calculs!P376&amp;","&amp;'Import OpenCPN'!AC377&amp;",Y,@"&amp;Symboles!C376&amp;",A,,,,")</f>
        <v/>
      </c>
    </row>
    <row r="377" spans="1:1" x14ac:dyDescent="0.2">
      <c r="A377" t="str">
        <f>IF(Calculs!A377=0,"","$PFEC,GPwpl,"&amp;Calculs!H377&amp;","&amp;Calculs!O377&amp;","&amp;Calculs!N377&amp;","&amp;Calculs!P377&amp;","&amp;'Import OpenCPN'!AC378&amp;",Y,@"&amp;Symboles!C377&amp;",A,,,,")</f>
        <v/>
      </c>
    </row>
    <row r="378" spans="1:1" x14ac:dyDescent="0.2">
      <c r="A378" t="str">
        <f>IF(Calculs!A378=0,"","$PFEC,GPwpl,"&amp;Calculs!H378&amp;","&amp;Calculs!O378&amp;","&amp;Calculs!N378&amp;","&amp;Calculs!P378&amp;","&amp;'Import OpenCPN'!AC379&amp;",Y,@"&amp;Symboles!C378&amp;",A,,,,")</f>
        <v/>
      </c>
    </row>
    <row r="379" spans="1:1" x14ac:dyDescent="0.2">
      <c r="A379" t="str">
        <f>IF(Calculs!A379=0,"","$PFEC,GPwpl,"&amp;Calculs!H379&amp;","&amp;Calculs!O379&amp;","&amp;Calculs!N379&amp;","&amp;Calculs!P379&amp;","&amp;'Import OpenCPN'!AC380&amp;",Y,@"&amp;Symboles!C379&amp;",A,,,,")</f>
        <v/>
      </c>
    </row>
    <row r="380" spans="1:1" x14ac:dyDescent="0.2">
      <c r="A380" t="str">
        <f>IF(Calculs!A380=0,"","$PFEC,GPwpl,"&amp;Calculs!H380&amp;","&amp;Calculs!O380&amp;","&amp;Calculs!N380&amp;","&amp;Calculs!P380&amp;","&amp;'Import OpenCPN'!AC381&amp;",Y,@"&amp;Symboles!C380&amp;",A,,,,")</f>
        <v/>
      </c>
    </row>
    <row r="381" spans="1:1" x14ac:dyDescent="0.2">
      <c r="A381" t="str">
        <f>IF(Calculs!A381=0,"","$PFEC,GPwpl,"&amp;Calculs!H381&amp;","&amp;Calculs!O381&amp;","&amp;Calculs!N381&amp;","&amp;Calculs!P381&amp;","&amp;'Import OpenCPN'!AC382&amp;",Y,@"&amp;Symboles!C381&amp;",A,,,,")</f>
        <v/>
      </c>
    </row>
    <row r="382" spans="1:1" x14ac:dyDescent="0.2">
      <c r="A382" t="str">
        <f>IF(Calculs!A382=0,"","$PFEC,GPwpl,"&amp;Calculs!H382&amp;","&amp;Calculs!O382&amp;","&amp;Calculs!N382&amp;","&amp;Calculs!P382&amp;","&amp;'Import OpenCPN'!AC383&amp;",Y,@"&amp;Symboles!C382&amp;",A,,,,")</f>
        <v/>
      </c>
    </row>
    <row r="383" spans="1:1" x14ac:dyDescent="0.2">
      <c r="A383" t="str">
        <f>IF(Calculs!A383=0,"","$PFEC,GPwpl,"&amp;Calculs!H383&amp;","&amp;Calculs!O383&amp;","&amp;Calculs!N383&amp;","&amp;Calculs!P383&amp;","&amp;'Import OpenCPN'!AC384&amp;",Y,@"&amp;Symboles!C383&amp;",A,,,,")</f>
        <v/>
      </c>
    </row>
    <row r="384" spans="1:1" x14ac:dyDescent="0.2">
      <c r="A384" t="str">
        <f>IF(Calculs!A384=0,"","$PFEC,GPwpl,"&amp;Calculs!H384&amp;","&amp;Calculs!O384&amp;","&amp;Calculs!N384&amp;","&amp;Calculs!P384&amp;","&amp;'Import OpenCPN'!AC385&amp;",Y,@"&amp;Symboles!C384&amp;",A,,,,")</f>
        <v/>
      </c>
    </row>
    <row r="385" spans="1:1" x14ac:dyDescent="0.2">
      <c r="A385" t="str">
        <f>IF(Calculs!A385=0,"","$PFEC,GPwpl,"&amp;Calculs!H385&amp;","&amp;Calculs!O385&amp;","&amp;Calculs!N385&amp;","&amp;Calculs!P385&amp;","&amp;'Import OpenCPN'!AC386&amp;",Y,@"&amp;Symboles!C385&amp;",A,,,,")</f>
        <v/>
      </c>
    </row>
    <row r="386" spans="1:1" x14ac:dyDescent="0.2">
      <c r="A386" t="str">
        <f>IF(Calculs!A386=0,"","$PFEC,GPwpl,"&amp;Calculs!H386&amp;","&amp;Calculs!O386&amp;","&amp;Calculs!N386&amp;","&amp;Calculs!P386&amp;","&amp;'Import OpenCPN'!AC387&amp;",Y,@"&amp;Symboles!C386&amp;",A,,,,")</f>
        <v/>
      </c>
    </row>
    <row r="387" spans="1:1" x14ac:dyDescent="0.2">
      <c r="A387" t="str">
        <f>IF(Calculs!A387=0,"","$PFEC,GPwpl,"&amp;Calculs!H387&amp;","&amp;Calculs!O387&amp;","&amp;Calculs!N387&amp;","&amp;Calculs!P387&amp;","&amp;'Import OpenCPN'!AC388&amp;",Y,@"&amp;Symboles!C387&amp;",A,,,,")</f>
        <v/>
      </c>
    </row>
    <row r="388" spans="1:1" x14ac:dyDescent="0.2">
      <c r="A388" t="str">
        <f>IF(Calculs!A388=0,"","$PFEC,GPwpl,"&amp;Calculs!H388&amp;","&amp;Calculs!O388&amp;","&amp;Calculs!N388&amp;","&amp;Calculs!P388&amp;","&amp;'Import OpenCPN'!AC389&amp;",Y,@"&amp;Symboles!C388&amp;",A,,,,")</f>
        <v/>
      </c>
    </row>
    <row r="389" spans="1:1" x14ac:dyDescent="0.2">
      <c r="A389" t="str">
        <f>IF(Calculs!A389=0,"","$PFEC,GPwpl,"&amp;Calculs!H389&amp;","&amp;Calculs!O389&amp;","&amp;Calculs!N389&amp;","&amp;Calculs!P389&amp;","&amp;'Import OpenCPN'!AC390&amp;",Y,@"&amp;Symboles!C389&amp;",A,,,,")</f>
        <v/>
      </c>
    </row>
    <row r="390" spans="1:1" x14ac:dyDescent="0.2">
      <c r="A390" t="str">
        <f>IF(Calculs!A390=0,"","$PFEC,GPwpl,"&amp;Calculs!H390&amp;","&amp;Calculs!O390&amp;","&amp;Calculs!N390&amp;","&amp;Calculs!P390&amp;","&amp;'Import OpenCPN'!AC391&amp;",Y,@"&amp;Symboles!C390&amp;",A,,,,")</f>
        <v/>
      </c>
    </row>
    <row r="391" spans="1:1" x14ac:dyDescent="0.2">
      <c r="A391" t="str">
        <f>IF(Calculs!A391=0,"","$PFEC,GPwpl,"&amp;Calculs!H391&amp;","&amp;Calculs!O391&amp;","&amp;Calculs!N391&amp;","&amp;Calculs!P391&amp;","&amp;'Import OpenCPN'!AC392&amp;",Y,@"&amp;Symboles!C391&amp;",A,,,,")</f>
        <v/>
      </c>
    </row>
    <row r="392" spans="1:1" x14ac:dyDescent="0.2">
      <c r="A392" t="str">
        <f>IF(Calculs!A392=0,"","$PFEC,GPwpl,"&amp;Calculs!H392&amp;","&amp;Calculs!O392&amp;","&amp;Calculs!N392&amp;","&amp;Calculs!P392&amp;","&amp;'Import OpenCPN'!AC393&amp;",Y,@"&amp;Symboles!C392&amp;",A,,,,")</f>
        <v/>
      </c>
    </row>
    <row r="393" spans="1:1" x14ac:dyDescent="0.2">
      <c r="A393" t="str">
        <f>IF(Calculs!A393=0,"","$PFEC,GPwpl,"&amp;Calculs!H393&amp;","&amp;Calculs!O393&amp;","&amp;Calculs!N393&amp;","&amp;Calculs!P393&amp;","&amp;'Import OpenCPN'!AC394&amp;",Y,@"&amp;Symboles!C393&amp;",A,,,,")</f>
        <v/>
      </c>
    </row>
    <row r="394" spans="1:1" x14ac:dyDescent="0.2">
      <c r="A394" t="str">
        <f>IF(Calculs!A394=0,"","$PFEC,GPwpl,"&amp;Calculs!H394&amp;","&amp;Calculs!O394&amp;","&amp;Calculs!N394&amp;","&amp;Calculs!P394&amp;","&amp;'Import OpenCPN'!AC395&amp;",Y,@"&amp;Symboles!C394&amp;",A,,,,")</f>
        <v/>
      </c>
    </row>
    <row r="395" spans="1:1" x14ac:dyDescent="0.2">
      <c r="A395" t="str">
        <f>IF(Calculs!A395=0,"","$PFEC,GPwpl,"&amp;Calculs!H395&amp;","&amp;Calculs!O395&amp;","&amp;Calculs!N395&amp;","&amp;Calculs!P395&amp;","&amp;'Import OpenCPN'!AC396&amp;",Y,@"&amp;Symboles!C395&amp;",A,,,,")</f>
        <v/>
      </c>
    </row>
    <row r="396" spans="1:1" x14ac:dyDescent="0.2">
      <c r="A396" t="str">
        <f>IF(Calculs!A396=0,"","$PFEC,GPwpl,"&amp;Calculs!H396&amp;","&amp;Calculs!O396&amp;","&amp;Calculs!N396&amp;","&amp;Calculs!P396&amp;","&amp;'Import OpenCPN'!AC397&amp;",Y,@"&amp;Symboles!C396&amp;",A,,,,")</f>
        <v/>
      </c>
    </row>
    <row r="397" spans="1:1" x14ac:dyDescent="0.2">
      <c r="A397" t="str">
        <f>IF(Calculs!A397=0,"","$PFEC,GPwpl,"&amp;Calculs!H397&amp;","&amp;Calculs!O397&amp;","&amp;Calculs!N397&amp;","&amp;Calculs!P397&amp;","&amp;'Import OpenCPN'!AC398&amp;",Y,@"&amp;Symboles!C397&amp;",A,,,,")</f>
        <v/>
      </c>
    </row>
    <row r="398" spans="1:1" x14ac:dyDescent="0.2">
      <c r="A398" t="str">
        <f>IF(Calculs!A398=0,"","$PFEC,GPwpl,"&amp;Calculs!H398&amp;","&amp;Calculs!O398&amp;","&amp;Calculs!N398&amp;","&amp;Calculs!P398&amp;","&amp;'Import OpenCPN'!AC399&amp;",Y,@"&amp;Symboles!C398&amp;",A,,,,")</f>
        <v/>
      </c>
    </row>
    <row r="399" spans="1:1" x14ac:dyDescent="0.2">
      <c r="A399" t="str">
        <f>IF(Calculs!A399=0,"","$PFEC,GPwpl,"&amp;Calculs!H399&amp;","&amp;Calculs!O399&amp;","&amp;Calculs!N399&amp;","&amp;Calculs!P399&amp;","&amp;'Import OpenCPN'!AC400&amp;",Y,@"&amp;Symboles!C399&amp;",A,,,,")</f>
        <v/>
      </c>
    </row>
    <row r="400" spans="1:1" x14ac:dyDescent="0.2">
      <c r="A400" t="str">
        <f>IF(Calculs!A400=0,"","$PFEC,GPwpl,"&amp;Calculs!H400&amp;","&amp;Calculs!O400&amp;","&amp;Calculs!N400&amp;","&amp;Calculs!P400&amp;","&amp;'Import OpenCPN'!AC401&amp;",Y,@"&amp;Symboles!C400&amp;",A,,,,")</f>
        <v/>
      </c>
    </row>
    <row r="401" spans="1:1" x14ac:dyDescent="0.2">
      <c r="A401" t="str">
        <f>IF(Calculs!A401=0,"","$PFEC,GPwpl,"&amp;Calculs!H401&amp;","&amp;Calculs!O401&amp;","&amp;Calculs!N401&amp;","&amp;Calculs!P401&amp;","&amp;'Import OpenCPN'!AC402&amp;",Y,@"&amp;Symboles!C401&amp;",A,,,,")</f>
        <v/>
      </c>
    </row>
    <row r="402" spans="1:1" x14ac:dyDescent="0.2">
      <c r="A402" t="str">
        <f>IF(Calculs!A402=0,"","$PFEC,GPwpl,"&amp;Calculs!H402&amp;","&amp;Calculs!O402&amp;","&amp;Calculs!N402&amp;","&amp;Calculs!P402&amp;","&amp;'Import OpenCPN'!AC403&amp;",Y,@"&amp;Symboles!C402&amp;",A,,,,")</f>
        <v/>
      </c>
    </row>
    <row r="403" spans="1:1" x14ac:dyDescent="0.2">
      <c r="A403" t="str">
        <f>IF(Calculs!A403=0,"","$PFEC,GPwpl,"&amp;Calculs!H403&amp;","&amp;Calculs!O403&amp;","&amp;Calculs!N403&amp;","&amp;Calculs!P403&amp;","&amp;'Import OpenCPN'!AC404&amp;",Y,@"&amp;Symboles!C403&amp;",A,,,,")</f>
        <v/>
      </c>
    </row>
    <row r="404" spans="1:1" x14ac:dyDescent="0.2">
      <c r="A404" t="str">
        <f>IF(Calculs!A404=0,"","$PFEC,GPwpl,"&amp;Calculs!H404&amp;","&amp;Calculs!O404&amp;","&amp;Calculs!N404&amp;","&amp;Calculs!P404&amp;","&amp;'Import OpenCPN'!AC405&amp;",Y,@"&amp;Symboles!C404&amp;",A,,,,")</f>
        <v/>
      </c>
    </row>
    <row r="405" spans="1:1" x14ac:dyDescent="0.2">
      <c r="A405" t="str">
        <f>IF(Calculs!A405=0,"","$PFEC,GPwpl,"&amp;Calculs!H405&amp;","&amp;Calculs!O405&amp;","&amp;Calculs!N405&amp;","&amp;Calculs!P405&amp;","&amp;'Import OpenCPN'!AC406&amp;",Y,@"&amp;Symboles!C405&amp;",A,,,,")</f>
        <v/>
      </c>
    </row>
    <row r="406" spans="1:1" x14ac:dyDescent="0.2">
      <c r="A406" t="str">
        <f>IF(Calculs!A406=0,"","$PFEC,GPwpl,"&amp;Calculs!H406&amp;","&amp;Calculs!O406&amp;","&amp;Calculs!N406&amp;","&amp;Calculs!P406&amp;","&amp;'Import OpenCPN'!AC407&amp;",Y,@"&amp;Symboles!C406&amp;",A,,,,")</f>
        <v/>
      </c>
    </row>
    <row r="407" spans="1:1" x14ac:dyDescent="0.2">
      <c r="A407" t="str">
        <f>IF(Calculs!A407=0,"","$PFEC,GPwpl,"&amp;Calculs!H407&amp;","&amp;Calculs!O407&amp;","&amp;Calculs!N407&amp;","&amp;Calculs!P407&amp;","&amp;'Import OpenCPN'!AC408&amp;",Y,@"&amp;Symboles!C407&amp;",A,,,,")</f>
        <v/>
      </c>
    </row>
    <row r="408" spans="1:1" x14ac:dyDescent="0.2">
      <c r="A408" t="str">
        <f>IF(Calculs!A408=0,"","$PFEC,GPwpl,"&amp;Calculs!H408&amp;","&amp;Calculs!O408&amp;","&amp;Calculs!N408&amp;","&amp;Calculs!P408&amp;","&amp;'Import OpenCPN'!AC409&amp;",Y,@"&amp;Symboles!C408&amp;",A,,,,")</f>
        <v/>
      </c>
    </row>
    <row r="409" spans="1:1" x14ac:dyDescent="0.2">
      <c r="A409" t="str">
        <f>IF(Calculs!A409=0,"","$PFEC,GPwpl,"&amp;Calculs!H409&amp;","&amp;Calculs!O409&amp;","&amp;Calculs!N409&amp;","&amp;Calculs!P409&amp;","&amp;'Import OpenCPN'!AC410&amp;",Y,@"&amp;Symboles!C409&amp;",A,,,,")</f>
        <v/>
      </c>
    </row>
    <row r="410" spans="1:1" x14ac:dyDescent="0.2">
      <c r="A410" t="str">
        <f>IF(Calculs!A410=0,"","$PFEC,GPwpl,"&amp;Calculs!H410&amp;","&amp;Calculs!O410&amp;","&amp;Calculs!N410&amp;","&amp;Calculs!P410&amp;","&amp;'Import OpenCPN'!AC411&amp;",Y,@"&amp;Symboles!C410&amp;",A,,,,")</f>
        <v/>
      </c>
    </row>
    <row r="411" spans="1:1" x14ac:dyDescent="0.2">
      <c r="A411" t="str">
        <f>IF(Calculs!A411=0,"","$PFEC,GPwpl,"&amp;Calculs!H411&amp;","&amp;Calculs!O411&amp;","&amp;Calculs!N411&amp;","&amp;Calculs!P411&amp;","&amp;'Import OpenCPN'!AC412&amp;",Y,@"&amp;Symboles!C411&amp;",A,,,,")</f>
        <v/>
      </c>
    </row>
    <row r="412" spans="1:1" x14ac:dyDescent="0.2">
      <c r="A412" t="str">
        <f>IF(Calculs!A412=0,"","$PFEC,GPwpl,"&amp;Calculs!H412&amp;","&amp;Calculs!O412&amp;","&amp;Calculs!N412&amp;","&amp;Calculs!P412&amp;","&amp;'Import OpenCPN'!AC413&amp;",Y,@"&amp;Symboles!C412&amp;",A,,,,")</f>
        <v/>
      </c>
    </row>
    <row r="413" spans="1:1" x14ac:dyDescent="0.2">
      <c r="A413" t="str">
        <f>IF(Calculs!A413=0,"","$PFEC,GPwpl,"&amp;Calculs!H413&amp;","&amp;Calculs!O413&amp;","&amp;Calculs!N413&amp;","&amp;Calculs!P413&amp;","&amp;'Import OpenCPN'!AC414&amp;",Y,@"&amp;Symboles!C413&amp;",A,,,,")</f>
        <v/>
      </c>
    </row>
    <row r="414" spans="1:1" x14ac:dyDescent="0.2">
      <c r="A414" t="str">
        <f>IF(Calculs!A414=0,"","$PFEC,GPwpl,"&amp;Calculs!H414&amp;","&amp;Calculs!O414&amp;","&amp;Calculs!N414&amp;","&amp;Calculs!P414&amp;","&amp;'Import OpenCPN'!AC415&amp;",Y,@"&amp;Symboles!C414&amp;",A,,,,")</f>
        <v/>
      </c>
    </row>
    <row r="415" spans="1:1" x14ac:dyDescent="0.2">
      <c r="A415" t="str">
        <f>IF(Calculs!A415=0,"","$PFEC,GPwpl,"&amp;Calculs!H415&amp;","&amp;Calculs!O415&amp;","&amp;Calculs!N415&amp;","&amp;Calculs!P415&amp;","&amp;'Import OpenCPN'!AC416&amp;",Y,@"&amp;Symboles!C415&amp;",A,,,,")</f>
        <v/>
      </c>
    </row>
    <row r="416" spans="1:1" x14ac:dyDescent="0.2">
      <c r="A416" t="str">
        <f>IF(Calculs!A416=0,"","$PFEC,GPwpl,"&amp;Calculs!H416&amp;","&amp;Calculs!O416&amp;","&amp;Calculs!N416&amp;","&amp;Calculs!P416&amp;","&amp;'Import OpenCPN'!AC417&amp;",Y,@"&amp;Symboles!C416&amp;",A,,,,")</f>
        <v/>
      </c>
    </row>
    <row r="417" spans="1:1" x14ac:dyDescent="0.2">
      <c r="A417" t="str">
        <f>IF(Calculs!A417=0,"","$PFEC,GPwpl,"&amp;Calculs!H417&amp;","&amp;Calculs!O417&amp;","&amp;Calculs!N417&amp;","&amp;Calculs!P417&amp;","&amp;'Import OpenCPN'!AC418&amp;",Y,@"&amp;Symboles!C417&amp;",A,,,,")</f>
        <v/>
      </c>
    </row>
    <row r="418" spans="1:1" x14ac:dyDescent="0.2">
      <c r="A418" t="str">
        <f>IF(Calculs!A418=0,"","$PFEC,GPwpl,"&amp;Calculs!H418&amp;","&amp;Calculs!O418&amp;","&amp;Calculs!N418&amp;","&amp;Calculs!P418&amp;","&amp;'Import OpenCPN'!AC419&amp;",Y,@"&amp;Symboles!C418&amp;",A,,,,")</f>
        <v/>
      </c>
    </row>
    <row r="419" spans="1:1" x14ac:dyDescent="0.2">
      <c r="A419" t="str">
        <f>IF(Calculs!A419=0,"","$PFEC,GPwpl,"&amp;Calculs!H419&amp;","&amp;Calculs!O419&amp;","&amp;Calculs!N419&amp;","&amp;Calculs!P419&amp;","&amp;'Import OpenCPN'!AC420&amp;",Y,@"&amp;Symboles!C419&amp;",A,,,,")</f>
        <v/>
      </c>
    </row>
    <row r="420" spans="1:1" x14ac:dyDescent="0.2">
      <c r="A420" t="str">
        <f>IF(Calculs!A420=0,"","$PFEC,GPwpl,"&amp;Calculs!H420&amp;","&amp;Calculs!O420&amp;","&amp;Calculs!N420&amp;","&amp;Calculs!P420&amp;","&amp;'Import OpenCPN'!AC421&amp;",Y,@"&amp;Symboles!C420&amp;",A,,,,")</f>
        <v/>
      </c>
    </row>
    <row r="421" spans="1:1" x14ac:dyDescent="0.2">
      <c r="A421" t="str">
        <f>IF(Calculs!A421=0,"","$PFEC,GPwpl,"&amp;Calculs!H421&amp;","&amp;Calculs!O421&amp;","&amp;Calculs!N421&amp;","&amp;Calculs!P421&amp;","&amp;'Import OpenCPN'!AC422&amp;",Y,@"&amp;Symboles!C421&amp;",A,,,,")</f>
        <v/>
      </c>
    </row>
    <row r="422" spans="1:1" x14ac:dyDescent="0.2">
      <c r="A422" t="str">
        <f>IF(Calculs!A422=0,"","$PFEC,GPwpl,"&amp;Calculs!H422&amp;","&amp;Calculs!O422&amp;","&amp;Calculs!N422&amp;","&amp;Calculs!P422&amp;","&amp;'Import OpenCPN'!AC423&amp;",Y,@"&amp;Symboles!C422&amp;",A,,,,")</f>
        <v/>
      </c>
    </row>
    <row r="423" spans="1:1" x14ac:dyDescent="0.2">
      <c r="A423" t="str">
        <f>IF(Calculs!A423=0,"","$PFEC,GPwpl,"&amp;Calculs!H423&amp;","&amp;Calculs!O423&amp;","&amp;Calculs!N423&amp;","&amp;Calculs!P423&amp;","&amp;'Import OpenCPN'!AC424&amp;",Y,@"&amp;Symboles!C423&amp;",A,,,,")</f>
        <v/>
      </c>
    </row>
    <row r="424" spans="1:1" x14ac:dyDescent="0.2">
      <c r="A424" t="str">
        <f>IF(Calculs!A424=0,"","$PFEC,GPwpl,"&amp;Calculs!H424&amp;","&amp;Calculs!O424&amp;","&amp;Calculs!N424&amp;","&amp;Calculs!P424&amp;","&amp;'Import OpenCPN'!AC425&amp;",Y,@"&amp;Symboles!C424&amp;",A,,,,")</f>
        <v/>
      </c>
    </row>
    <row r="425" spans="1:1" x14ac:dyDescent="0.2">
      <c r="A425" t="str">
        <f>IF(Calculs!A425=0,"","$PFEC,GPwpl,"&amp;Calculs!H425&amp;","&amp;Calculs!O425&amp;","&amp;Calculs!N425&amp;","&amp;Calculs!P425&amp;","&amp;'Import OpenCPN'!AC426&amp;",Y,@"&amp;Symboles!C425&amp;",A,,,,")</f>
        <v/>
      </c>
    </row>
    <row r="426" spans="1:1" x14ac:dyDescent="0.2">
      <c r="A426" t="str">
        <f>IF(Calculs!A426=0,"","$PFEC,GPwpl,"&amp;Calculs!H426&amp;","&amp;Calculs!O426&amp;","&amp;Calculs!N426&amp;","&amp;Calculs!P426&amp;","&amp;'Import OpenCPN'!AC427&amp;",Y,@"&amp;Symboles!C426&amp;",A,,,,")</f>
        <v/>
      </c>
    </row>
    <row r="427" spans="1:1" x14ac:dyDescent="0.2">
      <c r="A427" t="str">
        <f>IF(Calculs!A427=0,"","$PFEC,GPwpl,"&amp;Calculs!H427&amp;","&amp;Calculs!O427&amp;","&amp;Calculs!N427&amp;","&amp;Calculs!P427&amp;","&amp;'Import OpenCPN'!AC428&amp;",Y,@"&amp;Symboles!C427&amp;",A,,,,")</f>
        <v/>
      </c>
    </row>
    <row r="428" spans="1:1" x14ac:dyDescent="0.2">
      <c r="A428" t="str">
        <f>IF(Calculs!A428=0,"","$PFEC,GPwpl,"&amp;Calculs!H428&amp;","&amp;Calculs!O428&amp;","&amp;Calculs!N428&amp;","&amp;Calculs!P428&amp;","&amp;'Import OpenCPN'!AC429&amp;",Y,@"&amp;Symboles!C428&amp;",A,,,,")</f>
        <v/>
      </c>
    </row>
    <row r="429" spans="1:1" x14ac:dyDescent="0.2">
      <c r="A429" t="str">
        <f>IF(Calculs!A429=0,"","$PFEC,GPwpl,"&amp;Calculs!H429&amp;","&amp;Calculs!O429&amp;","&amp;Calculs!N429&amp;","&amp;Calculs!P429&amp;","&amp;'Import OpenCPN'!AC430&amp;",Y,@"&amp;Symboles!C429&amp;",A,,,,")</f>
        <v/>
      </c>
    </row>
    <row r="430" spans="1:1" x14ac:dyDescent="0.2">
      <c r="A430" t="str">
        <f>IF(Calculs!A430=0,"","$PFEC,GPwpl,"&amp;Calculs!H430&amp;","&amp;Calculs!O430&amp;","&amp;Calculs!N430&amp;","&amp;Calculs!P430&amp;","&amp;'Import OpenCPN'!AC431&amp;",Y,@"&amp;Symboles!C430&amp;",A,,,,")</f>
        <v/>
      </c>
    </row>
    <row r="431" spans="1:1" x14ac:dyDescent="0.2">
      <c r="A431" t="str">
        <f>IF(Calculs!A431=0,"","$PFEC,GPwpl,"&amp;Calculs!H431&amp;","&amp;Calculs!O431&amp;","&amp;Calculs!N431&amp;","&amp;Calculs!P431&amp;","&amp;'Import OpenCPN'!AC432&amp;",Y,@"&amp;Symboles!C431&amp;",A,,,,")</f>
        <v/>
      </c>
    </row>
    <row r="432" spans="1:1" x14ac:dyDescent="0.2">
      <c r="A432" t="str">
        <f>IF(Calculs!A432=0,"","$PFEC,GPwpl,"&amp;Calculs!H432&amp;","&amp;Calculs!O432&amp;","&amp;Calculs!N432&amp;","&amp;Calculs!P432&amp;","&amp;'Import OpenCPN'!AC433&amp;",Y,@"&amp;Symboles!C432&amp;",A,,,,")</f>
        <v/>
      </c>
    </row>
    <row r="433" spans="1:1" x14ac:dyDescent="0.2">
      <c r="A433" t="str">
        <f>IF(Calculs!A433=0,"","$PFEC,GPwpl,"&amp;Calculs!H433&amp;","&amp;Calculs!O433&amp;","&amp;Calculs!N433&amp;","&amp;Calculs!P433&amp;","&amp;'Import OpenCPN'!AC434&amp;",Y,@"&amp;Symboles!C433&amp;",A,,,,")</f>
        <v/>
      </c>
    </row>
    <row r="434" spans="1:1" x14ac:dyDescent="0.2">
      <c r="A434" t="str">
        <f>IF(Calculs!A434=0,"","$PFEC,GPwpl,"&amp;Calculs!H434&amp;","&amp;Calculs!O434&amp;","&amp;Calculs!N434&amp;","&amp;Calculs!P434&amp;","&amp;'Import OpenCPN'!AC435&amp;",Y,@"&amp;Symboles!C434&amp;",A,,,,")</f>
        <v/>
      </c>
    </row>
    <row r="435" spans="1:1" x14ac:dyDescent="0.2">
      <c r="A435" t="str">
        <f>IF(Calculs!A435=0,"","$PFEC,GPwpl,"&amp;Calculs!H435&amp;","&amp;Calculs!O435&amp;","&amp;Calculs!N435&amp;","&amp;Calculs!P435&amp;","&amp;'Import OpenCPN'!AC436&amp;",Y,@"&amp;Symboles!C435&amp;",A,,,,")</f>
        <v/>
      </c>
    </row>
    <row r="436" spans="1:1" x14ac:dyDescent="0.2">
      <c r="A436" t="str">
        <f>IF(Calculs!A436=0,"","$PFEC,GPwpl,"&amp;Calculs!H436&amp;","&amp;Calculs!O436&amp;","&amp;Calculs!N436&amp;","&amp;Calculs!P436&amp;","&amp;'Import OpenCPN'!AC437&amp;",Y,@"&amp;Symboles!C436&amp;",A,,,,")</f>
        <v/>
      </c>
    </row>
    <row r="437" spans="1:1" x14ac:dyDescent="0.2">
      <c r="A437" t="str">
        <f>IF(Calculs!A437=0,"","$PFEC,GPwpl,"&amp;Calculs!H437&amp;","&amp;Calculs!O437&amp;","&amp;Calculs!N437&amp;","&amp;Calculs!P437&amp;","&amp;'Import OpenCPN'!AC438&amp;",Y,@"&amp;Symboles!C437&amp;",A,,,,")</f>
        <v/>
      </c>
    </row>
    <row r="438" spans="1:1" x14ac:dyDescent="0.2">
      <c r="A438" t="str">
        <f>IF(Calculs!A438=0,"","$PFEC,GPwpl,"&amp;Calculs!H438&amp;","&amp;Calculs!O438&amp;","&amp;Calculs!N438&amp;","&amp;Calculs!P438&amp;","&amp;'Import OpenCPN'!AC439&amp;",Y,@"&amp;Symboles!C438&amp;",A,,,,")</f>
        <v/>
      </c>
    </row>
    <row r="439" spans="1:1" x14ac:dyDescent="0.2">
      <c r="A439" t="str">
        <f>IF(Calculs!A439=0,"","$PFEC,GPwpl,"&amp;Calculs!H439&amp;","&amp;Calculs!O439&amp;","&amp;Calculs!N439&amp;","&amp;Calculs!P439&amp;","&amp;'Import OpenCPN'!AC440&amp;",Y,@"&amp;Symboles!C439&amp;",A,,,,")</f>
        <v/>
      </c>
    </row>
    <row r="440" spans="1:1" x14ac:dyDescent="0.2">
      <c r="A440" t="str">
        <f>IF(Calculs!A440=0,"","$PFEC,GPwpl,"&amp;Calculs!H440&amp;","&amp;Calculs!O440&amp;","&amp;Calculs!N440&amp;","&amp;Calculs!P440&amp;","&amp;'Import OpenCPN'!AC441&amp;",Y,@"&amp;Symboles!C440&amp;",A,,,,")</f>
        <v/>
      </c>
    </row>
    <row r="441" spans="1:1" x14ac:dyDescent="0.2">
      <c r="A441" t="str">
        <f>IF(Calculs!A441=0,"","$PFEC,GPwpl,"&amp;Calculs!H441&amp;","&amp;Calculs!O441&amp;","&amp;Calculs!N441&amp;","&amp;Calculs!P441&amp;","&amp;'Import OpenCPN'!AC442&amp;",Y,@"&amp;Symboles!C441&amp;",A,,,,")</f>
        <v/>
      </c>
    </row>
    <row r="442" spans="1:1" x14ac:dyDescent="0.2">
      <c r="A442" t="str">
        <f>IF(Calculs!A442=0,"","$PFEC,GPwpl,"&amp;Calculs!H442&amp;","&amp;Calculs!O442&amp;","&amp;Calculs!N442&amp;","&amp;Calculs!P442&amp;","&amp;'Import OpenCPN'!AC443&amp;",Y,@"&amp;Symboles!C442&amp;",A,,,,")</f>
        <v/>
      </c>
    </row>
    <row r="443" spans="1:1" x14ac:dyDescent="0.2">
      <c r="A443" t="str">
        <f>IF(Calculs!A443=0,"","$PFEC,GPwpl,"&amp;Calculs!H443&amp;","&amp;Calculs!O443&amp;","&amp;Calculs!N443&amp;","&amp;Calculs!P443&amp;","&amp;'Import OpenCPN'!AC444&amp;",Y,@"&amp;Symboles!C443&amp;",A,,,,")</f>
        <v/>
      </c>
    </row>
    <row r="444" spans="1:1" x14ac:dyDescent="0.2">
      <c r="A444" t="str">
        <f>IF(Calculs!A444=0,"","$PFEC,GPwpl,"&amp;Calculs!H444&amp;","&amp;Calculs!O444&amp;","&amp;Calculs!N444&amp;","&amp;Calculs!P444&amp;","&amp;'Import OpenCPN'!AC445&amp;",Y,@"&amp;Symboles!C444&amp;",A,,,,")</f>
        <v/>
      </c>
    </row>
    <row r="445" spans="1:1" x14ac:dyDescent="0.2">
      <c r="A445" t="str">
        <f>IF(Calculs!A445=0,"","$PFEC,GPwpl,"&amp;Calculs!H445&amp;","&amp;Calculs!O445&amp;","&amp;Calculs!N445&amp;","&amp;Calculs!P445&amp;","&amp;'Import OpenCPN'!AC446&amp;",Y,@"&amp;Symboles!C445&amp;",A,,,,")</f>
        <v/>
      </c>
    </row>
    <row r="446" spans="1:1" x14ac:dyDescent="0.2">
      <c r="A446" t="str">
        <f>IF(Calculs!A446=0,"","$PFEC,GPwpl,"&amp;Calculs!H446&amp;","&amp;Calculs!O446&amp;","&amp;Calculs!N446&amp;","&amp;Calculs!P446&amp;","&amp;'Import OpenCPN'!AC447&amp;",Y,@"&amp;Symboles!C446&amp;",A,,,,")</f>
        <v/>
      </c>
    </row>
    <row r="447" spans="1:1" x14ac:dyDescent="0.2">
      <c r="A447" t="str">
        <f>IF(Calculs!A447=0,"","$PFEC,GPwpl,"&amp;Calculs!H447&amp;","&amp;Calculs!O447&amp;","&amp;Calculs!N447&amp;","&amp;Calculs!P447&amp;","&amp;'Import OpenCPN'!AC448&amp;",Y,@"&amp;Symboles!C447&amp;",A,,,,")</f>
        <v/>
      </c>
    </row>
    <row r="448" spans="1:1" x14ac:dyDescent="0.2">
      <c r="A448" t="str">
        <f>IF(Calculs!A448=0,"","$PFEC,GPwpl,"&amp;Calculs!H448&amp;","&amp;Calculs!O448&amp;","&amp;Calculs!N448&amp;","&amp;Calculs!P448&amp;","&amp;'Import OpenCPN'!AC449&amp;",Y,@"&amp;Symboles!C448&amp;",A,,,,")</f>
        <v/>
      </c>
    </row>
    <row r="449" spans="1:1" x14ac:dyDescent="0.2">
      <c r="A449" t="str">
        <f>IF(Calculs!A449=0,"","$PFEC,GPwpl,"&amp;Calculs!H449&amp;","&amp;Calculs!O449&amp;","&amp;Calculs!N449&amp;","&amp;Calculs!P449&amp;","&amp;'Import OpenCPN'!AC450&amp;",Y,@"&amp;Symboles!C449&amp;",A,,,,")</f>
        <v/>
      </c>
    </row>
    <row r="450" spans="1:1" x14ac:dyDescent="0.2">
      <c r="A450" t="str">
        <f>IF(Calculs!A450=0,"","$PFEC,GPwpl,"&amp;Calculs!H450&amp;","&amp;Calculs!O450&amp;","&amp;Calculs!N450&amp;","&amp;Calculs!P450&amp;","&amp;'Import OpenCPN'!AC451&amp;",Y,@"&amp;Symboles!C450&amp;",A,,,,")</f>
        <v/>
      </c>
    </row>
    <row r="451" spans="1:1" x14ac:dyDescent="0.2">
      <c r="A451" t="str">
        <f>IF(Calculs!A451=0,"","$PFEC,GPwpl,"&amp;Calculs!H451&amp;","&amp;Calculs!O451&amp;","&amp;Calculs!N451&amp;","&amp;Calculs!P451&amp;","&amp;'Import OpenCPN'!AC452&amp;",Y,@"&amp;Symboles!C451&amp;",A,,,,")</f>
        <v/>
      </c>
    </row>
    <row r="452" spans="1:1" x14ac:dyDescent="0.2">
      <c r="A452" t="str">
        <f>IF(Calculs!A452=0,"","$PFEC,GPwpl,"&amp;Calculs!H452&amp;","&amp;Calculs!O452&amp;","&amp;Calculs!N452&amp;","&amp;Calculs!P452&amp;","&amp;'Import OpenCPN'!AC453&amp;",Y,@"&amp;Symboles!C452&amp;",A,,,,")</f>
        <v/>
      </c>
    </row>
    <row r="453" spans="1:1" x14ac:dyDescent="0.2">
      <c r="A453" t="str">
        <f>IF(Calculs!A453=0,"","$PFEC,GPwpl,"&amp;Calculs!H453&amp;","&amp;Calculs!O453&amp;","&amp;Calculs!N453&amp;","&amp;Calculs!P453&amp;","&amp;'Import OpenCPN'!AC454&amp;",Y,@"&amp;Symboles!C453&amp;",A,,,,")</f>
        <v/>
      </c>
    </row>
    <row r="454" spans="1:1" x14ac:dyDescent="0.2">
      <c r="A454" t="str">
        <f>IF(Calculs!A454=0,"","$PFEC,GPwpl,"&amp;Calculs!H454&amp;","&amp;Calculs!O454&amp;","&amp;Calculs!N454&amp;","&amp;Calculs!P454&amp;","&amp;'Import OpenCPN'!AC455&amp;",Y,@"&amp;Symboles!C454&amp;",A,,,,")</f>
        <v/>
      </c>
    </row>
    <row r="455" spans="1:1" x14ac:dyDescent="0.2">
      <c r="A455" t="str">
        <f>IF(Calculs!A455=0,"","$PFEC,GPwpl,"&amp;Calculs!H455&amp;","&amp;Calculs!O455&amp;","&amp;Calculs!N455&amp;","&amp;Calculs!P455&amp;","&amp;'Import OpenCPN'!AC456&amp;",Y,@"&amp;Symboles!C455&amp;",A,,,,")</f>
        <v/>
      </c>
    </row>
    <row r="456" spans="1:1" x14ac:dyDescent="0.2">
      <c r="A456" t="str">
        <f>IF(Calculs!A456=0,"","$PFEC,GPwpl,"&amp;Calculs!H456&amp;","&amp;Calculs!O456&amp;","&amp;Calculs!N456&amp;","&amp;Calculs!P456&amp;","&amp;'Import OpenCPN'!AC457&amp;",Y,@"&amp;Symboles!C456&amp;",A,,,,")</f>
        <v/>
      </c>
    </row>
    <row r="457" spans="1:1" x14ac:dyDescent="0.2">
      <c r="A457" t="str">
        <f>IF(Calculs!A457=0,"","$PFEC,GPwpl,"&amp;Calculs!H457&amp;","&amp;Calculs!O457&amp;","&amp;Calculs!N457&amp;","&amp;Calculs!P457&amp;","&amp;'Import OpenCPN'!AC458&amp;",Y,@"&amp;Symboles!C457&amp;",A,,,,")</f>
        <v/>
      </c>
    </row>
    <row r="458" spans="1:1" x14ac:dyDescent="0.2">
      <c r="A458" t="str">
        <f>IF(Calculs!A458=0,"","$PFEC,GPwpl,"&amp;Calculs!H458&amp;","&amp;Calculs!O458&amp;","&amp;Calculs!N458&amp;","&amp;Calculs!P458&amp;","&amp;'Import OpenCPN'!AC459&amp;",Y,@"&amp;Symboles!C458&amp;",A,,,,")</f>
        <v/>
      </c>
    </row>
    <row r="459" spans="1:1" x14ac:dyDescent="0.2">
      <c r="A459" t="str">
        <f>IF(Calculs!A459=0,"","$PFEC,GPwpl,"&amp;Calculs!H459&amp;","&amp;Calculs!O459&amp;","&amp;Calculs!N459&amp;","&amp;Calculs!P459&amp;","&amp;'Import OpenCPN'!AC460&amp;",Y,@"&amp;Symboles!C459&amp;",A,,,,")</f>
        <v/>
      </c>
    </row>
    <row r="460" spans="1:1" x14ac:dyDescent="0.2">
      <c r="A460" t="str">
        <f>IF(Calculs!A460=0,"","$PFEC,GPwpl,"&amp;Calculs!H460&amp;","&amp;Calculs!O460&amp;","&amp;Calculs!N460&amp;","&amp;Calculs!P460&amp;","&amp;'Import OpenCPN'!AC461&amp;",Y,@"&amp;Symboles!C460&amp;",A,,,,")</f>
        <v/>
      </c>
    </row>
    <row r="461" spans="1:1" x14ac:dyDescent="0.2">
      <c r="A461" t="str">
        <f>IF(Calculs!A461=0,"","$PFEC,GPwpl,"&amp;Calculs!H461&amp;","&amp;Calculs!O461&amp;","&amp;Calculs!N461&amp;","&amp;Calculs!P461&amp;","&amp;'Import OpenCPN'!AC462&amp;",Y,@"&amp;Symboles!C461&amp;",A,,,,")</f>
        <v/>
      </c>
    </row>
    <row r="462" spans="1:1" x14ac:dyDescent="0.2">
      <c r="A462" t="str">
        <f>IF(Calculs!A462=0,"","$PFEC,GPwpl,"&amp;Calculs!H462&amp;","&amp;Calculs!O462&amp;","&amp;Calculs!N462&amp;","&amp;Calculs!P462&amp;","&amp;'Import OpenCPN'!AC463&amp;",Y,@"&amp;Symboles!C462&amp;",A,,,,")</f>
        <v/>
      </c>
    </row>
    <row r="463" spans="1:1" x14ac:dyDescent="0.2">
      <c r="A463" t="str">
        <f>IF(Calculs!A463=0,"","$PFEC,GPwpl,"&amp;Calculs!H463&amp;","&amp;Calculs!O463&amp;","&amp;Calculs!N463&amp;","&amp;Calculs!P463&amp;","&amp;'Import OpenCPN'!AC464&amp;",Y,@"&amp;Symboles!C463&amp;",A,,,,")</f>
        <v/>
      </c>
    </row>
    <row r="464" spans="1:1" x14ac:dyDescent="0.2">
      <c r="A464" t="str">
        <f>IF(Calculs!A464=0,"","$PFEC,GPwpl,"&amp;Calculs!H464&amp;","&amp;Calculs!O464&amp;","&amp;Calculs!N464&amp;","&amp;Calculs!P464&amp;","&amp;'Import OpenCPN'!AC465&amp;",Y,@"&amp;Symboles!C464&amp;",A,,,,")</f>
        <v/>
      </c>
    </row>
    <row r="465" spans="1:1" x14ac:dyDescent="0.2">
      <c r="A465" t="str">
        <f>IF(Calculs!A465=0,"","$PFEC,GPwpl,"&amp;Calculs!H465&amp;","&amp;Calculs!O465&amp;","&amp;Calculs!N465&amp;","&amp;Calculs!P465&amp;","&amp;'Import OpenCPN'!AC466&amp;",Y,@"&amp;Symboles!C465&amp;",A,,,,")</f>
        <v/>
      </c>
    </row>
    <row r="466" spans="1:1" x14ac:dyDescent="0.2">
      <c r="A466" t="str">
        <f>IF(Calculs!A466=0,"","$PFEC,GPwpl,"&amp;Calculs!H466&amp;","&amp;Calculs!O466&amp;","&amp;Calculs!N466&amp;","&amp;Calculs!P466&amp;","&amp;'Import OpenCPN'!AC467&amp;",Y,@"&amp;Symboles!C466&amp;",A,,,,")</f>
        <v/>
      </c>
    </row>
    <row r="467" spans="1:1" x14ac:dyDescent="0.2">
      <c r="A467" t="str">
        <f>IF(Calculs!A467=0,"","$PFEC,GPwpl,"&amp;Calculs!H467&amp;","&amp;Calculs!O467&amp;","&amp;Calculs!N467&amp;","&amp;Calculs!P467&amp;","&amp;'Import OpenCPN'!AC468&amp;",Y,@"&amp;Symboles!C467&amp;",A,,,,")</f>
        <v/>
      </c>
    </row>
    <row r="468" spans="1:1" x14ac:dyDescent="0.2">
      <c r="A468" t="str">
        <f>IF(Calculs!A468=0,"","$PFEC,GPwpl,"&amp;Calculs!H468&amp;","&amp;Calculs!O468&amp;","&amp;Calculs!N468&amp;","&amp;Calculs!P468&amp;","&amp;'Import OpenCPN'!AC469&amp;",Y,@"&amp;Symboles!C468&amp;",A,,,,")</f>
        <v/>
      </c>
    </row>
    <row r="469" spans="1:1" x14ac:dyDescent="0.2">
      <c r="A469" t="str">
        <f>IF(Calculs!A469=0,"","$PFEC,GPwpl,"&amp;Calculs!H469&amp;","&amp;Calculs!O469&amp;","&amp;Calculs!N469&amp;","&amp;Calculs!P469&amp;","&amp;'Import OpenCPN'!AC470&amp;",Y,@"&amp;Symboles!C469&amp;",A,,,,")</f>
        <v/>
      </c>
    </row>
    <row r="470" spans="1:1" x14ac:dyDescent="0.2">
      <c r="A470" t="str">
        <f>IF(Calculs!A470=0,"","$PFEC,GPwpl,"&amp;Calculs!H470&amp;","&amp;Calculs!O470&amp;","&amp;Calculs!N470&amp;","&amp;Calculs!P470&amp;","&amp;'Import OpenCPN'!AC471&amp;",Y,@"&amp;Symboles!C470&amp;",A,,,,")</f>
        <v/>
      </c>
    </row>
    <row r="471" spans="1:1" x14ac:dyDescent="0.2">
      <c r="A471" t="str">
        <f>IF(Calculs!A471=0,"","$PFEC,GPwpl,"&amp;Calculs!H471&amp;","&amp;Calculs!O471&amp;","&amp;Calculs!N471&amp;","&amp;Calculs!P471&amp;","&amp;'Import OpenCPN'!AC472&amp;",Y,@"&amp;Symboles!C471&amp;",A,,,,")</f>
        <v/>
      </c>
    </row>
    <row r="472" spans="1:1" x14ac:dyDescent="0.2">
      <c r="A472" t="str">
        <f>IF(Calculs!A472=0,"","$PFEC,GPwpl,"&amp;Calculs!H472&amp;","&amp;Calculs!O472&amp;","&amp;Calculs!N472&amp;","&amp;Calculs!P472&amp;","&amp;'Import OpenCPN'!AC473&amp;",Y,@"&amp;Symboles!C472&amp;",A,,,,")</f>
        <v/>
      </c>
    </row>
    <row r="473" spans="1:1" x14ac:dyDescent="0.2">
      <c r="A473" t="str">
        <f>IF(Calculs!A473=0,"","$PFEC,GPwpl,"&amp;Calculs!H473&amp;","&amp;Calculs!O473&amp;","&amp;Calculs!N473&amp;","&amp;Calculs!P473&amp;","&amp;'Import OpenCPN'!AC474&amp;",Y,@"&amp;Symboles!C473&amp;",A,,,,")</f>
        <v/>
      </c>
    </row>
    <row r="474" spans="1:1" x14ac:dyDescent="0.2">
      <c r="A474" t="str">
        <f>IF(Calculs!A474=0,"","$PFEC,GPwpl,"&amp;Calculs!H474&amp;","&amp;Calculs!O474&amp;","&amp;Calculs!N474&amp;","&amp;Calculs!P474&amp;","&amp;'Import OpenCPN'!AC475&amp;",Y,@"&amp;Symboles!C474&amp;",A,,,,")</f>
        <v/>
      </c>
    </row>
    <row r="475" spans="1:1" x14ac:dyDescent="0.2">
      <c r="A475" t="str">
        <f>IF(Calculs!A475=0,"","$PFEC,GPwpl,"&amp;Calculs!H475&amp;","&amp;Calculs!O475&amp;","&amp;Calculs!N475&amp;","&amp;Calculs!P475&amp;","&amp;'Import OpenCPN'!AC476&amp;",Y,@"&amp;Symboles!C475&amp;",A,,,,")</f>
        <v/>
      </c>
    </row>
    <row r="476" spans="1:1" x14ac:dyDescent="0.2">
      <c r="A476" t="str">
        <f>IF(Calculs!A476=0,"","$PFEC,GPwpl,"&amp;Calculs!H476&amp;","&amp;Calculs!O476&amp;","&amp;Calculs!N476&amp;","&amp;Calculs!P476&amp;","&amp;'Import OpenCPN'!AC477&amp;",Y,@"&amp;Symboles!C476&amp;",A,,,,")</f>
        <v/>
      </c>
    </row>
    <row r="477" spans="1:1" x14ac:dyDescent="0.2">
      <c r="A477" t="str">
        <f>IF(Calculs!A477=0,"","$PFEC,GPwpl,"&amp;Calculs!H477&amp;","&amp;Calculs!O477&amp;","&amp;Calculs!N477&amp;","&amp;Calculs!P477&amp;","&amp;'Import OpenCPN'!AC478&amp;",Y,@"&amp;Symboles!C477&amp;",A,,,,")</f>
        <v/>
      </c>
    </row>
    <row r="478" spans="1:1" x14ac:dyDescent="0.2">
      <c r="A478" t="str">
        <f>IF(Calculs!A478=0,"","$PFEC,GPwpl,"&amp;Calculs!H478&amp;","&amp;Calculs!O478&amp;","&amp;Calculs!N478&amp;","&amp;Calculs!P478&amp;","&amp;'Import OpenCPN'!AC479&amp;",Y,@"&amp;Symboles!C478&amp;",A,,,,")</f>
        <v/>
      </c>
    </row>
    <row r="479" spans="1:1" x14ac:dyDescent="0.2">
      <c r="A479" t="str">
        <f>IF(Calculs!A479=0,"","$PFEC,GPwpl,"&amp;Calculs!H479&amp;","&amp;Calculs!O479&amp;","&amp;Calculs!N479&amp;","&amp;Calculs!P479&amp;","&amp;'Import OpenCPN'!AC480&amp;",Y,@"&amp;Symboles!C479&amp;",A,,,,")</f>
        <v/>
      </c>
    </row>
    <row r="480" spans="1:1" x14ac:dyDescent="0.2">
      <c r="A480" t="str">
        <f>IF(Calculs!A480=0,"","$PFEC,GPwpl,"&amp;Calculs!H480&amp;","&amp;Calculs!O480&amp;","&amp;Calculs!N480&amp;","&amp;Calculs!P480&amp;","&amp;'Import OpenCPN'!AC481&amp;",Y,@"&amp;Symboles!C480&amp;",A,,,,")</f>
        <v/>
      </c>
    </row>
    <row r="481" spans="1:1" x14ac:dyDescent="0.2">
      <c r="A481" t="str">
        <f>IF(Calculs!A481=0,"","$PFEC,GPwpl,"&amp;Calculs!H481&amp;","&amp;Calculs!O481&amp;","&amp;Calculs!N481&amp;","&amp;Calculs!P481&amp;","&amp;'Import OpenCPN'!AC482&amp;",Y,@"&amp;Symboles!C481&amp;",A,,,,")</f>
        <v/>
      </c>
    </row>
    <row r="482" spans="1:1" x14ac:dyDescent="0.2">
      <c r="A482" t="str">
        <f>IF(Calculs!A482=0,"","$PFEC,GPwpl,"&amp;Calculs!H482&amp;","&amp;Calculs!O482&amp;","&amp;Calculs!N482&amp;","&amp;Calculs!P482&amp;","&amp;'Import OpenCPN'!AC483&amp;",Y,@"&amp;Symboles!C482&amp;",A,,,,")</f>
        <v/>
      </c>
    </row>
    <row r="483" spans="1:1" x14ac:dyDescent="0.2">
      <c r="A483" t="str">
        <f>IF(Calculs!A483=0,"","$PFEC,GPwpl,"&amp;Calculs!H483&amp;","&amp;Calculs!O483&amp;","&amp;Calculs!N483&amp;","&amp;Calculs!P483&amp;","&amp;'Import OpenCPN'!AC484&amp;",Y,@"&amp;Symboles!C483&amp;",A,,,,")</f>
        <v/>
      </c>
    </row>
    <row r="484" spans="1:1" x14ac:dyDescent="0.2">
      <c r="A484" t="str">
        <f>IF(Calculs!A484=0,"","$PFEC,GPwpl,"&amp;Calculs!H484&amp;","&amp;Calculs!O484&amp;","&amp;Calculs!N484&amp;","&amp;Calculs!P484&amp;","&amp;'Import OpenCPN'!AC485&amp;",Y,@"&amp;Symboles!C484&amp;",A,,,,")</f>
        <v/>
      </c>
    </row>
    <row r="485" spans="1:1" x14ac:dyDescent="0.2">
      <c r="A485" t="str">
        <f>IF(Calculs!A485=0,"","$PFEC,GPwpl,"&amp;Calculs!H485&amp;","&amp;Calculs!O485&amp;","&amp;Calculs!N485&amp;","&amp;Calculs!P485&amp;","&amp;'Import OpenCPN'!AC486&amp;",Y,@"&amp;Symboles!C485&amp;",A,,,,")</f>
        <v/>
      </c>
    </row>
    <row r="486" spans="1:1" x14ac:dyDescent="0.2">
      <c r="A486" t="str">
        <f>IF(Calculs!A486=0,"","$PFEC,GPwpl,"&amp;Calculs!H486&amp;","&amp;Calculs!O486&amp;","&amp;Calculs!N486&amp;","&amp;Calculs!P486&amp;","&amp;'Import OpenCPN'!AC487&amp;",Y,@"&amp;Symboles!C486&amp;",A,,,,")</f>
        <v/>
      </c>
    </row>
    <row r="487" spans="1:1" x14ac:dyDescent="0.2">
      <c r="A487" t="str">
        <f>IF(Calculs!A487=0,"","$PFEC,GPwpl,"&amp;Calculs!H487&amp;","&amp;Calculs!O487&amp;","&amp;Calculs!N487&amp;","&amp;Calculs!P487&amp;","&amp;'Import OpenCPN'!AC488&amp;",Y,@"&amp;Symboles!C487&amp;",A,,,,")</f>
        <v/>
      </c>
    </row>
    <row r="488" spans="1:1" x14ac:dyDescent="0.2">
      <c r="A488" t="str">
        <f>IF(Calculs!A488=0,"","$PFEC,GPwpl,"&amp;Calculs!H488&amp;","&amp;Calculs!O488&amp;","&amp;Calculs!N488&amp;","&amp;Calculs!P488&amp;","&amp;'Import OpenCPN'!AC489&amp;",Y,@"&amp;Symboles!C488&amp;",A,,,,")</f>
        <v/>
      </c>
    </row>
    <row r="489" spans="1:1" x14ac:dyDescent="0.2">
      <c r="A489" t="str">
        <f>IF(Calculs!A489=0,"","$PFEC,GPwpl,"&amp;Calculs!H489&amp;","&amp;Calculs!O489&amp;","&amp;Calculs!N489&amp;","&amp;Calculs!P489&amp;","&amp;'Import OpenCPN'!AC490&amp;",Y,@"&amp;Symboles!C489&amp;",A,,,,")</f>
        <v/>
      </c>
    </row>
    <row r="490" spans="1:1" x14ac:dyDescent="0.2">
      <c r="A490" t="str">
        <f>IF(Calculs!A490=0,"","$PFEC,GPwpl,"&amp;Calculs!H490&amp;","&amp;Calculs!O490&amp;","&amp;Calculs!N490&amp;","&amp;Calculs!P490&amp;","&amp;'Import OpenCPN'!AC491&amp;",Y,@"&amp;Symboles!C490&amp;",A,,,,")</f>
        <v/>
      </c>
    </row>
    <row r="491" spans="1:1" x14ac:dyDescent="0.2">
      <c r="A491" t="str">
        <f>IF(Calculs!A491=0,"","$PFEC,GPwpl,"&amp;Calculs!H491&amp;","&amp;Calculs!O491&amp;","&amp;Calculs!N491&amp;","&amp;Calculs!P491&amp;","&amp;'Import OpenCPN'!AC492&amp;",Y,@"&amp;Symboles!C491&amp;",A,,,,")</f>
        <v/>
      </c>
    </row>
    <row r="492" spans="1:1" x14ac:dyDescent="0.2">
      <c r="A492" t="str">
        <f>IF(Calculs!A492=0,"","$PFEC,GPwpl,"&amp;Calculs!H492&amp;","&amp;Calculs!O492&amp;","&amp;Calculs!N492&amp;","&amp;Calculs!P492&amp;","&amp;'Import OpenCPN'!AC493&amp;",Y,@"&amp;Symboles!C492&amp;",A,,,,")</f>
        <v/>
      </c>
    </row>
    <row r="493" spans="1:1" x14ac:dyDescent="0.2">
      <c r="A493" t="str">
        <f>IF(Calculs!A493=0,"","$PFEC,GPwpl,"&amp;Calculs!H493&amp;","&amp;Calculs!O493&amp;","&amp;Calculs!N493&amp;","&amp;Calculs!P493&amp;","&amp;'Import OpenCPN'!AC494&amp;",Y,@"&amp;Symboles!C493&amp;",A,,,,")</f>
        <v/>
      </c>
    </row>
    <row r="494" spans="1:1" x14ac:dyDescent="0.2">
      <c r="A494" t="str">
        <f>IF(Calculs!A494=0,"","$PFEC,GPwpl,"&amp;Calculs!H494&amp;","&amp;Calculs!O494&amp;","&amp;Calculs!N494&amp;","&amp;Calculs!P494&amp;","&amp;'Import OpenCPN'!AC495&amp;",Y,@"&amp;Symboles!C494&amp;",A,,,,")</f>
        <v/>
      </c>
    </row>
    <row r="495" spans="1:1" x14ac:dyDescent="0.2">
      <c r="A495" t="str">
        <f>IF(Calculs!A495=0,"","$PFEC,GPwpl,"&amp;Calculs!H495&amp;","&amp;Calculs!O495&amp;","&amp;Calculs!N495&amp;","&amp;Calculs!P495&amp;","&amp;'Import OpenCPN'!AC496&amp;",Y,@"&amp;Symboles!C495&amp;",A,,,,")</f>
        <v/>
      </c>
    </row>
    <row r="496" spans="1:1" x14ac:dyDescent="0.2">
      <c r="A496" t="str">
        <f>IF(Calculs!A496=0,"","$PFEC,GPwpl,"&amp;Calculs!H496&amp;","&amp;Calculs!O496&amp;","&amp;Calculs!N496&amp;","&amp;Calculs!P496&amp;","&amp;'Import OpenCPN'!AC497&amp;",Y,@"&amp;Symboles!C496&amp;",A,,,,")</f>
        <v/>
      </c>
    </row>
    <row r="497" spans="1:1" x14ac:dyDescent="0.2">
      <c r="A497" t="str">
        <f>IF(Calculs!A497=0,"","$PFEC,GPwpl,"&amp;Calculs!H497&amp;","&amp;Calculs!O497&amp;","&amp;Calculs!N497&amp;","&amp;Calculs!P497&amp;","&amp;'Import OpenCPN'!AC498&amp;",Y,@"&amp;Symboles!C497&amp;",A,,,,")</f>
        <v/>
      </c>
    </row>
    <row r="498" spans="1:1" x14ac:dyDescent="0.2">
      <c r="A498" t="str">
        <f>IF(Calculs!A498=0,"","$PFEC,GPwpl,"&amp;Calculs!H498&amp;","&amp;Calculs!O498&amp;","&amp;Calculs!N498&amp;","&amp;Calculs!P498&amp;","&amp;'Import OpenCPN'!AC499&amp;",Y,@"&amp;Symboles!C498&amp;",A,,,,")</f>
        <v/>
      </c>
    </row>
    <row r="499" spans="1:1" x14ac:dyDescent="0.2">
      <c r="A499" t="str">
        <f>IF(Calculs!A499=0,"","$PFEC,GPwpl,"&amp;Calculs!H499&amp;","&amp;Calculs!O499&amp;","&amp;Calculs!N499&amp;","&amp;Calculs!P499&amp;","&amp;'Import OpenCPN'!AC500&amp;",Y,@"&amp;Symboles!C499&amp;",A,,,,")</f>
        <v/>
      </c>
    </row>
    <row r="500" spans="1:1" x14ac:dyDescent="0.2">
      <c r="A500" t="str">
        <f>IF(Calculs!A500=0,"","$PFEC,GPwpl,"&amp;Calculs!H500&amp;","&amp;Calculs!O500&amp;","&amp;Calculs!N500&amp;","&amp;Calculs!P500&amp;","&amp;'Import OpenCPN'!AC501&amp;",Y,@"&amp;Symboles!C500&amp;",A,,,,")</f>
        <v/>
      </c>
    </row>
    <row r="501" spans="1:1" x14ac:dyDescent="0.2">
      <c r="A501" t="str">
        <f>IF(Calculs!A501=0,"","$PFEC,GPwpl,"&amp;Calculs!H501&amp;","&amp;Calculs!O501&amp;","&amp;Calculs!N501&amp;","&amp;Calculs!P501&amp;","&amp;'Import OpenCPN'!AC502&amp;",Y,@"&amp;Symboles!C501&amp;",A,,,,")</f>
        <v/>
      </c>
    </row>
    <row r="502" spans="1:1" x14ac:dyDescent="0.2">
      <c r="A502" t="str">
        <f>IF(Calculs!A502=0,"","$PFEC,GPwpl,"&amp;Calculs!H502&amp;","&amp;Calculs!O502&amp;","&amp;Calculs!N502&amp;","&amp;Calculs!P502&amp;","&amp;'Import OpenCPN'!AC503&amp;",Y,@"&amp;Symboles!C502&amp;",A,,,,")</f>
        <v/>
      </c>
    </row>
    <row r="503" spans="1:1" x14ac:dyDescent="0.2">
      <c r="A503" t="str">
        <f>IF(Calculs!A503=0,"","$PFEC,GPwpl,"&amp;Calculs!H503&amp;","&amp;Calculs!O503&amp;","&amp;Calculs!N503&amp;","&amp;Calculs!P503&amp;","&amp;'Import OpenCPN'!AC504&amp;",Y,@"&amp;Symboles!C503&amp;",A,,,,")</f>
        <v/>
      </c>
    </row>
    <row r="504" spans="1:1" x14ac:dyDescent="0.2">
      <c r="A504" t="str">
        <f>IF(Calculs!A504=0,"","$PFEC,GPwpl,"&amp;Calculs!H504&amp;","&amp;Calculs!O504&amp;","&amp;Calculs!N504&amp;","&amp;Calculs!P504&amp;","&amp;'Import OpenCPN'!AC505&amp;",Y,@"&amp;Symboles!C504&amp;",A,,,,")</f>
        <v/>
      </c>
    </row>
    <row r="505" spans="1:1" x14ac:dyDescent="0.2">
      <c r="A505" t="str">
        <f>IF(Calculs!A505=0,"","$PFEC,GPwpl,"&amp;Calculs!H505&amp;","&amp;Calculs!O505&amp;","&amp;Calculs!N505&amp;","&amp;Calculs!P505&amp;","&amp;'Import OpenCPN'!AC506&amp;",Y,@"&amp;Symboles!C505&amp;",A,,,,")</f>
        <v/>
      </c>
    </row>
    <row r="506" spans="1:1" x14ac:dyDescent="0.2">
      <c r="A506" t="str">
        <f>IF(Calculs!A506=0,"","$PFEC,GPwpl,"&amp;Calculs!H506&amp;","&amp;Calculs!O506&amp;","&amp;Calculs!N506&amp;","&amp;Calculs!P506&amp;","&amp;'Import OpenCPN'!AC507&amp;",Y,@"&amp;Symboles!C506&amp;",A,,,,")</f>
        <v/>
      </c>
    </row>
    <row r="507" spans="1:1" x14ac:dyDescent="0.2">
      <c r="A507" t="str">
        <f>IF(Calculs!A507=0,"","$PFEC,GPwpl,"&amp;Calculs!H507&amp;","&amp;Calculs!O507&amp;","&amp;Calculs!N507&amp;","&amp;Calculs!P507&amp;","&amp;'Import OpenCPN'!AC508&amp;",Y,@"&amp;Symboles!C507&amp;",A,,,,")</f>
        <v/>
      </c>
    </row>
    <row r="508" spans="1:1" x14ac:dyDescent="0.2">
      <c r="A508" t="str">
        <f>IF(Calculs!A508=0,"","$PFEC,GPwpl,"&amp;Calculs!H508&amp;","&amp;Calculs!O508&amp;","&amp;Calculs!N508&amp;","&amp;Calculs!P508&amp;","&amp;'Import OpenCPN'!AC509&amp;",Y,@"&amp;Symboles!C508&amp;",A,,,,")</f>
        <v/>
      </c>
    </row>
    <row r="509" spans="1:1" x14ac:dyDescent="0.2">
      <c r="A509" t="str">
        <f>IF(Calculs!A509=0,"","$PFEC,GPwpl,"&amp;Calculs!H509&amp;","&amp;Calculs!O509&amp;","&amp;Calculs!N509&amp;","&amp;Calculs!P509&amp;","&amp;'Import OpenCPN'!AC510&amp;",Y,@"&amp;Symboles!C509&amp;",A,,,,")</f>
        <v/>
      </c>
    </row>
    <row r="510" spans="1:1" x14ac:dyDescent="0.2">
      <c r="A510" t="str">
        <f>IF(Calculs!A510=0,"","$PFEC,GPwpl,"&amp;Calculs!H510&amp;","&amp;Calculs!O510&amp;","&amp;Calculs!N510&amp;","&amp;Calculs!P510&amp;","&amp;'Import OpenCPN'!AC511&amp;",Y,@"&amp;Symboles!C510&amp;",A,,,,")</f>
        <v/>
      </c>
    </row>
    <row r="511" spans="1:1" x14ac:dyDescent="0.2">
      <c r="A511" t="str">
        <f>IF(Calculs!A511=0,"","$PFEC,GPwpl,"&amp;Calculs!H511&amp;","&amp;Calculs!O511&amp;","&amp;Calculs!N511&amp;","&amp;Calculs!P511&amp;","&amp;'Import OpenCPN'!AC512&amp;",Y,@"&amp;Symboles!C511&amp;",A,,,,")</f>
        <v/>
      </c>
    </row>
    <row r="512" spans="1:1" x14ac:dyDescent="0.2">
      <c r="A512" t="str">
        <f>IF(Calculs!A512=0,"","$PFEC,GPwpl,"&amp;Calculs!H512&amp;","&amp;Calculs!O512&amp;","&amp;Calculs!N512&amp;","&amp;Calculs!P512&amp;","&amp;'Import OpenCPN'!AC513&amp;",Y,@"&amp;Symboles!C512&amp;",A,,,,")</f>
        <v/>
      </c>
    </row>
    <row r="513" spans="1:1" x14ac:dyDescent="0.2">
      <c r="A513" t="str">
        <f>IF(Calculs!A513=0,"","$PFEC,GPwpl,"&amp;Calculs!H513&amp;","&amp;Calculs!O513&amp;","&amp;Calculs!N513&amp;","&amp;Calculs!P513&amp;","&amp;'Import OpenCPN'!AC514&amp;",Y,@"&amp;Symboles!C513&amp;",A,,,,")</f>
        <v/>
      </c>
    </row>
    <row r="514" spans="1:1" x14ac:dyDescent="0.2">
      <c r="A514" t="str">
        <f>IF(Calculs!A514=0,"","$PFEC,GPwpl,"&amp;Calculs!H514&amp;","&amp;Calculs!O514&amp;","&amp;Calculs!N514&amp;","&amp;Calculs!P514&amp;","&amp;'Import OpenCPN'!AC515&amp;",Y,@"&amp;Symboles!C514&amp;",A,,,,")</f>
        <v/>
      </c>
    </row>
    <row r="515" spans="1:1" x14ac:dyDescent="0.2">
      <c r="A515" t="str">
        <f>IF(Calculs!A515=0,"","$PFEC,GPwpl,"&amp;Calculs!H515&amp;","&amp;Calculs!O515&amp;","&amp;Calculs!N515&amp;","&amp;Calculs!P515&amp;","&amp;'Import OpenCPN'!AC516&amp;",Y,@"&amp;Symboles!C515&amp;",A,,,,")</f>
        <v/>
      </c>
    </row>
    <row r="516" spans="1:1" x14ac:dyDescent="0.2">
      <c r="A516" t="str">
        <f>IF(Calculs!A516=0,"","$PFEC,GPwpl,"&amp;Calculs!H516&amp;","&amp;Calculs!O516&amp;","&amp;Calculs!N516&amp;","&amp;Calculs!P516&amp;","&amp;'Import OpenCPN'!AC517&amp;",Y,@"&amp;Symboles!C516&amp;",A,,,,")</f>
        <v/>
      </c>
    </row>
    <row r="517" spans="1:1" x14ac:dyDescent="0.2">
      <c r="A517" t="str">
        <f>IF(Calculs!A517=0,"","$PFEC,GPwpl,"&amp;Calculs!H517&amp;","&amp;Calculs!O517&amp;","&amp;Calculs!N517&amp;","&amp;Calculs!P517&amp;","&amp;'Import OpenCPN'!AC518&amp;",Y,@"&amp;Symboles!C517&amp;",A,,,,")</f>
        <v/>
      </c>
    </row>
    <row r="518" spans="1:1" x14ac:dyDescent="0.2">
      <c r="A518" t="str">
        <f>IF(Calculs!A518=0,"","$PFEC,GPwpl,"&amp;Calculs!H518&amp;","&amp;Calculs!O518&amp;","&amp;Calculs!N518&amp;","&amp;Calculs!P518&amp;","&amp;'Import OpenCPN'!AC519&amp;",Y,@"&amp;Symboles!C518&amp;",A,,,,")</f>
        <v/>
      </c>
    </row>
    <row r="519" spans="1:1" x14ac:dyDescent="0.2">
      <c r="A519" t="str">
        <f>IF(Calculs!A519=0,"","$PFEC,GPwpl,"&amp;Calculs!H519&amp;","&amp;Calculs!O519&amp;","&amp;Calculs!N519&amp;","&amp;Calculs!P519&amp;","&amp;'Import OpenCPN'!AC520&amp;",Y,@"&amp;Symboles!C519&amp;",A,,,,")</f>
        <v/>
      </c>
    </row>
    <row r="520" spans="1:1" x14ac:dyDescent="0.2">
      <c r="A520" t="str">
        <f>IF(Calculs!A520=0,"","$PFEC,GPwpl,"&amp;Calculs!H520&amp;","&amp;Calculs!O520&amp;","&amp;Calculs!N520&amp;","&amp;Calculs!P520&amp;","&amp;'Import OpenCPN'!AC521&amp;",Y,@"&amp;Symboles!C520&amp;",A,,,,")</f>
        <v/>
      </c>
    </row>
    <row r="521" spans="1:1" x14ac:dyDescent="0.2">
      <c r="A521" t="str">
        <f>IF(Calculs!A521=0,"","$PFEC,GPwpl,"&amp;Calculs!H521&amp;","&amp;Calculs!O521&amp;","&amp;Calculs!N521&amp;","&amp;Calculs!P521&amp;","&amp;'Import OpenCPN'!AC522&amp;",Y,@"&amp;Symboles!C521&amp;",A,,,,")</f>
        <v/>
      </c>
    </row>
    <row r="522" spans="1:1" x14ac:dyDescent="0.2">
      <c r="A522" t="str">
        <f>IF(Calculs!A522=0,"","$PFEC,GPwpl,"&amp;Calculs!H522&amp;","&amp;Calculs!O522&amp;","&amp;Calculs!N522&amp;","&amp;Calculs!P522&amp;","&amp;'Import OpenCPN'!AC523&amp;",Y,@"&amp;Symboles!C522&amp;",A,,,,")</f>
        <v/>
      </c>
    </row>
    <row r="523" spans="1:1" x14ac:dyDescent="0.2">
      <c r="A523" t="str">
        <f>IF(Calculs!A523=0,"","$PFEC,GPwpl,"&amp;Calculs!H523&amp;","&amp;Calculs!O523&amp;","&amp;Calculs!N523&amp;","&amp;Calculs!P523&amp;","&amp;'Import OpenCPN'!AC524&amp;",Y,@"&amp;Symboles!C523&amp;",A,,,,")</f>
        <v/>
      </c>
    </row>
    <row r="524" spans="1:1" x14ac:dyDescent="0.2">
      <c r="A524" t="str">
        <f>IF(Calculs!A524=0,"","$PFEC,GPwpl,"&amp;Calculs!H524&amp;","&amp;Calculs!O524&amp;","&amp;Calculs!N524&amp;","&amp;Calculs!P524&amp;","&amp;'Import OpenCPN'!AC525&amp;",Y,@"&amp;Symboles!C524&amp;",A,,,,")</f>
        <v/>
      </c>
    </row>
    <row r="525" spans="1:1" x14ac:dyDescent="0.2">
      <c r="A525" t="str">
        <f>IF(Calculs!A525=0,"","$PFEC,GPwpl,"&amp;Calculs!H525&amp;","&amp;Calculs!O525&amp;","&amp;Calculs!N525&amp;","&amp;Calculs!P525&amp;","&amp;'Import OpenCPN'!AC526&amp;",Y,@"&amp;Symboles!C525&amp;",A,,,,")</f>
        <v/>
      </c>
    </row>
    <row r="526" spans="1:1" x14ac:dyDescent="0.2">
      <c r="A526" t="str">
        <f>IF(Calculs!A526=0,"","$PFEC,GPwpl,"&amp;Calculs!H526&amp;","&amp;Calculs!O526&amp;","&amp;Calculs!N526&amp;","&amp;Calculs!P526&amp;","&amp;'Import OpenCPN'!AC527&amp;",Y,@"&amp;Symboles!C526&amp;",A,,,,")</f>
        <v/>
      </c>
    </row>
    <row r="527" spans="1:1" x14ac:dyDescent="0.2">
      <c r="A527" t="str">
        <f>IF(Calculs!A527=0,"","$PFEC,GPwpl,"&amp;Calculs!H527&amp;","&amp;Calculs!O527&amp;","&amp;Calculs!N527&amp;","&amp;Calculs!P527&amp;","&amp;'Import OpenCPN'!AC528&amp;",Y,@"&amp;Symboles!C527&amp;",A,,,,")</f>
        <v/>
      </c>
    </row>
    <row r="528" spans="1:1" x14ac:dyDescent="0.2">
      <c r="A528" t="str">
        <f>IF(Calculs!A528=0,"","$PFEC,GPwpl,"&amp;Calculs!H528&amp;","&amp;Calculs!O528&amp;","&amp;Calculs!N528&amp;","&amp;Calculs!P528&amp;","&amp;'Import OpenCPN'!AC529&amp;",Y,@"&amp;Symboles!C528&amp;",A,,,,")</f>
        <v/>
      </c>
    </row>
    <row r="529" spans="1:1" x14ac:dyDescent="0.2">
      <c r="A529" t="str">
        <f>IF(Calculs!A529=0,"","$PFEC,GPwpl,"&amp;Calculs!H529&amp;","&amp;Calculs!O529&amp;","&amp;Calculs!N529&amp;","&amp;Calculs!P529&amp;","&amp;'Import OpenCPN'!AC530&amp;",Y,@"&amp;Symboles!C529&amp;",A,,,,")</f>
        <v/>
      </c>
    </row>
    <row r="530" spans="1:1" x14ac:dyDescent="0.2">
      <c r="A530" t="str">
        <f>IF(Calculs!A530=0,"","$PFEC,GPwpl,"&amp;Calculs!H530&amp;","&amp;Calculs!O530&amp;","&amp;Calculs!N530&amp;","&amp;Calculs!P530&amp;","&amp;'Import OpenCPN'!AC531&amp;",Y,@"&amp;Symboles!C530&amp;",A,,,,")</f>
        <v/>
      </c>
    </row>
    <row r="531" spans="1:1" x14ac:dyDescent="0.2">
      <c r="A531" t="str">
        <f>IF(Calculs!A531=0,"","$PFEC,GPwpl,"&amp;Calculs!H531&amp;","&amp;Calculs!O531&amp;","&amp;Calculs!N531&amp;","&amp;Calculs!P531&amp;","&amp;'Import OpenCPN'!AC532&amp;",Y,@"&amp;Symboles!C531&amp;",A,,,,")</f>
        <v/>
      </c>
    </row>
    <row r="532" spans="1:1" x14ac:dyDescent="0.2">
      <c r="A532" t="str">
        <f>IF(Calculs!A532=0,"","$PFEC,GPwpl,"&amp;Calculs!H532&amp;","&amp;Calculs!O532&amp;","&amp;Calculs!N532&amp;","&amp;Calculs!P532&amp;","&amp;'Import OpenCPN'!AC533&amp;",Y,@"&amp;Symboles!C532&amp;",A,,,,")</f>
        <v/>
      </c>
    </row>
    <row r="533" spans="1:1" x14ac:dyDescent="0.2">
      <c r="A533" t="str">
        <f>IF(Calculs!A533=0,"","$PFEC,GPwpl,"&amp;Calculs!H533&amp;","&amp;Calculs!O533&amp;","&amp;Calculs!N533&amp;","&amp;Calculs!P533&amp;","&amp;'Import OpenCPN'!AC534&amp;",Y,@"&amp;Symboles!C533&amp;",A,,,,")</f>
        <v/>
      </c>
    </row>
    <row r="534" spans="1:1" x14ac:dyDescent="0.2">
      <c r="A534" t="str">
        <f>IF(Calculs!A534=0,"","$PFEC,GPwpl,"&amp;Calculs!H534&amp;","&amp;Calculs!O534&amp;","&amp;Calculs!N534&amp;","&amp;Calculs!P534&amp;","&amp;'Import OpenCPN'!AC535&amp;",Y,@"&amp;Symboles!C534&amp;",A,,,,")</f>
        <v/>
      </c>
    </row>
    <row r="535" spans="1:1" x14ac:dyDescent="0.2">
      <c r="A535" t="str">
        <f>IF(Calculs!A535=0,"","$PFEC,GPwpl,"&amp;Calculs!H535&amp;","&amp;Calculs!O535&amp;","&amp;Calculs!N535&amp;","&amp;Calculs!P535&amp;","&amp;'Import OpenCPN'!AC536&amp;",Y,@"&amp;Symboles!C535&amp;",A,,,,")</f>
        <v/>
      </c>
    </row>
    <row r="536" spans="1:1" x14ac:dyDescent="0.2">
      <c r="A536" t="str">
        <f>IF(Calculs!A536=0,"","$PFEC,GPwpl,"&amp;Calculs!H536&amp;","&amp;Calculs!O536&amp;","&amp;Calculs!N536&amp;","&amp;Calculs!P536&amp;","&amp;'Import OpenCPN'!AC537&amp;",Y,@"&amp;Symboles!C536&amp;",A,,,,")</f>
        <v/>
      </c>
    </row>
    <row r="537" spans="1:1" x14ac:dyDescent="0.2">
      <c r="A537" t="str">
        <f>IF(Calculs!A537=0,"","$PFEC,GPwpl,"&amp;Calculs!H537&amp;","&amp;Calculs!O537&amp;","&amp;Calculs!N537&amp;","&amp;Calculs!P537&amp;","&amp;'Import OpenCPN'!AC538&amp;",Y,@"&amp;Symboles!C537&amp;",A,,,,")</f>
        <v/>
      </c>
    </row>
    <row r="538" spans="1:1" x14ac:dyDescent="0.2">
      <c r="A538" t="str">
        <f>IF(Calculs!A538=0,"","$PFEC,GPwpl,"&amp;Calculs!H538&amp;","&amp;Calculs!O538&amp;","&amp;Calculs!N538&amp;","&amp;Calculs!P538&amp;","&amp;'Import OpenCPN'!AC539&amp;",Y,@"&amp;Symboles!C538&amp;",A,,,,")</f>
        <v/>
      </c>
    </row>
    <row r="539" spans="1:1" x14ac:dyDescent="0.2">
      <c r="A539" t="str">
        <f>IF(Calculs!A539=0,"","$PFEC,GPwpl,"&amp;Calculs!H539&amp;","&amp;Calculs!O539&amp;","&amp;Calculs!N539&amp;","&amp;Calculs!P539&amp;","&amp;'Import OpenCPN'!AC540&amp;",Y,@"&amp;Symboles!C539&amp;",A,,,,")</f>
        <v/>
      </c>
    </row>
    <row r="540" spans="1:1" x14ac:dyDescent="0.2">
      <c r="A540" t="str">
        <f>IF(Calculs!A540=0,"","$PFEC,GPwpl,"&amp;Calculs!H540&amp;","&amp;Calculs!O540&amp;","&amp;Calculs!N540&amp;","&amp;Calculs!P540&amp;","&amp;'Import OpenCPN'!AC541&amp;",Y,@"&amp;Symboles!C540&amp;",A,,,,")</f>
        <v/>
      </c>
    </row>
    <row r="541" spans="1:1" x14ac:dyDescent="0.2">
      <c r="A541" t="str">
        <f>IF(Calculs!A541=0,"","$PFEC,GPwpl,"&amp;Calculs!H541&amp;","&amp;Calculs!O541&amp;","&amp;Calculs!N541&amp;","&amp;Calculs!P541&amp;","&amp;'Import OpenCPN'!AC542&amp;",Y,@"&amp;Symboles!C541&amp;",A,,,,")</f>
        <v/>
      </c>
    </row>
    <row r="542" spans="1:1" x14ac:dyDescent="0.2">
      <c r="A542" t="str">
        <f>IF(Calculs!A542=0,"","$PFEC,GPwpl,"&amp;Calculs!H542&amp;","&amp;Calculs!O542&amp;","&amp;Calculs!N542&amp;","&amp;Calculs!P542&amp;","&amp;'Import OpenCPN'!AC543&amp;",Y,@"&amp;Symboles!C542&amp;",A,,,,")</f>
        <v/>
      </c>
    </row>
    <row r="543" spans="1:1" x14ac:dyDescent="0.2">
      <c r="A543" t="str">
        <f>IF(Calculs!A543=0,"","$PFEC,GPwpl,"&amp;Calculs!H543&amp;","&amp;Calculs!O543&amp;","&amp;Calculs!N543&amp;","&amp;Calculs!P543&amp;","&amp;'Import OpenCPN'!AC544&amp;",Y,@"&amp;Symboles!C543&amp;",A,,,,")</f>
        <v/>
      </c>
    </row>
    <row r="544" spans="1:1" x14ac:dyDescent="0.2">
      <c r="A544" t="str">
        <f>IF(Calculs!A544=0,"","$PFEC,GPwpl,"&amp;Calculs!H544&amp;","&amp;Calculs!O544&amp;","&amp;Calculs!N544&amp;","&amp;Calculs!P544&amp;","&amp;'Import OpenCPN'!AC545&amp;",Y,@"&amp;Symboles!C544&amp;",A,,,,")</f>
        <v/>
      </c>
    </row>
    <row r="545" spans="1:1" x14ac:dyDescent="0.2">
      <c r="A545" t="str">
        <f>IF(Calculs!A545=0,"","$PFEC,GPwpl,"&amp;Calculs!H545&amp;","&amp;Calculs!O545&amp;","&amp;Calculs!N545&amp;","&amp;Calculs!P545&amp;","&amp;'Import OpenCPN'!AC546&amp;",Y,@"&amp;Symboles!C545&amp;",A,,,,")</f>
        <v/>
      </c>
    </row>
    <row r="546" spans="1:1" x14ac:dyDescent="0.2">
      <c r="A546" t="str">
        <f>IF(Calculs!A546=0,"","$PFEC,GPwpl,"&amp;Calculs!H546&amp;","&amp;Calculs!O546&amp;","&amp;Calculs!N546&amp;","&amp;Calculs!P546&amp;","&amp;'Import OpenCPN'!AC547&amp;",Y,@"&amp;Symboles!C546&amp;",A,,,,")</f>
        <v/>
      </c>
    </row>
    <row r="547" spans="1:1" x14ac:dyDescent="0.2">
      <c r="A547" t="str">
        <f>IF(Calculs!A547=0,"","$PFEC,GPwpl,"&amp;Calculs!H547&amp;","&amp;Calculs!O547&amp;","&amp;Calculs!N547&amp;","&amp;Calculs!P547&amp;","&amp;'Import OpenCPN'!AC548&amp;",Y,@"&amp;Symboles!C547&amp;",A,,,,")</f>
        <v/>
      </c>
    </row>
    <row r="548" spans="1:1" x14ac:dyDescent="0.2">
      <c r="A548" t="str">
        <f>IF(Calculs!A548=0,"","$PFEC,GPwpl,"&amp;Calculs!H548&amp;","&amp;Calculs!O548&amp;","&amp;Calculs!N548&amp;","&amp;Calculs!P548&amp;","&amp;'Import OpenCPN'!AC549&amp;",Y,@"&amp;Symboles!C548&amp;",A,,,,")</f>
        <v/>
      </c>
    </row>
    <row r="549" spans="1:1" x14ac:dyDescent="0.2">
      <c r="A549" t="str">
        <f>IF(Calculs!A549=0,"","$PFEC,GPwpl,"&amp;Calculs!H549&amp;","&amp;Calculs!O549&amp;","&amp;Calculs!N549&amp;","&amp;Calculs!P549&amp;","&amp;'Import OpenCPN'!AC550&amp;",Y,@"&amp;Symboles!C549&amp;",A,,,,")</f>
        <v/>
      </c>
    </row>
    <row r="550" spans="1:1" x14ac:dyDescent="0.2">
      <c r="A550" t="str">
        <f>IF(Calculs!A550=0,"","$PFEC,GPwpl,"&amp;Calculs!H550&amp;","&amp;Calculs!O550&amp;","&amp;Calculs!N550&amp;","&amp;Calculs!P550&amp;","&amp;'Import OpenCPN'!AC551&amp;",Y,@"&amp;Symboles!C550&amp;",A,,,,")</f>
        <v/>
      </c>
    </row>
    <row r="551" spans="1:1" x14ac:dyDescent="0.2">
      <c r="A551" t="str">
        <f>IF(Calculs!A551=0,"","$PFEC,GPwpl,"&amp;Calculs!H551&amp;","&amp;Calculs!O551&amp;","&amp;Calculs!N551&amp;","&amp;Calculs!P551&amp;","&amp;'Import OpenCPN'!AC552&amp;",Y,@"&amp;Symboles!C551&amp;",A,,,,")</f>
        <v/>
      </c>
    </row>
    <row r="552" spans="1:1" x14ac:dyDescent="0.2">
      <c r="A552" t="str">
        <f>IF(Calculs!A552=0,"","$PFEC,GPwpl,"&amp;Calculs!H552&amp;","&amp;Calculs!O552&amp;","&amp;Calculs!N552&amp;","&amp;Calculs!P552&amp;","&amp;'Import OpenCPN'!AC553&amp;",Y,@"&amp;Symboles!C552&amp;",A,,,,")</f>
        <v/>
      </c>
    </row>
    <row r="553" spans="1:1" x14ac:dyDescent="0.2">
      <c r="A553" t="str">
        <f>IF(Calculs!A553=0,"","$PFEC,GPwpl,"&amp;Calculs!H553&amp;","&amp;Calculs!O553&amp;","&amp;Calculs!N553&amp;","&amp;Calculs!P553&amp;","&amp;'Import OpenCPN'!AC554&amp;",Y,@"&amp;Symboles!C553&amp;",A,,,,")</f>
        <v/>
      </c>
    </row>
    <row r="554" spans="1:1" x14ac:dyDescent="0.2">
      <c r="A554" t="str">
        <f>IF(Calculs!A554=0,"","$PFEC,GPwpl,"&amp;Calculs!H554&amp;","&amp;Calculs!O554&amp;","&amp;Calculs!N554&amp;","&amp;Calculs!P554&amp;","&amp;'Import OpenCPN'!AC555&amp;",Y,@"&amp;Symboles!C554&amp;",A,,,,")</f>
        <v/>
      </c>
    </row>
    <row r="555" spans="1:1" x14ac:dyDescent="0.2">
      <c r="A555" t="str">
        <f>IF(Calculs!A555=0,"","$PFEC,GPwpl,"&amp;Calculs!H555&amp;","&amp;Calculs!O555&amp;","&amp;Calculs!N555&amp;","&amp;Calculs!P555&amp;","&amp;'Import OpenCPN'!AC556&amp;",Y,@"&amp;Symboles!C555&amp;",A,,,,")</f>
        <v/>
      </c>
    </row>
    <row r="556" spans="1:1" x14ac:dyDescent="0.2">
      <c r="A556" t="str">
        <f>IF(Calculs!A556=0,"","$PFEC,GPwpl,"&amp;Calculs!H556&amp;","&amp;Calculs!O556&amp;","&amp;Calculs!N556&amp;","&amp;Calculs!P556&amp;","&amp;'Import OpenCPN'!AC557&amp;",Y,@"&amp;Symboles!C556&amp;",A,,,,")</f>
        <v/>
      </c>
    </row>
    <row r="557" spans="1:1" x14ac:dyDescent="0.2">
      <c r="A557" t="str">
        <f>IF(Calculs!A557=0,"","$PFEC,GPwpl,"&amp;Calculs!H557&amp;","&amp;Calculs!O557&amp;","&amp;Calculs!N557&amp;","&amp;Calculs!P557&amp;","&amp;'Import OpenCPN'!AC558&amp;",Y,@"&amp;Symboles!C557&amp;",A,,,,")</f>
        <v/>
      </c>
    </row>
    <row r="558" spans="1:1" x14ac:dyDescent="0.2">
      <c r="A558" t="str">
        <f>IF(Calculs!A558=0,"","$PFEC,GPwpl,"&amp;Calculs!H558&amp;","&amp;Calculs!O558&amp;","&amp;Calculs!N558&amp;","&amp;Calculs!P558&amp;","&amp;'Import OpenCPN'!AC559&amp;",Y,@"&amp;Symboles!C558&amp;",A,,,,")</f>
        <v/>
      </c>
    </row>
    <row r="559" spans="1:1" x14ac:dyDescent="0.2">
      <c r="A559" t="str">
        <f>IF(Calculs!A559=0,"","$PFEC,GPwpl,"&amp;Calculs!H559&amp;","&amp;Calculs!O559&amp;","&amp;Calculs!N559&amp;","&amp;Calculs!P559&amp;","&amp;'Import OpenCPN'!AC560&amp;",Y,@"&amp;Symboles!C559&amp;",A,,,,")</f>
        <v/>
      </c>
    </row>
    <row r="560" spans="1:1" x14ac:dyDescent="0.2">
      <c r="A560" t="str">
        <f>IF(Calculs!A560=0,"","$PFEC,GPwpl,"&amp;Calculs!H560&amp;","&amp;Calculs!O560&amp;","&amp;Calculs!N560&amp;","&amp;Calculs!P560&amp;","&amp;'Import OpenCPN'!AC561&amp;",Y,@"&amp;Symboles!C560&amp;",A,,,,")</f>
        <v/>
      </c>
    </row>
    <row r="561" spans="1:1" x14ac:dyDescent="0.2">
      <c r="A561" t="str">
        <f>IF(Calculs!A561=0,"","$PFEC,GPwpl,"&amp;Calculs!H561&amp;","&amp;Calculs!O561&amp;","&amp;Calculs!N561&amp;","&amp;Calculs!P561&amp;","&amp;'Import OpenCPN'!AC562&amp;",Y,@"&amp;Symboles!C561&amp;",A,,,,")</f>
        <v/>
      </c>
    </row>
    <row r="562" spans="1:1" x14ac:dyDescent="0.2">
      <c r="A562" t="str">
        <f>IF(Calculs!A562=0,"","$PFEC,GPwpl,"&amp;Calculs!H562&amp;","&amp;Calculs!O562&amp;","&amp;Calculs!N562&amp;","&amp;Calculs!P562&amp;","&amp;'Import OpenCPN'!AC563&amp;",Y,@"&amp;Symboles!C562&amp;",A,,,,")</f>
        <v/>
      </c>
    </row>
    <row r="563" spans="1:1" x14ac:dyDescent="0.2">
      <c r="A563" t="str">
        <f>IF(Calculs!A563=0,"","$PFEC,GPwpl,"&amp;Calculs!H563&amp;","&amp;Calculs!O563&amp;","&amp;Calculs!N563&amp;","&amp;Calculs!P563&amp;","&amp;'Import OpenCPN'!AC564&amp;",Y,@"&amp;Symboles!C563&amp;",A,,,,")</f>
        <v/>
      </c>
    </row>
    <row r="564" spans="1:1" x14ac:dyDescent="0.2">
      <c r="A564" t="str">
        <f>IF(Calculs!A564=0,"","$PFEC,GPwpl,"&amp;Calculs!H564&amp;","&amp;Calculs!O564&amp;","&amp;Calculs!N564&amp;","&amp;Calculs!P564&amp;","&amp;'Import OpenCPN'!AC565&amp;",Y,@"&amp;Symboles!C564&amp;",A,,,,")</f>
        <v/>
      </c>
    </row>
    <row r="565" spans="1:1" x14ac:dyDescent="0.2">
      <c r="A565" t="str">
        <f>IF(Calculs!A565=0,"","$PFEC,GPwpl,"&amp;Calculs!H565&amp;","&amp;Calculs!O565&amp;","&amp;Calculs!N565&amp;","&amp;Calculs!P565&amp;","&amp;'Import OpenCPN'!AC566&amp;",Y,@"&amp;Symboles!C565&amp;",A,,,,")</f>
        <v/>
      </c>
    </row>
    <row r="566" spans="1:1" x14ac:dyDescent="0.2">
      <c r="A566" t="str">
        <f>IF(Calculs!A566=0,"","$PFEC,GPwpl,"&amp;Calculs!H566&amp;","&amp;Calculs!O566&amp;","&amp;Calculs!N566&amp;","&amp;Calculs!P566&amp;","&amp;'Import OpenCPN'!AC567&amp;",Y,@"&amp;Symboles!C566&amp;",A,,,,")</f>
        <v/>
      </c>
    </row>
    <row r="567" spans="1:1" x14ac:dyDescent="0.2">
      <c r="A567" t="str">
        <f>IF(Calculs!A567=0,"","$PFEC,GPwpl,"&amp;Calculs!H567&amp;","&amp;Calculs!O567&amp;","&amp;Calculs!N567&amp;","&amp;Calculs!P567&amp;","&amp;'Import OpenCPN'!AC568&amp;",Y,@"&amp;Symboles!C567&amp;",A,,,,")</f>
        <v/>
      </c>
    </row>
    <row r="568" spans="1:1" x14ac:dyDescent="0.2">
      <c r="A568" t="str">
        <f>IF(Calculs!A568=0,"","$PFEC,GPwpl,"&amp;Calculs!H568&amp;","&amp;Calculs!O568&amp;","&amp;Calculs!N568&amp;","&amp;Calculs!P568&amp;","&amp;'Import OpenCPN'!AC569&amp;",Y,@"&amp;Symboles!C568&amp;",A,,,,")</f>
        <v/>
      </c>
    </row>
    <row r="569" spans="1:1" x14ac:dyDescent="0.2">
      <c r="A569" t="str">
        <f>IF(Calculs!A569=0,"","$PFEC,GPwpl,"&amp;Calculs!H569&amp;","&amp;Calculs!O569&amp;","&amp;Calculs!N569&amp;","&amp;Calculs!P569&amp;","&amp;'Import OpenCPN'!AC570&amp;",Y,@"&amp;Symboles!C569&amp;",A,,,,")</f>
        <v/>
      </c>
    </row>
    <row r="570" spans="1:1" x14ac:dyDescent="0.2">
      <c r="A570" t="str">
        <f>IF(Calculs!A570=0,"","$PFEC,GPwpl,"&amp;Calculs!H570&amp;","&amp;Calculs!O570&amp;","&amp;Calculs!N570&amp;","&amp;Calculs!P570&amp;","&amp;'Import OpenCPN'!AC571&amp;",Y,@"&amp;Symboles!C570&amp;",A,,,,")</f>
        <v/>
      </c>
    </row>
    <row r="571" spans="1:1" x14ac:dyDescent="0.2">
      <c r="A571" t="str">
        <f>IF(Calculs!A571=0,"","$PFEC,GPwpl,"&amp;Calculs!H571&amp;","&amp;Calculs!O571&amp;","&amp;Calculs!N571&amp;","&amp;Calculs!P571&amp;","&amp;'Import OpenCPN'!AC572&amp;",Y,@"&amp;Symboles!C571&amp;",A,,,,")</f>
        <v/>
      </c>
    </row>
    <row r="572" spans="1:1" x14ac:dyDescent="0.2">
      <c r="A572" t="str">
        <f>IF(Calculs!A572=0,"","$PFEC,GPwpl,"&amp;Calculs!H572&amp;","&amp;Calculs!O572&amp;","&amp;Calculs!N572&amp;","&amp;Calculs!P572&amp;","&amp;'Import OpenCPN'!AC573&amp;",Y,@"&amp;Symboles!C572&amp;",A,,,,")</f>
        <v/>
      </c>
    </row>
    <row r="573" spans="1:1" x14ac:dyDescent="0.2">
      <c r="A573" t="str">
        <f>IF(Calculs!A573=0,"","$PFEC,GPwpl,"&amp;Calculs!H573&amp;","&amp;Calculs!O573&amp;","&amp;Calculs!N573&amp;","&amp;Calculs!P573&amp;","&amp;'Import OpenCPN'!AC574&amp;",Y,@"&amp;Symboles!C573&amp;",A,,,,")</f>
        <v/>
      </c>
    </row>
    <row r="574" spans="1:1" x14ac:dyDescent="0.2">
      <c r="A574" t="str">
        <f>IF(Calculs!A574=0,"","$PFEC,GPwpl,"&amp;Calculs!H574&amp;","&amp;Calculs!O574&amp;","&amp;Calculs!N574&amp;","&amp;Calculs!P574&amp;","&amp;'Import OpenCPN'!AC575&amp;",Y,@"&amp;Symboles!C574&amp;",A,,,,")</f>
        <v/>
      </c>
    </row>
    <row r="575" spans="1:1" x14ac:dyDescent="0.2">
      <c r="A575" t="str">
        <f>IF(Calculs!A575=0,"","$PFEC,GPwpl,"&amp;Calculs!H575&amp;","&amp;Calculs!O575&amp;","&amp;Calculs!N575&amp;","&amp;Calculs!P575&amp;","&amp;'Import OpenCPN'!AC576&amp;",Y,@"&amp;Symboles!C575&amp;",A,,,,")</f>
        <v/>
      </c>
    </row>
    <row r="576" spans="1:1" x14ac:dyDescent="0.2">
      <c r="A576" t="str">
        <f>IF(Calculs!A576=0,"","$PFEC,GPwpl,"&amp;Calculs!H576&amp;","&amp;Calculs!O576&amp;","&amp;Calculs!N576&amp;","&amp;Calculs!P576&amp;","&amp;'Import OpenCPN'!AC577&amp;",Y,@"&amp;Symboles!C576&amp;",A,,,,")</f>
        <v/>
      </c>
    </row>
    <row r="577" spans="1:1" x14ac:dyDescent="0.2">
      <c r="A577" t="str">
        <f>IF(Calculs!A577=0,"","$PFEC,GPwpl,"&amp;Calculs!H577&amp;","&amp;Calculs!O577&amp;","&amp;Calculs!N577&amp;","&amp;Calculs!P577&amp;","&amp;'Import OpenCPN'!AC578&amp;",Y,@"&amp;Symboles!C577&amp;",A,,,,")</f>
        <v/>
      </c>
    </row>
    <row r="578" spans="1:1" x14ac:dyDescent="0.2">
      <c r="A578" t="str">
        <f>IF(Calculs!A578=0,"","$PFEC,GPwpl,"&amp;Calculs!H578&amp;","&amp;Calculs!O578&amp;","&amp;Calculs!N578&amp;","&amp;Calculs!P578&amp;","&amp;'Import OpenCPN'!AC579&amp;",Y,@"&amp;Symboles!C578&amp;",A,,,,")</f>
        <v/>
      </c>
    </row>
    <row r="579" spans="1:1" x14ac:dyDescent="0.2">
      <c r="A579" t="str">
        <f>IF(Calculs!A579=0,"","$PFEC,GPwpl,"&amp;Calculs!H579&amp;","&amp;Calculs!O579&amp;","&amp;Calculs!N579&amp;","&amp;Calculs!P579&amp;","&amp;'Import OpenCPN'!AC580&amp;",Y,@"&amp;Symboles!C579&amp;",A,,,,")</f>
        <v/>
      </c>
    </row>
    <row r="580" spans="1:1" x14ac:dyDescent="0.2">
      <c r="A580" t="str">
        <f>IF(Calculs!A580=0,"","$PFEC,GPwpl,"&amp;Calculs!H580&amp;","&amp;Calculs!O580&amp;","&amp;Calculs!N580&amp;","&amp;Calculs!P580&amp;","&amp;'Import OpenCPN'!AC581&amp;",Y,@"&amp;Symboles!C580&amp;",A,,,,")</f>
        <v/>
      </c>
    </row>
    <row r="581" spans="1:1" x14ac:dyDescent="0.2">
      <c r="A581" t="str">
        <f>IF(Calculs!A581=0,"","$PFEC,GPwpl,"&amp;Calculs!H581&amp;","&amp;Calculs!O581&amp;","&amp;Calculs!N581&amp;","&amp;Calculs!P581&amp;","&amp;'Import OpenCPN'!AC582&amp;",Y,@"&amp;Symboles!C581&amp;",A,,,,")</f>
        <v/>
      </c>
    </row>
    <row r="582" spans="1:1" x14ac:dyDescent="0.2">
      <c r="A582" t="str">
        <f>IF(Calculs!A582=0,"","$PFEC,GPwpl,"&amp;Calculs!H582&amp;","&amp;Calculs!O582&amp;","&amp;Calculs!N582&amp;","&amp;Calculs!P582&amp;","&amp;'Import OpenCPN'!AC583&amp;",Y,@"&amp;Symboles!C582&amp;",A,,,,")</f>
        <v/>
      </c>
    </row>
    <row r="583" spans="1:1" x14ac:dyDescent="0.2">
      <c r="A583" t="str">
        <f>IF(Calculs!A583=0,"","$PFEC,GPwpl,"&amp;Calculs!H583&amp;","&amp;Calculs!O583&amp;","&amp;Calculs!N583&amp;","&amp;Calculs!P583&amp;","&amp;'Import OpenCPN'!AC584&amp;",Y,@"&amp;Symboles!C583&amp;",A,,,,")</f>
        <v/>
      </c>
    </row>
    <row r="584" spans="1:1" x14ac:dyDescent="0.2">
      <c r="A584" t="str">
        <f>IF(Calculs!A584=0,"","$PFEC,GPwpl,"&amp;Calculs!H584&amp;","&amp;Calculs!O584&amp;","&amp;Calculs!N584&amp;","&amp;Calculs!P584&amp;","&amp;'Import OpenCPN'!AC585&amp;",Y,@"&amp;Symboles!C584&amp;",A,,,,")</f>
        <v/>
      </c>
    </row>
    <row r="585" spans="1:1" x14ac:dyDescent="0.2">
      <c r="A585" t="str">
        <f>IF(Calculs!A585=0,"","$PFEC,GPwpl,"&amp;Calculs!H585&amp;","&amp;Calculs!O585&amp;","&amp;Calculs!N585&amp;","&amp;Calculs!P585&amp;","&amp;'Import OpenCPN'!AC586&amp;",Y,@"&amp;Symboles!C585&amp;",A,,,,")</f>
        <v/>
      </c>
    </row>
    <row r="586" spans="1:1" x14ac:dyDescent="0.2">
      <c r="A586" t="str">
        <f>IF(Calculs!A586=0,"","$PFEC,GPwpl,"&amp;Calculs!H586&amp;","&amp;Calculs!O586&amp;","&amp;Calculs!N586&amp;","&amp;Calculs!P586&amp;","&amp;'Import OpenCPN'!AC587&amp;",Y,@"&amp;Symboles!C586&amp;",A,,,,")</f>
        <v/>
      </c>
    </row>
    <row r="587" spans="1:1" x14ac:dyDescent="0.2">
      <c r="A587" t="str">
        <f>IF(Calculs!A587=0,"","$PFEC,GPwpl,"&amp;Calculs!H587&amp;","&amp;Calculs!O587&amp;","&amp;Calculs!N587&amp;","&amp;Calculs!P587&amp;","&amp;'Import OpenCPN'!AC588&amp;",Y,@"&amp;Symboles!C587&amp;",A,,,,")</f>
        <v/>
      </c>
    </row>
    <row r="588" spans="1:1" x14ac:dyDescent="0.2">
      <c r="A588" t="str">
        <f>IF(Calculs!A588=0,"","$PFEC,GPwpl,"&amp;Calculs!H588&amp;","&amp;Calculs!O588&amp;","&amp;Calculs!N588&amp;","&amp;Calculs!P588&amp;","&amp;'Import OpenCPN'!AC589&amp;",Y,@"&amp;Symboles!C588&amp;",A,,,,")</f>
        <v/>
      </c>
    </row>
    <row r="589" spans="1:1" x14ac:dyDescent="0.2">
      <c r="A589" t="str">
        <f>IF(Calculs!A589=0,"","$PFEC,GPwpl,"&amp;Calculs!H589&amp;","&amp;Calculs!O589&amp;","&amp;Calculs!N589&amp;","&amp;Calculs!P589&amp;","&amp;'Import OpenCPN'!AC590&amp;",Y,@"&amp;Symboles!C589&amp;",A,,,,")</f>
        <v/>
      </c>
    </row>
    <row r="590" spans="1:1" x14ac:dyDescent="0.2">
      <c r="A590" t="str">
        <f>IF(Calculs!A590=0,"","$PFEC,GPwpl,"&amp;Calculs!H590&amp;","&amp;Calculs!O590&amp;","&amp;Calculs!N590&amp;","&amp;Calculs!P590&amp;","&amp;'Import OpenCPN'!AC591&amp;",Y,@"&amp;Symboles!C590&amp;",A,,,,")</f>
        <v/>
      </c>
    </row>
    <row r="591" spans="1:1" x14ac:dyDescent="0.2">
      <c r="A591" t="str">
        <f>IF(Calculs!A591=0,"","$PFEC,GPwpl,"&amp;Calculs!H591&amp;","&amp;Calculs!O591&amp;","&amp;Calculs!N591&amp;","&amp;Calculs!P591&amp;","&amp;'Import OpenCPN'!AC592&amp;",Y,@"&amp;Symboles!C591&amp;",A,,,,")</f>
        <v/>
      </c>
    </row>
    <row r="592" spans="1:1" x14ac:dyDescent="0.2">
      <c r="A592" t="str">
        <f>IF(Calculs!A592=0,"","$PFEC,GPwpl,"&amp;Calculs!H592&amp;","&amp;Calculs!O592&amp;","&amp;Calculs!N592&amp;","&amp;Calculs!P592&amp;","&amp;'Import OpenCPN'!AC593&amp;",Y,@"&amp;Symboles!C592&amp;",A,,,,")</f>
        <v/>
      </c>
    </row>
    <row r="593" spans="1:1" x14ac:dyDescent="0.2">
      <c r="A593" t="str">
        <f>IF(Calculs!A593=0,"","$PFEC,GPwpl,"&amp;Calculs!H593&amp;","&amp;Calculs!O593&amp;","&amp;Calculs!N593&amp;","&amp;Calculs!P593&amp;","&amp;'Import OpenCPN'!AC594&amp;",Y,@"&amp;Symboles!C593&amp;",A,,,,")</f>
        <v/>
      </c>
    </row>
    <row r="594" spans="1:1" x14ac:dyDescent="0.2">
      <c r="A594" t="str">
        <f>IF(Calculs!A594=0,"","$PFEC,GPwpl,"&amp;Calculs!H594&amp;","&amp;Calculs!O594&amp;","&amp;Calculs!N594&amp;","&amp;Calculs!P594&amp;","&amp;'Import OpenCPN'!AC595&amp;",Y,@"&amp;Symboles!C594&amp;",A,,,,")</f>
        <v/>
      </c>
    </row>
    <row r="595" spans="1:1" x14ac:dyDescent="0.2">
      <c r="A595" t="str">
        <f>IF(Calculs!A595=0,"","$PFEC,GPwpl,"&amp;Calculs!H595&amp;","&amp;Calculs!O595&amp;","&amp;Calculs!N595&amp;","&amp;Calculs!P595&amp;","&amp;'Import OpenCPN'!AC596&amp;",Y,@"&amp;Symboles!C595&amp;",A,,,,")</f>
        <v/>
      </c>
    </row>
    <row r="596" spans="1:1" x14ac:dyDescent="0.2">
      <c r="A596" t="str">
        <f>IF(Calculs!A596=0,"","$PFEC,GPwpl,"&amp;Calculs!H596&amp;","&amp;Calculs!O596&amp;","&amp;Calculs!N596&amp;","&amp;Calculs!P596&amp;","&amp;'Import OpenCPN'!AC597&amp;",Y,@"&amp;Symboles!C596&amp;",A,,,,")</f>
        <v/>
      </c>
    </row>
    <row r="597" spans="1:1" x14ac:dyDescent="0.2">
      <c r="A597" t="str">
        <f>IF(Calculs!A597=0,"","$PFEC,GPwpl,"&amp;Calculs!H597&amp;","&amp;Calculs!O597&amp;","&amp;Calculs!N597&amp;","&amp;Calculs!P597&amp;","&amp;'Import OpenCPN'!AC598&amp;",Y,@"&amp;Symboles!C597&amp;",A,,,,")</f>
        <v/>
      </c>
    </row>
    <row r="598" spans="1:1" x14ac:dyDescent="0.2">
      <c r="A598" t="str">
        <f>IF(Calculs!A598=0,"","$PFEC,GPwpl,"&amp;Calculs!H598&amp;","&amp;Calculs!O598&amp;","&amp;Calculs!N598&amp;","&amp;Calculs!P598&amp;","&amp;'Import OpenCPN'!AC599&amp;",Y,@"&amp;Symboles!C598&amp;",A,,,,")</f>
        <v/>
      </c>
    </row>
    <row r="599" spans="1:1" x14ac:dyDescent="0.2">
      <c r="A599" t="str">
        <f>IF(Calculs!A599=0,"","$PFEC,GPwpl,"&amp;Calculs!H599&amp;","&amp;Calculs!O599&amp;","&amp;Calculs!N599&amp;","&amp;Calculs!P599&amp;","&amp;'Import OpenCPN'!AC600&amp;",Y,@"&amp;Symboles!C599&amp;",A,,,,")</f>
        <v/>
      </c>
    </row>
    <row r="600" spans="1:1" x14ac:dyDescent="0.2">
      <c r="A600" t="str">
        <f>IF(Calculs!A600=0,"","$PFEC,GPwpl,"&amp;Calculs!H600&amp;","&amp;Calculs!O600&amp;","&amp;Calculs!N600&amp;","&amp;Calculs!P600&amp;","&amp;'Import OpenCPN'!AC601&amp;",Y,@"&amp;Symboles!C600&amp;",A,,,,")</f>
        <v/>
      </c>
    </row>
    <row r="601" spans="1:1" x14ac:dyDescent="0.2">
      <c r="A601" t="str">
        <f>IF(Calculs!A601=0,"","$PFEC,GPwpl,"&amp;Calculs!H601&amp;","&amp;Calculs!O601&amp;","&amp;Calculs!N601&amp;","&amp;Calculs!P601&amp;","&amp;'Import OpenCPN'!AC602&amp;",Y,@"&amp;Symboles!C601&amp;",A,,,,")</f>
        <v/>
      </c>
    </row>
    <row r="602" spans="1:1" x14ac:dyDescent="0.2">
      <c r="A602" t="str">
        <f>IF(Calculs!A602=0,"","$PFEC,GPwpl,"&amp;Calculs!H602&amp;","&amp;Calculs!O602&amp;","&amp;Calculs!N602&amp;","&amp;Calculs!P602&amp;","&amp;'Import OpenCPN'!AC603&amp;",Y,@"&amp;Symboles!C602&amp;",A,,,,")</f>
        <v/>
      </c>
    </row>
    <row r="603" spans="1:1" x14ac:dyDescent="0.2">
      <c r="A603" t="str">
        <f>IF(Calculs!A603=0,"","$PFEC,GPwpl,"&amp;Calculs!H603&amp;","&amp;Calculs!O603&amp;","&amp;Calculs!N603&amp;","&amp;Calculs!P603&amp;","&amp;'Import OpenCPN'!AC604&amp;",Y,@"&amp;Symboles!C603&amp;",A,,,,")</f>
        <v/>
      </c>
    </row>
    <row r="604" spans="1:1" x14ac:dyDescent="0.2">
      <c r="A604" t="str">
        <f>IF(Calculs!A604=0,"","$PFEC,GPwpl,"&amp;Calculs!H604&amp;","&amp;Calculs!O604&amp;","&amp;Calculs!N604&amp;","&amp;Calculs!P604&amp;","&amp;'Import OpenCPN'!AC605&amp;",Y,@"&amp;Symboles!C604&amp;",A,,,,")</f>
        <v/>
      </c>
    </row>
    <row r="605" spans="1:1" x14ac:dyDescent="0.2">
      <c r="A605" t="str">
        <f>IF(Calculs!A605=0,"","$PFEC,GPwpl,"&amp;Calculs!H605&amp;","&amp;Calculs!O605&amp;","&amp;Calculs!N605&amp;","&amp;Calculs!P605&amp;","&amp;'Import OpenCPN'!AC606&amp;",Y,@"&amp;Symboles!C605&amp;",A,,,,")</f>
        <v/>
      </c>
    </row>
    <row r="606" spans="1:1" x14ac:dyDescent="0.2">
      <c r="A606" t="str">
        <f>IF(Calculs!A606=0,"","$PFEC,GPwpl,"&amp;Calculs!H606&amp;","&amp;Calculs!O606&amp;","&amp;Calculs!N606&amp;","&amp;Calculs!P606&amp;","&amp;'Import OpenCPN'!AC607&amp;",Y,@"&amp;Symboles!C606&amp;",A,,,,")</f>
        <v/>
      </c>
    </row>
    <row r="607" spans="1:1" x14ac:dyDescent="0.2">
      <c r="A607" t="str">
        <f>IF(Calculs!A607=0,"","$PFEC,GPwpl,"&amp;Calculs!H607&amp;","&amp;Calculs!O607&amp;","&amp;Calculs!N607&amp;","&amp;Calculs!P607&amp;","&amp;'Import OpenCPN'!AC608&amp;",Y,@"&amp;Symboles!C607&amp;",A,,,,")</f>
        <v/>
      </c>
    </row>
    <row r="608" spans="1:1" x14ac:dyDescent="0.2">
      <c r="A608" t="str">
        <f>IF(Calculs!A608=0,"","$PFEC,GPwpl,"&amp;Calculs!H608&amp;","&amp;Calculs!O608&amp;","&amp;Calculs!N608&amp;","&amp;Calculs!P608&amp;","&amp;'Import OpenCPN'!AC609&amp;",Y,@"&amp;Symboles!C608&amp;",A,,,,")</f>
        <v/>
      </c>
    </row>
    <row r="609" spans="1:1" x14ac:dyDescent="0.2">
      <c r="A609" t="str">
        <f>IF(Calculs!A609=0,"","$PFEC,GPwpl,"&amp;Calculs!H609&amp;","&amp;Calculs!O609&amp;","&amp;Calculs!N609&amp;","&amp;Calculs!P609&amp;","&amp;'Import OpenCPN'!AC610&amp;",Y,@"&amp;Symboles!C609&amp;",A,,,,")</f>
        <v/>
      </c>
    </row>
    <row r="610" spans="1:1" x14ac:dyDescent="0.2">
      <c r="A610" t="str">
        <f>IF(Calculs!A610=0,"","$PFEC,GPwpl,"&amp;Calculs!H610&amp;","&amp;Calculs!O610&amp;","&amp;Calculs!N610&amp;","&amp;Calculs!P610&amp;","&amp;'Import OpenCPN'!AC611&amp;",Y,@"&amp;Symboles!C610&amp;",A,,,,")</f>
        <v/>
      </c>
    </row>
    <row r="611" spans="1:1" x14ac:dyDescent="0.2">
      <c r="A611" t="str">
        <f>IF(Calculs!A611=0,"","$PFEC,GPwpl,"&amp;Calculs!H611&amp;","&amp;Calculs!O611&amp;","&amp;Calculs!N611&amp;","&amp;Calculs!P611&amp;","&amp;'Import OpenCPN'!AC612&amp;",Y,@"&amp;Symboles!C611&amp;",A,,,,")</f>
        <v/>
      </c>
    </row>
    <row r="612" spans="1:1" x14ac:dyDescent="0.2">
      <c r="A612" t="str">
        <f>IF(Calculs!A612=0,"","$PFEC,GPwpl,"&amp;Calculs!H612&amp;","&amp;Calculs!O612&amp;","&amp;Calculs!N612&amp;","&amp;Calculs!P612&amp;","&amp;'Import OpenCPN'!AC613&amp;",Y,@"&amp;Symboles!C612&amp;",A,,,,")</f>
        <v/>
      </c>
    </row>
    <row r="613" spans="1:1" x14ac:dyDescent="0.2">
      <c r="A613" t="str">
        <f>IF(Calculs!A613=0,"","$PFEC,GPwpl,"&amp;Calculs!H613&amp;","&amp;Calculs!O613&amp;","&amp;Calculs!N613&amp;","&amp;Calculs!P613&amp;","&amp;'Import OpenCPN'!AC614&amp;",Y,@"&amp;Symboles!C613&amp;",A,,,,")</f>
        <v/>
      </c>
    </row>
    <row r="614" spans="1:1" x14ac:dyDescent="0.2">
      <c r="A614" t="str">
        <f>IF(Calculs!A614=0,"","$PFEC,GPwpl,"&amp;Calculs!H614&amp;","&amp;Calculs!O614&amp;","&amp;Calculs!N614&amp;","&amp;Calculs!P614&amp;","&amp;'Import OpenCPN'!AC615&amp;",Y,@"&amp;Symboles!C614&amp;",A,,,,")</f>
        <v/>
      </c>
    </row>
    <row r="615" spans="1:1" x14ac:dyDescent="0.2">
      <c r="A615" t="str">
        <f>IF(Calculs!A615=0,"","$PFEC,GPwpl,"&amp;Calculs!H615&amp;","&amp;Calculs!O615&amp;","&amp;Calculs!N615&amp;","&amp;Calculs!P615&amp;","&amp;'Import OpenCPN'!AC616&amp;",Y,@"&amp;Symboles!C615&amp;",A,,,,")</f>
        <v/>
      </c>
    </row>
    <row r="616" spans="1:1" x14ac:dyDescent="0.2">
      <c r="A616" t="str">
        <f>IF(Calculs!A616=0,"","$PFEC,GPwpl,"&amp;Calculs!H616&amp;","&amp;Calculs!O616&amp;","&amp;Calculs!N616&amp;","&amp;Calculs!P616&amp;","&amp;'Import OpenCPN'!AC617&amp;",Y,@"&amp;Symboles!C616&amp;",A,,,,")</f>
        <v/>
      </c>
    </row>
    <row r="617" spans="1:1" x14ac:dyDescent="0.2">
      <c r="A617" t="str">
        <f>IF(Calculs!A617=0,"","$PFEC,GPwpl,"&amp;Calculs!H617&amp;","&amp;Calculs!O617&amp;","&amp;Calculs!N617&amp;","&amp;Calculs!P617&amp;","&amp;'Import OpenCPN'!AC618&amp;",Y,@"&amp;Symboles!C617&amp;",A,,,,")</f>
        <v/>
      </c>
    </row>
    <row r="618" spans="1:1" x14ac:dyDescent="0.2">
      <c r="A618" t="str">
        <f>IF(Calculs!A618=0,"","$PFEC,GPwpl,"&amp;Calculs!H618&amp;","&amp;Calculs!O618&amp;","&amp;Calculs!N618&amp;","&amp;Calculs!P618&amp;","&amp;'Import OpenCPN'!AC619&amp;",Y,@"&amp;Symboles!C618&amp;",A,,,,")</f>
        <v/>
      </c>
    </row>
    <row r="619" spans="1:1" x14ac:dyDescent="0.2">
      <c r="A619" t="str">
        <f>IF(Calculs!A619=0,"","$PFEC,GPwpl,"&amp;Calculs!H619&amp;","&amp;Calculs!O619&amp;","&amp;Calculs!N619&amp;","&amp;Calculs!P619&amp;","&amp;'Import OpenCPN'!AC620&amp;",Y,@"&amp;Symboles!C619&amp;",A,,,,")</f>
        <v/>
      </c>
    </row>
    <row r="620" spans="1:1" x14ac:dyDescent="0.2">
      <c r="A620" t="str">
        <f>IF(Calculs!A620=0,"","$PFEC,GPwpl,"&amp;Calculs!H620&amp;","&amp;Calculs!O620&amp;","&amp;Calculs!N620&amp;","&amp;Calculs!P620&amp;","&amp;'Import OpenCPN'!AC621&amp;",Y,@"&amp;Symboles!C620&amp;",A,,,,")</f>
        <v/>
      </c>
    </row>
    <row r="621" spans="1:1" x14ac:dyDescent="0.2">
      <c r="A621" t="str">
        <f>IF(Calculs!A621=0,"","$PFEC,GPwpl,"&amp;Calculs!H621&amp;","&amp;Calculs!O621&amp;","&amp;Calculs!N621&amp;","&amp;Calculs!P621&amp;","&amp;'Import OpenCPN'!AC622&amp;",Y,@"&amp;Symboles!C621&amp;",A,,,,")</f>
        <v/>
      </c>
    </row>
    <row r="622" spans="1:1" x14ac:dyDescent="0.2">
      <c r="A622" t="str">
        <f>IF(Calculs!A622=0,"","$PFEC,GPwpl,"&amp;Calculs!H622&amp;","&amp;Calculs!O622&amp;","&amp;Calculs!N622&amp;","&amp;Calculs!P622&amp;","&amp;'Import OpenCPN'!AC623&amp;",Y,@"&amp;Symboles!C622&amp;",A,,,,")</f>
        <v/>
      </c>
    </row>
    <row r="623" spans="1:1" x14ac:dyDescent="0.2">
      <c r="A623" t="str">
        <f>IF(Calculs!A623=0,"","$PFEC,GPwpl,"&amp;Calculs!H623&amp;","&amp;Calculs!O623&amp;","&amp;Calculs!N623&amp;","&amp;Calculs!P623&amp;","&amp;'Import OpenCPN'!AC624&amp;",Y,@"&amp;Symboles!C623&amp;",A,,,,")</f>
        <v/>
      </c>
    </row>
    <row r="624" spans="1:1" x14ac:dyDescent="0.2">
      <c r="A624" t="str">
        <f>IF(Calculs!A624=0,"","$PFEC,GPwpl,"&amp;Calculs!H624&amp;","&amp;Calculs!O624&amp;","&amp;Calculs!N624&amp;","&amp;Calculs!P624&amp;","&amp;'Import OpenCPN'!AC625&amp;",Y,@"&amp;Symboles!C624&amp;",A,,,,")</f>
        <v/>
      </c>
    </row>
    <row r="625" spans="1:1" x14ac:dyDescent="0.2">
      <c r="A625" t="str">
        <f>IF(Calculs!A625=0,"","$PFEC,GPwpl,"&amp;Calculs!H625&amp;","&amp;Calculs!O625&amp;","&amp;Calculs!N625&amp;","&amp;Calculs!P625&amp;","&amp;'Import OpenCPN'!AC626&amp;",Y,@"&amp;Symboles!C625&amp;",A,,,,")</f>
        <v/>
      </c>
    </row>
    <row r="626" spans="1:1" x14ac:dyDescent="0.2">
      <c r="A626" t="str">
        <f>IF(Calculs!A626=0,"","$PFEC,GPwpl,"&amp;Calculs!H626&amp;","&amp;Calculs!O626&amp;","&amp;Calculs!N626&amp;","&amp;Calculs!P626&amp;","&amp;'Import OpenCPN'!AC627&amp;",Y,@"&amp;Symboles!C626&amp;",A,,,,")</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Symboles</vt:lpstr>
      <vt:lpstr>gpxfile</vt:lpstr>
      <vt:lpstr>Import OpenCPN</vt:lpstr>
      <vt:lpstr>Calculs</vt:lpstr>
      <vt:lpstr>Export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Melchior Treillet</dc:creator>
  <cp:lastModifiedBy>MAYER Bernard</cp:lastModifiedBy>
  <dcterms:created xsi:type="dcterms:W3CDTF">2017-07-26T07:19:26Z</dcterms:created>
  <dcterms:modified xsi:type="dcterms:W3CDTF">2017-09-27T08:54:41Z</dcterms:modified>
</cp:coreProperties>
</file>